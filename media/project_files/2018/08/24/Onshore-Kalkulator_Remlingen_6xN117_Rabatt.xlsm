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19.xml" ContentType="application/vnd.ms-excel.controlproperties+xml"/>
  <Override PartName="/xl/drawings/drawing6.xml" ContentType="application/vnd.openxmlformats-officedocument.drawing+xml"/>
  <Override PartName="/xl/ctrlProps/ctrlProp20.xml" ContentType="application/vnd.ms-excel.controlproperties+xml"/>
  <Override PartName="/xl/drawings/drawing7.xml" ContentType="application/vnd.openxmlformats-officedocument.drawing+xml"/>
  <Override PartName="/xl/ctrlProps/ctrlProp21.xml" ContentType="application/vnd.ms-excel.controlproperties+xml"/>
  <Override PartName="/xl/drawings/drawing8.xml" ContentType="application/vnd.openxmlformats-officedocument.drawing+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0.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6.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omments7.xml" ContentType="application/vnd.openxmlformats-officedocument.spreadsheetml.comments+xml"/>
  <Override PartName="/xl/tables/table1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DieseArbeitsmappe" defaultThemeVersion="124226"/>
  <mc:AlternateContent xmlns:mc="http://schemas.openxmlformats.org/markup-compatibility/2006">
    <mc:Choice Requires="x15">
      <x15ac:absPath xmlns:x15ac="http://schemas.microsoft.com/office/spreadsheetml/2010/11/ac" url="X:\Kunden\Mainova\Remlingen 6xN117\"/>
    </mc:Choice>
  </mc:AlternateContent>
  <xr:revisionPtr revIDLastSave="0" documentId="13_ncr:1_{AF2EF1A6-01B0-4FD8-885F-6E4BD3B0CA65}" xr6:coauthVersionLast="31" xr6:coauthVersionMax="31" xr10:uidLastSave="{00000000-0000-0000-0000-000000000000}"/>
  <bookViews>
    <workbookView xWindow="936" yWindow="132" windowWidth="15360" windowHeight="4956" firstSheet="1" activeTab="2" xr2:uid="{00000000-000D-0000-FFFF-FFFF00000000}"/>
  </bookViews>
  <sheets>
    <sheet name="Basisdaten" sheetId="10" r:id="rId1"/>
    <sheet name="VWoGK" sheetId="25" r:id="rId2"/>
    <sheet name="VWmGKmR" sheetId="19" r:id="rId3"/>
    <sheet name="VWmGKmRmSB" sheetId="31" r:id="rId4"/>
    <sheet name="VWmGKoR" sheetId="27" r:id="rId5"/>
    <sheet name="Premium" sheetId="36" r:id="rId6"/>
    <sheet name="Premium uptower" sheetId="35" r:id="rId7"/>
    <sheet name="Premium+ fest" sheetId="29" r:id="rId8"/>
    <sheet name="Premium+ variabel" sheetId="30" r:id="rId9"/>
    <sheet name="Premium+ fest mS" sheetId="33" r:id="rId10"/>
    <sheet name="Referenzen" sheetId="28" r:id="rId11"/>
    <sheet name="Anlageninfo" sheetId="20" r:id="rId12"/>
    <sheet name="Wartung" sheetId="24" r:id="rId13"/>
    <sheet name="Externe Leistungen" sheetId="23" r:id="rId14"/>
    <sheet name="Großkomponenten" sheetId="21" r:id="rId15"/>
    <sheet name="Kranpreise" sheetId="22" r:id="rId16"/>
    <sheet name="Matchpoint" sheetId="34" r:id="rId17"/>
  </sheets>
  <definedNames>
    <definedName name="BFA">Anlageninfo!$B$20:$B$21</definedName>
    <definedName name="_xlnm.Print_Area" localSheetId="0">Basisdaten!$A$3:$F$54</definedName>
    <definedName name="_xlnm.Print_Area" localSheetId="5">Premium!$A$1:$D$65</definedName>
    <definedName name="_xlnm.Print_Area" localSheetId="6">'Premium uptower'!$A$1:$D$64</definedName>
    <definedName name="_xlnm.Print_Area" localSheetId="7">'Premium+ fest'!$A$1:$D$63</definedName>
    <definedName name="_xlnm.Print_Area" localSheetId="9">'Premium+ fest mS'!$A$1:$D$60</definedName>
    <definedName name="_xlnm.Print_Area" localSheetId="8">'Premium+ variabel'!$A$1:$E$61</definedName>
    <definedName name="_xlnm.Print_Area" localSheetId="2">VWmGKmR!$A$1:$Q$49</definedName>
    <definedName name="Hersteller">Anlageninfo!$B$3:$D$3</definedName>
    <definedName name="Text2" localSheetId="0">Basisdaten!#REF!</definedName>
    <definedName name="Turm" localSheetId="5">Tabelle7[Turm]</definedName>
    <definedName name="Turm" localSheetId="6">Tabelle7[Turm]</definedName>
    <definedName name="Turm" localSheetId="9">Tabelle7[Turm]</definedName>
    <definedName name="Turm">Tabelle7[Turm]</definedName>
  </definedNames>
  <calcPr calcId="179017"/>
  <pivotCaches>
    <pivotCache cacheId="5" r:id="rId18"/>
    <pivotCache cacheId="6" r:id="rId19"/>
  </pivotCaches>
</workbook>
</file>

<file path=xl/calcChain.xml><?xml version="1.0" encoding="utf-8"?>
<calcChain xmlns="http://schemas.openxmlformats.org/spreadsheetml/2006/main">
  <c r="F26" i="19" l="1"/>
  <c r="L37" i="19" l="1"/>
  <c r="K31" i="19"/>
  <c r="K32" i="19"/>
  <c r="K33" i="19"/>
  <c r="K30" i="19"/>
  <c r="D25" i="19" l="1"/>
  <c r="D29" i="30" l="1"/>
  <c r="D29" i="29"/>
  <c r="D30" i="36"/>
  <c r="D30" i="35"/>
  <c r="C11" i="35" l="1"/>
  <c r="C10" i="35"/>
  <c r="C9" i="35"/>
  <c r="C8" i="35"/>
  <c r="C7" i="35"/>
  <c r="C34" i="10" l="1"/>
  <c r="A23" i="25" l="1"/>
  <c r="A24" i="27"/>
  <c r="A24" i="31"/>
  <c r="A24" i="19"/>
  <c r="D60" i="10" l="1"/>
  <c r="E60" i="10"/>
  <c r="F60" i="10"/>
  <c r="G60" i="10"/>
  <c r="C60" i="10"/>
  <c r="D34" i="10"/>
  <c r="E34" i="10"/>
  <c r="F34" i="10"/>
  <c r="G34" i="10"/>
  <c r="E39" i="25" l="1"/>
  <c r="E38" i="25"/>
  <c r="D22" i="36" l="1"/>
  <c r="C28" i="35"/>
  <c r="C26" i="35"/>
  <c r="C24" i="35"/>
  <c r="C28" i="36"/>
  <c r="C24" i="36"/>
  <c r="C26" i="36"/>
  <c r="C45" i="35" l="1"/>
  <c r="C20" i="35"/>
  <c r="C18" i="35"/>
  <c r="C18" i="36"/>
  <c r="D37" i="29"/>
  <c r="D39" i="29"/>
  <c r="D41" i="29"/>
  <c r="A61" i="30"/>
  <c r="C61" i="30"/>
  <c r="D61" i="30"/>
  <c r="D60" i="33"/>
  <c r="C60" i="33"/>
  <c r="A60" i="33"/>
  <c r="D63" i="29"/>
  <c r="C63" i="29"/>
  <c r="A63" i="29"/>
  <c r="D64" i="35"/>
  <c r="C64" i="35"/>
  <c r="A64" i="35"/>
  <c r="C1" i="33"/>
  <c r="C1" i="30"/>
  <c r="C1" i="29"/>
  <c r="C1" i="35"/>
  <c r="D65" i="36"/>
  <c r="C65" i="36"/>
  <c r="A65" i="36"/>
  <c r="D42" i="36"/>
  <c r="D40" i="36"/>
  <c r="D36" i="36"/>
  <c r="D32" i="36"/>
  <c r="D38" i="36"/>
  <c r="C1" i="36"/>
  <c r="A54" i="36"/>
  <c r="D52" i="36"/>
  <c r="C52" i="36"/>
  <c r="D51" i="36"/>
  <c r="C51" i="36"/>
  <c r="B51" i="36"/>
  <c r="D50" i="36"/>
  <c r="C50" i="36"/>
  <c r="B50" i="36"/>
  <c r="D49" i="36"/>
  <c r="C49" i="36"/>
  <c r="B49" i="36"/>
  <c r="D48" i="36"/>
  <c r="C48" i="36"/>
  <c r="B48" i="36"/>
  <c r="A48" i="36"/>
  <c r="D46" i="36"/>
  <c r="C46" i="36"/>
  <c r="B46" i="36"/>
  <c r="D45" i="36"/>
  <c r="C45" i="36"/>
  <c r="B45" i="36"/>
  <c r="A45" i="36"/>
  <c r="C42" i="36"/>
  <c r="C40" i="36"/>
  <c r="C38" i="36"/>
  <c r="C36" i="36"/>
  <c r="C34" i="36"/>
  <c r="C32" i="36"/>
  <c r="C30" i="36"/>
  <c r="C22" i="36"/>
  <c r="B22" i="36"/>
  <c r="D21" i="36"/>
  <c r="C21" i="36"/>
  <c r="D20" i="36"/>
  <c r="C20" i="36"/>
  <c r="B20" i="36"/>
  <c r="D19" i="36"/>
  <c r="C19" i="36"/>
  <c r="B19" i="36"/>
  <c r="D18" i="36"/>
  <c r="B18" i="36"/>
  <c r="D17" i="36"/>
  <c r="C17" i="36"/>
  <c r="B17" i="36"/>
  <c r="D16" i="36"/>
  <c r="C16" i="36"/>
  <c r="B16" i="36"/>
  <c r="D15" i="36"/>
  <c r="C15" i="36"/>
  <c r="B15" i="36"/>
  <c r="C14" i="36"/>
  <c r="D13" i="36"/>
  <c r="B13" i="36"/>
  <c r="A13" i="36"/>
  <c r="D11" i="36"/>
  <c r="C11" i="36"/>
  <c r="D10" i="36"/>
  <c r="C10" i="36"/>
  <c r="D9" i="36"/>
  <c r="C9" i="36"/>
  <c r="D8" i="36"/>
  <c r="C8" i="36"/>
  <c r="D7" i="36"/>
  <c r="C7" i="36"/>
  <c r="D6" i="36"/>
  <c r="B6" i="36"/>
  <c r="A6" i="36"/>
  <c r="A3" i="36"/>
  <c r="D7" i="35"/>
  <c r="D8" i="35"/>
  <c r="D9" i="35"/>
  <c r="D10" i="35"/>
  <c r="D11" i="35"/>
  <c r="D6" i="35"/>
  <c r="C19" i="35"/>
  <c r="A53" i="35"/>
  <c r="D51" i="35"/>
  <c r="C51" i="35"/>
  <c r="D50" i="35"/>
  <c r="C50" i="35"/>
  <c r="B50" i="35"/>
  <c r="D49" i="35"/>
  <c r="C49" i="35"/>
  <c r="B49" i="35"/>
  <c r="D48" i="35"/>
  <c r="C48" i="35"/>
  <c r="B48" i="35"/>
  <c r="D47" i="35"/>
  <c r="C47" i="35"/>
  <c r="B47" i="35"/>
  <c r="A47" i="35"/>
  <c r="D45" i="35"/>
  <c r="B45" i="35"/>
  <c r="D42" i="35"/>
  <c r="C42" i="35"/>
  <c r="D40" i="35"/>
  <c r="C40" i="35"/>
  <c r="D38" i="35"/>
  <c r="C38" i="35"/>
  <c r="D36" i="35"/>
  <c r="C36" i="35"/>
  <c r="C34" i="35"/>
  <c r="D32" i="35"/>
  <c r="C32" i="35"/>
  <c r="C30" i="35"/>
  <c r="D23" i="35"/>
  <c r="C23" i="35"/>
  <c r="D22" i="35"/>
  <c r="C22" i="35"/>
  <c r="B22" i="35"/>
  <c r="D21" i="35"/>
  <c r="C21" i="35"/>
  <c r="B21" i="35"/>
  <c r="D20" i="35"/>
  <c r="B20" i="35"/>
  <c r="D19" i="35"/>
  <c r="B19" i="35"/>
  <c r="D18" i="35"/>
  <c r="B18" i="35"/>
  <c r="D17" i="35"/>
  <c r="C17" i="35"/>
  <c r="B17" i="35"/>
  <c r="D16" i="35"/>
  <c r="C16" i="35"/>
  <c r="B16" i="35"/>
  <c r="D15" i="35"/>
  <c r="C15" i="35"/>
  <c r="B15" i="35"/>
  <c r="C14" i="35"/>
  <c r="D13" i="35"/>
  <c r="B13" i="35"/>
  <c r="A13" i="35"/>
  <c r="B6" i="35"/>
  <c r="A6" i="35"/>
  <c r="A3" i="35"/>
  <c r="J69" i="19"/>
  <c r="L13" i="27"/>
  <c r="L7" i="27"/>
  <c r="L6" i="27"/>
  <c r="L13" i="31"/>
  <c r="L7" i="31"/>
  <c r="L6" i="31"/>
  <c r="C21" i="33"/>
  <c r="C21" i="30"/>
  <c r="C21" i="29"/>
  <c r="A3" i="29"/>
  <c r="D41" i="33"/>
  <c r="C33" i="33"/>
  <c r="C33" i="29"/>
  <c r="D41" i="30"/>
  <c r="C33" i="30"/>
  <c r="C31" i="30"/>
  <c r="D70" i="10"/>
  <c r="E70" i="10"/>
  <c r="F70" i="10"/>
  <c r="G70" i="10"/>
  <c r="D71" i="10"/>
  <c r="E71" i="10"/>
  <c r="F71" i="10"/>
  <c r="G71" i="10"/>
  <c r="D72" i="10"/>
  <c r="E72" i="10"/>
  <c r="F72" i="10"/>
  <c r="G72" i="10"/>
  <c r="C71" i="10"/>
  <c r="C72" i="10"/>
  <c r="C70" i="10"/>
  <c r="C44" i="10"/>
  <c r="D44" i="10"/>
  <c r="E44" i="10"/>
  <c r="F44" i="10"/>
  <c r="G44" i="10"/>
  <c r="C45" i="10"/>
  <c r="D45" i="10"/>
  <c r="E45" i="10"/>
  <c r="F45" i="10"/>
  <c r="G45" i="10"/>
  <c r="D46" i="10"/>
  <c r="E46" i="10"/>
  <c r="F46" i="10"/>
  <c r="G46" i="10"/>
  <c r="C46" i="10"/>
  <c r="C49" i="33"/>
  <c r="C49" i="30"/>
  <c r="C49" i="29"/>
  <c r="Z35" i="24"/>
  <c r="Z36" i="24"/>
  <c r="Z37" i="24"/>
  <c r="Z34" i="24"/>
  <c r="J12" i="27"/>
  <c r="J11" i="27"/>
  <c r="J12" i="31"/>
  <c r="J11" i="31"/>
  <c r="I12" i="19"/>
  <c r="CL27" i="21"/>
  <c r="CK27" i="21"/>
  <c r="CJ27" i="21"/>
  <c r="CI27" i="21"/>
  <c r="CH27" i="21"/>
  <c r="CG27" i="21"/>
  <c r="D35" i="33"/>
  <c r="D31" i="33"/>
  <c r="D29" i="33"/>
  <c r="D35" i="30"/>
  <c r="D31" i="30"/>
  <c r="D35" i="29"/>
  <c r="D31" i="29"/>
  <c r="Z38" i="24"/>
  <c r="K35" i="20"/>
  <c r="M35" i="20"/>
  <c r="C44" i="30"/>
  <c r="C26" i="30"/>
  <c r="C19" i="30"/>
  <c r="C17" i="30"/>
  <c r="C16" i="30"/>
  <c r="C50" i="33"/>
  <c r="C50" i="29"/>
  <c r="B49" i="30"/>
  <c r="C44" i="29"/>
  <c r="B49" i="29"/>
  <c r="B47" i="33"/>
  <c r="B47" i="30"/>
  <c r="B47" i="29"/>
  <c r="C19" i="29"/>
  <c r="C16" i="29"/>
  <c r="C26" i="29"/>
  <c r="C44" i="33"/>
  <c r="C41" i="33"/>
  <c r="C37" i="33"/>
  <c r="C39" i="33"/>
  <c r="C35" i="33"/>
  <c r="C26" i="33"/>
  <c r="C18" i="33"/>
  <c r="L34" i="20"/>
  <c r="M34" i="20" s="1"/>
  <c r="K34" i="20"/>
  <c r="K33" i="20"/>
  <c r="M33" i="20"/>
  <c r="K32" i="20"/>
  <c r="M32" i="20"/>
  <c r="K31" i="20"/>
  <c r="M31" i="20"/>
  <c r="D39" i="33"/>
  <c r="D37" i="33"/>
  <c r="D39" i="30"/>
  <c r="D37" i="30"/>
  <c r="N46" i="27"/>
  <c r="N55" i="27" s="1"/>
  <c r="P55" i="27" s="1"/>
  <c r="N45" i="27"/>
  <c r="N44" i="27"/>
  <c r="N43" i="27"/>
  <c r="N42" i="27"/>
  <c r="N53" i="27" s="1"/>
  <c r="P53" i="27" s="1"/>
  <c r="N43" i="31"/>
  <c r="N46" i="31"/>
  <c r="N55" i="31" s="1"/>
  <c r="P55" i="31" s="1"/>
  <c r="N45" i="31"/>
  <c r="N44" i="31"/>
  <c r="N42" i="31"/>
  <c r="N53" i="31" s="1"/>
  <c r="P53" i="31" s="1"/>
  <c r="I11" i="27"/>
  <c r="I12" i="27"/>
  <c r="I11" i="31"/>
  <c r="N54" i="27"/>
  <c r="N54" i="31"/>
  <c r="O56" i="19"/>
  <c r="D7" i="33"/>
  <c r="D8" i="33"/>
  <c r="D9" i="33"/>
  <c r="D10" i="33"/>
  <c r="D11" i="33"/>
  <c r="D6" i="33"/>
  <c r="A53" i="33"/>
  <c r="D51" i="33"/>
  <c r="C51" i="33"/>
  <c r="D50" i="33"/>
  <c r="B50" i="33"/>
  <c r="D49" i="33"/>
  <c r="B49" i="33"/>
  <c r="D48" i="33"/>
  <c r="C48" i="33"/>
  <c r="B48" i="33"/>
  <c r="D47" i="33"/>
  <c r="C47" i="33"/>
  <c r="A47" i="33"/>
  <c r="D45" i="33"/>
  <c r="C45" i="33"/>
  <c r="B45" i="33"/>
  <c r="D44" i="33"/>
  <c r="B44" i="33"/>
  <c r="A44" i="33"/>
  <c r="C31" i="33"/>
  <c r="C29" i="33"/>
  <c r="C27" i="33"/>
  <c r="B27" i="33"/>
  <c r="D26" i="33"/>
  <c r="D25" i="33"/>
  <c r="C25" i="33"/>
  <c r="D24" i="33"/>
  <c r="C24" i="33"/>
  <c r="D23" i="33"/>
  <c r="C23" i="33"/>
  <c r="D22" i="33"/>
  <c r="C22" i="33"/>
  <c r="B22" i="33"/>
  <c r="D21" i="33"/>
  <c r="B21" i="33"/>
  <c r="D20" i="33"/>
  <c r="C20" i="33"/>
  <c r="B20" i="33"/>
  <c r="D19" i="33"/>
  <c r="C19" i="33"/>
  <c r="B19" i="33"/>
  <c r="D18" i="33"/>
  <c r="B18" i="33"/>
  <c r="D17" i="33"/>
  <c r="C17" i="33"/>
  <c r="B17" i="33"/>
  <c r="D16" i="33"/>
  <c r="C16" i="33"/>
  <c r="B16" i="33"/>
  <c r="D15" i="33"/>
  <c r="C15" i="33"/>
  <c r="B15" i="33"/>
  <c r="C14" i="33"/>
  <c r="D13" i="33"/>
  <c r="B13" i="33"/>
  <c r="A13" i="33"/>
  <c r="C11" i="33"/>
  <c r="C10" i="33"/>
  <c r="C9" i="33"/>
  <c r="C8" i="33"/>
  <c r="C7" i="33"/>
  <c r="B6" i="33"/>
  <c r="A6" i="33"/>
  <c r="A3" i="33"/>
  <c r="L25" i="20"/>
  <c r="M25" i="20"/>
  <c r="L24" i="20"/>
  <c r="M24" i="20"/>
  <c r="L23" i="20"/>
  <c r="M23" i="20"/>
  <c r="L22" i="20"/>
  <c r="M22" i="20"/>
  <c r="L21" i="20"/>
  <c r="M21" i="20"/>
  <c r="L7" i="20"/>
  <c r="M7" i="20"/>
  <c r="L6" i="20"/>
  <c r="M6" i="20"/>
  <c r="L5" i="20"/>
  <c r="M5" i="20"/>
  <c r="L4" i="20"/>
  <c r="M4" i="20"/>
  <c r="L30" i="20"/>
  <c r="M30" i="20"/>
  <c r="L29" i="20"/>
  <c r="M29" i="20"/>
  <c r="L28" i="20"/>
  <c r="M28" i="20"/>
  <c r="L27" i="20"/>
  <c r="M27" i="20"/>
  <c r="L26" i="20"/>
  <c r="M26" i="20"/>
  <c r="L20" i="20"/>
  <c r="M20" i="20"/>
  <c r="L19" i="20"/>
  <c r="M19" i="20"/>
  <c r="L18" i="20"/>
  <c r="M18" i="20"/>
  <c r="L17" i="20"/>
  <c r="M17" i="20"/>
  <c r="L16" i="20"/>
  <c r="M16" i="20"/>
  <c r="L15" i="20"/>
  <c r="M15" i="20"/>
  <c r="L14" i="20"/>
  <c r="M14" i="20"/>
  <c r="L13" i="20"/>
  <c r="M13" i="20"/>
  <c r="L12" i="20"/>
  <c r="M12" i="20"/>
  <c r="L11" i="20"/>
  <c r="M11" i="20"/>
  <c r="L10" i="20"/>
  <c r="M10" i="20"/>
  <c r="L9" i="20"/>
  <c r="M9" i="20"/>
  <c r="L8" i="20"/>
  <c r="M8" i="20"/>
  <c r="K14" i="20"/>
  <c r="K15" i="20"/>
  <c r="K16" i="20"/>
  <c r="K17" i="20"/>
  <c r="K18" i="20"/>
  <c r="K19" i="20"/>
  <c r="K20" i="20"/>
  <c r="K21" i="20"/>
  <c r="K22" i="20"/>
  <c r="K23" i="20"/>
  <c r="K24" i="20"/>
  <c r="K25" i="20"/>
  <c r="K26" i="20"/>
  <c r="K27" i="20"/>
  <c r="K28" i="20"/>
  <c r="K29" i="20"/>
  <c r="K30" i="20"/>
  <c r="K13" i="20"/>
  <c r="K12" i="20"/>
  <c r="K11" i="20"/>
  <c r="K10" i="20"/>
  <c r="K9" i="20"/>
  <c r="K8" i="20"/>
  <c r="K7" i="20"/>
  <c r="K6" i="20"/>
  <c r="K5" i="20"/>
  <c r="K4" i="20"/>
  <c r="D27" i="30"/>
  <c r="D27" i="33"/>
  <c r="D27" i="29"/>
  <c r="C14" i="29"/>
  <c r="D51" i="30"/>
  <c r="D45" i="30"/>
  <c r="D26" i="30"/>
  <c r="D25" i="30"/>
  <c r="D24" i="30"/>
  <c r="D23" i="30"/>
  <c r="D22" i="30"/>
  <c r="D20" i="30"/>
  <c r="D19" i="30"/>
  <c r="D18" i="30"/>
  <c r="D17" i="30"/>
  <c r="D16" i="30"/>
  <c r="O56" i="31"/>
  <c r="E44" i="31"/>
  <c r="H44" i="31" s="1"/>
  <c r="I44" i="31" s="1"/>
  <c r="D44" i="31"/>
  <c r="C44" i="31"/>
  <c r="B44" i="31"/>
  <c r="A44" i="31"/>
  <c r="E43" i="31"/>
  <c r="H43" i="31" s="1"/>
  <c r="I43" i="31" s="1"/>
  <c r="D43" i="31"/>
  <c r="C43" i="31"/>
  <c r="B43" i="31"/>
  <c r="A43" i="31"/>
  <c r="E42" i="31"/>
  <c r="H42" i="31" s="1"/>
  <c r="I42" i="31" s="1"/>
  <c r="D42" i="31"/>
  <c r="C42" i="31"/>
  <c r="B42" i="31"/>
  <c r="A42" i="31"/>
  <c r="D41" i="31"/>
  <c r="C41" i="31"/>
  <c r="B41" i="31"/>
  <c r="A41" i="31"/>
  <c r="D40" i="31"/>
  <c r="C40" i="31"/>
  <c r="B40" i="31"/>
  <c r="A40" i="31"/>
  <c r="D39" i="31"/>
  <c r="C39" i="31"/>
  <c r="A39" i="31"/>
  <c r="I35" i="31"/>
  <c r="H35" i="31"/>
  <c r="D35" i="31"/>
  <c r="F35" i="31"/>
  <c r="I34" i="31"/>
  <c r="H34" i="31"/>
  <c r="D34" i="31"/>
  <c r="F34" i="31"/>
  <c r="I33" i="31"/>
  <c r="H33" i="31"/>
  <c r="D33" i="31"/>
  <c r="F33" i="31"/>
  <c r="D32" i="31"/>
  <c r="F32" i="31"/>
  <c r="D31" i="31"/>
  <c r="F31" i="31"/>
  <c r="D30" i="31"/>
  <c r="D23" i="31"/>
  <c r="D22" i="31"/>
  <c r="D17" i="31"/>
  <c r="D12" i="31"/>
  <c r="X13" i="31" s="1"/>
  <c r="I12" i="31"/>
  <c r="D10" i="31"/>
  <c r="V13" i="31" s="1"/>
  <c r="D9" i="31"/>
  <c r="N41" i="31" s="1"/>
  <c r="N52" i="31" s="1"/>
  <c r="P52" i="31" s="1"/>
  <c r="D8" i="31"/>
  <c r="D7" i="31"/>
  <c r="J6" i="31"/>
  <c r="D6" i="31"/>
  <c r="J5" i="31"/>
  <c r="D5" i="31"/>
  <c r="J4" i="31"/>
  <c r="D4" i="31"/>
  <c r="D28" i="31" s="1"/>
  <c r="E1" i="31"/>
  <c r="Z33" i="24"/>
  <c r="H31" i="31"/>
  <c r="H32" i="31"/>
  <c r="I31" i="31"/>
  <c r="I32" i="31"/>
  <c r="I30" i="31"/>
  <c r="D21" i="30"/>
  <c r="D21" i="29"/>
  <c r="E39" i="31"/>
  <c r="H39" i="31" s="1"/>
  <c r="I39" i="31" s="1"/>
  <c r="E41" i="31"/>
  <c r="H41" i="31" s="1"/>
  <c r="I41" i="31" s="1"/>
  <c r="E40" i="31"/>
  <c r="H40" i="31" s="1"/>
  <c r="I40" i="31" s="1"/>
  <c r="B6" i="30"/>
  <c r="B6" i="29"/>
  <c r="A6" i="30"/>
  <c r="B13" i="30"/>
  <c r="D21" i="25"/>
  <c r="Z11" i="24"/>
  <c r="C48" i="30"/>
  <c r="C48" i="29"/>
  <c r="D7" i="19"/>
  <c r="R9" i="19" s="1"/>
  <c r="C47" i="30"/>
  <c r="B44" i="30"/>
  <c r="B44" i="29"/>
  <c r="C47" i="29"/>
  <c r="C31" i="29"/>
  <c r="C41" i="29"/>
  <c r="C39" i="29"/>
  <c r="C35" i="29"/>
  <c r="C37" i="29"/>
  <c r="C41" i="30"/>
  <c r="C39" i="30"/>
  <c r="C37" i="30"/>
  <c r="C35" i="30"/>
  <c r="Z13" i="24"/>
  <c r="Z15" i="24"/>
  <c r="Z16" i="24"/>
  <c r="A53" i="30"/>
  <c r="C51" i="30"/>
  <c r="D50" i="30"/>
  <c r="C50" i="30"/>
  <c r="B50" i="30"/>
  <c r="D49" i="30"/>
  <c r="D48" i="30"/>
  <c r="B48" i="30"/>
  <c r="D47" i="30"/>
  <c r="A47" i="30"/>
  <c r="C45" i="30"/>
  <c r="B45" i="30"/>
  <c r="D44" i="30"/>
  <c r="A44" i="30"/>
  <c r="C29" i="30"/>
  <c r="C27" i="30"/>
  <c r="B27" i="30"/>
  <c r="C25" i="30"/>
  <c r="C24" i="30"/>
  <c r="C23" i="30"/>
  <c r="C22" i="30"/>
  <c r="B22" i="30"/>
  <c r="B21" i="30"/>
  <c r="C20" i="30"/>
  <c r="B20" i="30"/>
  <c r="B19" i="30"/>
  <c r="C18" i="30"/>
  <c r="B18" i="30"/>
  <c r="B17" i="30"/>
  <c r="B16" i="30"/>
  <c r="D15" i="30"/>
  <c r="C15" i="30"/>
  <c r="B15" i="30"/>
  <c r="C14" i="30"/>
  <c r="D13" i="30"/>
  <c r="A13" i="30"/>
  <c r="C11" i="30"/>
  <c r="C10" i="30"/>
  <c r="C9" i="30"/>
  <c r="C8" i="30"/>
  <c r="C7" i="30"/>
  <c r="A3" i="30"/>
  <c r="A53" i="29"/>
  <c r="D51" i="29"/>
  <c r="C51" i="29"/>
  <c r="D50" i="29"/>
  <c r="B50" i="29"/>
  <c r="D49" i="29"/>
  <c r="D48" i="29"/>
  <c r="B48" i="29"/>
  <c r="D47" i="29"/>
  <c r="A47" i="29"/>
  <c r="D45" i="29"/>
  <c r="C45" i="29"/>
  <c r="B45" i="29"/>
  <c r="D44" i="29"/>
  <c r="A44" i="29"/>
  <c r="C29" i="29"/>
  <c r="C27" i="29"/>
  <c r="B27" i="29"/>
  <c r="D26" i="29"/>
  <c r="D25" i="29"/>
  <c r="C25" i="29"/>
  <c r="D24" i="29"/>
  <c r="C24" i="29"/>
  <c r="D23" i="29"/>
  <c r="C23" i="29"/>
  <c r="D22" i="29"/>
  <c r="C22" i="29"/>
  <c r="B22" i="29"/>
  <c r="B21" i="29"/>
  <c r="D20" i="29"/>
  <c r="C20" i="29"/>
  <c r="B20" i="29"/>
  <c r="D19" i="29"/>
  <c r="B19" i="29"/>
  <c r="D18" i="29"/>
  <c r="C18" i="29"/>
  <c r="B18" i="29"/>
  <c r="D17" i="29"/>
  <c r="C17" i="29"/>
  <c r="B17" i="29"/>
  <c r="D16" i="29"/>
  <c r="B16" i="29"/>
  <c r="D15" i="29"/>
  <c r="C15" i="29"/>
  <c r="B15" i="29"/>
  <c r="D13" i="29"/>
  <c r="B13" i="29"/>
  <c r="A13" i="29"/>
  <c r="D11" i="29"/>
  <c r="C11" i="29"/>
  <c r="D10" i="29"/>
  <c r="C10" i="29"/>
  <c r="D9" i="29"/>
  <c r="C9" i="29"/>
  <c r="D8" i="29"/>
  <c r="C8" i="29"/>
  <c r="D7" i="29"/>
  <c r="C7" i="29"/>
  <c r="D6" i="29"/>
  <c r="A6" i="29"/>
  <c r="Z30" i="24"/>
  <c r="Z32" i="24"/>
  <c r="Z31" i="24"/>
  <c r="Z18" i="24"/>
  <c r="Z17" i="24"/>
  <c r="Z20" i="24"/>
  <c r="Z24" i="24"/>
  <c r="Z29" i="24"/>
  <c r="Z26" i="24"/>
  <c r="Z12" i="24"/>
  <c r="Z10" i="24"/>
  <c r="Z9" i="24"/>
  <c r="Z8" i="24"/>
  <c r="Z7" i="24"/>
  <c r="Z28" i="24"/>
  <c r="Z27" i="24"/>
  <c r="Z14" i="24"/>
  <c r="Z25" i="24"/>
  <c r="Z6" i="24"/>
  <c r="Z21" i="24"/>
  <c r="Z23" i="24"/>
  <c r="Z19" i="24"/>
  <c r="Z22" i="24"/>
  <c r="O56" i="27"/>
  <c r="E44" i="27"/>
  <c r="H43" i="27" s="1"/>
  <c r="I43" i="27" s="1"/>
  <c r="D44" i="27"/>
  <c r="C44" i="27"/>
  <c r="B44" i="27"/>
  <c r="A44" i="27"/>
  <c r="E43" i="27"/>
  <c r="H42" i="27" s="1"/>
  <c r="I42" i="27" s="1"/>
  <c r="D43" i="27"/>
  <c r="C43" i="27"/>
  <c r="B43" i="27"/>
  <c r="A43" i="27"/>
  <c r="E42" i="27"/>
  <c r="H41" i="27" s="1"/>
  <c r="I41" i="27" s="1"/>
  <c r="D42" i="27"/>
  <c r="C42" i="27"/>
  <c r="B42" i="27"/>
  <c r="A42" i="27"/>
  <c r="D41" i="27"/>
  <c r="C41" i="27"/>
  <c r="B41" i="27"/>
  <c r="A41" i="27"/>
  <c r="D40" i="27"/>
  <c r="C40" i="27"/>
  <c r="B40" i="27"/>
  <c r="A40" i="27"/>
  <c r="D39" i="27"/>
  <c r="C39" i="27"/>
  <c r="A39" i="27"/>
  <c r="D35" i="27"/>
  <c r="F35" i="27" s="1"/>
  <c r="D34" i="27"/>
  <c r="F34" i="27" s="1"/>
  <c r="O32" i="27"/>
  <c r="N32" i="27"/>
  <c r="D33" i="27"/>
  <c r="F33" i="27" s="1"/>
  <c r="O31" i="27"/>
  <c r="N31" i="27"/>
  <c r="D32" i="27"/>
  <c r="F32" i="27" s="1"/>
  <c r="D31" i="27"/>
  <c r="F31" i="27" s="1"/>
  <c r="D30" i="27"/>
  <c r="F30" i="27" s="1"/>
  <c r="D23" i="27"/>
  <c r="D22" i="27"/>
  <c r="D17" i="27"/>
  <c r="Q12" i="27"/>
  <c r="Q11" i="27"/>
  <c r="D12" i="27"/>
  <c r="X12" i="27" s="1"/>
  <c r="D10" i="27"/>
  <c r="V7" i="27" s="1"/>
  <c r="D9" i="27"/>
  <c r="D8" i="27"/>
  <c r="D7" i="27"/>
  <c r="O20" i="27" s="1"/>
  <c r="J6" i="27"/>
  <c r="J5" i="27"/>
  <c r="D5" i="27"/>
  <c r="J4" i="27"/>
  <c r="D4" i="27"/>
  <c r="A1" i="27" s="1"/>
  <c r="E1" i="27"/>
  <c r="D44" i="19"/>
  <c r="E11" i="30"/>
  <c r="C44" i="19"/>
  <c r="B44" i="19"/>
  <c r="A44" i="19"/>
  <c r="D43" i="19"/>
  <c r="E10" i="30" s="1"/>
  <c r="C43" i="19"/>
  <c r="B43" i="19"/>
  <c r="A43" i="19"/>
  <c r="D42" i="19"/>
  <c r="E9" i="30"/>
  <c r="C42" i="19"/>
  <c r="B42" i="19"/>
  <c r="A42" i="19"/>
  <c r="D41" i="19"/>
  <c r="E8" i="30" s="1"/>
  <c r="C41" i="19"/>
  <c r="B41" i="19"/>
  <c r="A41" i="19"/>
  <c r="D40" i="19"/>
  <c r="E7" i="30" s="1"/>
  <c r="C40" i="19"/>
  <c r="B40" i="19"/>
  <c r="A40" i="19"/>
  <c r="D39" i="19"/>
  <c r="E6" i="30" s="1"/>
  <c r="C39" i="19"/>
  <c r="A39" i="19"/>
  <c r="H35" i="19"/>
  <c r="I35" i="19"/>
  <c r="D35" i="19"/>
  <c r="F35" i="19" s="1"/>
  <c r="D34" i="19"/>
  <c r="F34" i="19" s="1"/>
  <c r="D33" i="19"/>
  <c r="F33" i="19" s="1"/>
  <c r="D32" i="19"/>
  <c r="F32" i="19" s="1"/>
  <c r="D31" i="19"/>
  <c r="F31" i="19" s="1"/>
  <c r="D23" i="19"/>
  <c r="D22" i="19"/>
  <c r="D17" i="19"/>
  <c r="E44" i="19"/>
  <c r="H44" i="19" s="1"/>
  <c r="I44" i="19" s="1"/>
  <c r="D12" i="19"/>
  <c r="X8" i="19" s="1"/>
  <c r="D10" i="19"/>
  <c r="V7" i="19" s="1"/>
  <c r="D9" i="19"/>
  <c r="N41" i="19" s="1"/>
  <c r="N52" i="19" s="1"/>
  <c r="P52" i="19" s="1"/>
  <c r="D8" i="19"/>
  <c r="J6" i="19"/>
  <c r="D6" i="19"/>
  <c r="J5" i="19"/>
  <c r="D5" i="19"/>
  <c r="J4" i="19"/>
  <c r="D4" i="19"/>
  <c r="A1" i="19" s="1"/>
  <c r="E1" i="19"/>
  <c r="E43" i="25"/>
  <c r="H43" i="25" s="1"/>
  <c r="I43" i="25" s="1"/>
  <c r="D43" i="25"/>
  <c r="A43" i="25"/>
  <c r="E42" i="25"/>
  <c r="H42" i="25" s="1"/>
  <c r="I42" i="25" s="1"/>
  <c r="D42" i="25"/>
  <c r="A42" i="25"/>
  <c r="E41" i="25"/>
  <c r="H41" i="25" s="1"/>
  <c r="I41" i="25" s="1"/>
  <c r="D41" i="25"/>
  <c r="A41" i="25"/>
  <c r="D40" i="25"/>
  <c r="A40" i="25"/>
  <c r="D39" i="25"/>
  <c r="A39" i="25"/>
  <c r="D38" i="25"/>
  <c r="A38" i="25"/>
  <c r="N47" i="25"/>
  <c r="D34" i="25"/>
  <c r="F34" i="25" s="1"/>
  <c r="M46" i="25"/>
  <c r="O46" i="25" s="1"/>
  <c r="D33" i="25"/>
  <c r="F33" i="25" s="1"/>
  <c r="D32" i="25"/>
  <c r="F32" i="25" s="1"/>
  <c r="D31" i="25"/>
  <c r="F31" i="25" s="1"/>
  <c r="D30" i="25"/>
  <c r="F30" i="25" s="1"/>
  <c r="D29" i="25"/>
  <c r="F29" i="25" s="1"/>
  <c r="D22" i="25"/>
  <c r="S20" i="25"/>
  <c r="N29" i="25"/>
  <c r="M29" i="25" s="1"/>
  <c r="O29" i="25" s="1"/>
  <c r="D16" i="25"/>
  <c r="S13" i="25"/>
  <c r="R13" i="25"/>
  <c r="D11" i="25"/>
  <c r="D10" i="25"/>
  <c r="M6" i="25" s="1"/>
  <c r="O6" i="25" s="1"/>
  <c r="D9" i="25"/>
  <c r="D8" i="25"/>
  <c r="D7" i="25"/>
  <c r="D6" i="25"/>
  <c r="S5" i="25"/>
  <c r="N5" i="25"/>
  <c r="D5" i="25"/>
  <c r="D4" i="25"/>
  <c r="A1" i="25" s="1"/>
  <c r="E1" i="25"/>
  <c r="X10" i="19"/>
  <c r="E43" i="19"/>
  <c r="D10" i="30" s="1"/>
  <c r="V12" i="27"/>
  <c r="AA12" i="27" s="1"/>
  <c r="N43" i="19"/>
  <c r="N45" i="19"/>
  <c r="N44" i="19"/>
  <c r="N54" i="19" s="1"/>
  <c r="N46" i="19"/>
  <c r="N55" i="19" s="1"/>
  <c r="P55" i="19" s="1"/>
  <c r="N42" i="19"/>
  <c r="N53" i="19" s="1"/>
  <c r="P53" i="19" s="1"/>
  <c r="H38" i="25"/>
  <c r="I38" i="25" s="1"/>
  <c r="T13" i="25"/>
  <c r="I34" i="19"/>
  <c r="E42" i="19"/>
  <c r="D9" i="30" s="1"/>
  <c r="E39" i="27"/>
  <c r="H38" i="27" s="1"/>
  <c r="I38" i="27" s="1"/>
  <c r="H39" i="25"/>
  <c r="I39" i="25" s="1"/>
  <c r="E40" i="27"/>
  <c r="H39" i="27" s="1"/>
  <c r="I39" i="27" s="1"/>
  <c r="E40" i="25"/>
  <c r="H40" i="25" s="1"/>
  <c r="I40" i="25" s="1"/>
  <c r="E41" i="27"/>
  <c r="H40" i="27" s="1"/>
  <c r="I40" i="27" s="1"/>
  <c r="I33" i="19"/>
  <c r="H34" i="19"/>
  <c r="H33" i="19"/>
  <c r="D36" i="31" l="1"/>
  <c r="F36" i="27"/>
  <c r="M20" i="25"/>
  <c r="X8" i="31"/>
  <c r="D24" i="25"/>
  <c r="D23" i="25"/>
  <c r="X6" i="27"/>
  <c r="X6" i="31"/>
  <c r="H71" i="10"/>
  <c r="W6" i="27"/>
  <c r="H70" i="10"/>
  <c r="H45" i="10"/>
  <c r="R9" i="27"/>
  <c r="AD9" i="27" s="1"/>
  <c r="H44" i="10"/>
  <c r="N20" i="27"/>
  <c r="X7" i="19"/>
  <c r="X12" i="19"/>
  <c r="X9" i="27"/>
  <c r="D36" i="27"/>
  <c r="D35" i="25"/>
  <c r="F36" i="25" s="1"/>
  <c r="F30" i="31"/>
  <c r="F36" i="31" s="1"/>
  <c r="F37" i="31" s="1"/>
  <c r="X10" i="31"/>
  <c r="X12" i="31"/>
  <c r="H72" i="10"/>
  <c r="X7" i="31"/>
  <c r="X9" i="31"/>
  <c r="M19" i="25"/>
  <c r="X13" i="19"/>
  <c r="P12" i="31"/>
  <c r="N40" i="31"/>
  <c r="N51" i="31" s="1"/>
  <c r="P51" i="31" s="1"/>
  <c r="X11" i="31"/>
  <c r="H46" i="10"/>
  <c r="Q9" i="27"/>
  <c r="AC9" i="27" s="1"/>
  <c r="D28" i="19"/>
  <c r="Q9" i="19"/>
  <c r="AC9" i="19" s="1"/>
  <c r="X7" i="27"/>
  <c r="X9" i="19"/>
  <c r="X11" i="19"/>
  <c r="X11" i="27"/>
  <c r="X13" i="27"/>
  <c r="X10" i="27"/>
  <c r="X6" i="19"/>
  <c r="W9" i="27"/>
  <c r="Z9" i="27" s="1"/>
  <c r="P11" i="19"/>
  <c r="V13" i="27"/>
  <c r="AA13" i="27" s="1"/>
  <c r="AD10" i="31"/>
  <c r="V8" i="31"/>
  <c r="AA8" i="31" s="1"/>
  <c r="P10" i="27"/>
  <c r="J9" i="27"/>
  <c r="M21" i="25"/>
  <c r="W7" i="31"/>
  <c r="AD12" i="27"/>
  <c r="P8" i="31"/>
  <c r="P7" i="31"/>
  <c r="M13" i="25"/>
  <c r="O13" i="25" s="1"/>
  <c r="R9" i="25"/>
  <c r="R18" i="25" s="1"/>
  <c r="T18" i="25" s="1"/>
  <c r="U11" i="31"/>
  <c r="Y11" i="31" s="1"/>
  <c r="V10" i="31"/>
  <c r="D11" i="30"/>
  <c r="P54" i="27"/>
  <c r="P54" i="19"/>
  <c r="D27" i="25"/>
  <c r="A1" i="31"/>
  <c r="D28" i="27"/>
  <c r="D25" i="31"/>
  <c r="B30" i="19"/>
  <c r="D30" i="19" s="1"/>
  <c r="F30" i="19" s="1"/>
  <c r="F36" i="19" s="1"/>
  <c r="AC10" i="31"/>
  <c r="W12" i="31"/>
  <c r="Z12" i="31" s="1"/>
  <c r="J9" i="31"/>
  <c r="AC11" i="31"/>
  <c r="N39" i="31"/>
  <c r="N50" i="31" s="1"/>
  <c r="P50" i="31" s="1"/>
  <c r="P6" i="31"/>
  <c r="W6" i="31"/>
  <c r="V12" i="31"/>
  <c r="V7" i="31"/>
  <c r="AD8" i="27"/>
  <c r="P11" i="27"/>
  <c r="W8" i="31"/>
  <c r="W10" i="31"/>
  <c r="P13" i="31"/>
  <c r="AD12" i="31"/>
  <c r="AD11" i="31"/>
  <c r="P9" i="31"/>
  <c r="V9" i="31"/>
  <c r="U9" i="31" s="1"/>
  <c r="Y9" i="31" s="1"/>
  <c r="V11" i="31"/>
  <c r="AA11" i="31" s="1"/>
  <c r="D13" i="31"/>
  <c r="D14" i="31" s="1"/>
  <c r="P13" i="27"/>
  <c r="AD10" i="27"/>
  <c r="P10" i="31"/>
  <c r="W13" i="31"/>
  <c r="D11" i="31"/>
  <c r="P11" i="31"/>
  <c r="W11" i="31"/>
  <c r="AC12" i="31"/>
  <c r="W9" i="31"/>
  <c r="Z9" i="31" s="1"/>
  <c r="V6" i="31"/>
  <c r="Q9" i="31"/>
  <c r="R9" i="31"/>
  <c r="P54" i="31"/>
  <c r="H42" i="19"/>
  <c r="I42" i="19" s="1"/>
  <c r="I44" i="27"/>
  <c r="U7" i="27"/>
  <c r="Y7" i="27" s="1"/>
  <c r="AA7" i="27"/>
  <c r="H43" i="19"/>
  <c r="I43" i="19" s="1"/>
  <c r="AC12" i="27"/>
  <c r="P9" i="27"/>
  <c r="N40" i="27"/>
  <c r="N51" i="27" s="1"/>
  <c r="P51" i="27" s="1"/>
  <c r="AD11" i="27"/>
  <c r="M5" i="25"/>
  <c r="O5" i="25" s="1"/>
  <c r="M12" i="25"/>
  <c r="O12" i="25" s="1"/>
  <c r="M10" i="25"/>
  <c r="O10" i="25" s="1"/>
  <c r="M25" i="25"/>
  <c r="M23" i="25"/>
  <c r="M24" i="25"/>
  <c r="V6" i="27"/>
  <c r="AA6" i="27" s="1"/>
  <c r="M33" i="25"/>
  <c r="M45" i="25" s="1"/>
  <c r="O45" i="25" s="1"/>
  <c r="N41" i="27"/>
  <c r="N52" i="27" s="1"/>
  <c r="P52" i="27" s="1"/>
  <c r="U12" i="27"/>
  <c r="Y12" i="27" s="1"/>
  <c r="M7" i="25"/>
  <c r="O7" i="25" s="1"/>
  <c r="M9" i="25"/>
  <c r="O9" i="25" s="1"/>
  <c r="M11" i="25"/>
  <c r="O11" i="25" s="1"/>
  <c r="M18" i="25"/>
  <c r="R5" i="25"/>
  <c r="D12" i="25"/>
  <c r="N39" i="27"/>
  <c r="N50" i="27" s="1"/>
  <c r="P50" i="27" s="1"/>
  <c r="P6" i="27"/>
  <c r="W11" i="27"/>
  <c r="AC10" i="27"/>
  <c r="W10" i="27"/>
  <c r="M8" i="25"/>
  <c r="O8" i="25" s="1"/>
  <c r="M17" i="25"/>
  <c r="M22" i="25"/>
  <c r="AA7" i="19"/>
  <c r="U7" i="19"/>
  <c r="Y7" i="19" s="1"/>
  <c r="N39" i="19"/>
  <c r="N50" i="19" s="1"/>
  <c r="V9" i="19"/>
  <c r="N40" i="19"/>
  <c r="N51" i="19" s="1"/>
  <c r="P51" i="19" s="1"/>
  <c r="W9" i="19"/>
  <c r="W12" i="19"/>
  <c r="W7" i="19"/>
  <c r="AD10" i="19"/>
  <c r="P13" i="19"/>
  <c r="D11" i="19"/>
  <c r="W13" i="19"/>
  <c r="AD9" i="19"/>
  <c r="V13" i="19"/>
  <c r="D13" i="19"/>
  <c r="V8" i="19"/>
  <c r="W8" i="19"/>
  <c r="AC12" i="19"/>
  <c r="AD11" i="19"/>
  <c r="V10" i="19"/>
  <c r="V11" i="19"/>
  <c r="AA11" i="19" s="1"/>
  <c r="P9" i="19"/>
  <c r="AC11" i="19"/>
  <c r="P6" i="19"/>
  <c r="P10" i="19"/>
  <c r="P12" i="19"/>
  <c r="V6" i="19"/>
  <c r="V12" i="19"/>
  <c r="W6" i="19"/>
  <c r="W11" i="19"/>
  <c r="AC10" i="19"/>
  <c r="P7" i="19"/>
  <c r="U11" i="19"/>
  <c r="J9" i="19"/>
  <c r="AA13" i="31"/>
  <c r="U13" i="31"/>
  <c r="Y13" i="31" s="1"/>
  <c r="W10" i="19"/>
  <c r="AD12" i="19"/>
  <c r="I44" i="25"/>
  <c r="I45" i="31"/>
  <c r="P8" i="19"/>
  <c r="V11" i="27"/>
  <c r="AA11" i="27" s="1"/>
  <c r="V10" i="27"/>
  <c r="V8" i="27"/>
  <c r="P7" i="27"/>
  <c r="W12" i="27"/>
  <c r="AC11" i="27"/>
  <c r="AC8" i="27"/>
  <c r="W7" i="27"/>
  <c r="D13" i="27"/>
  <c r="U11" i="27"/>
  <c r="P12" i="27"/>
  <c r="W13" i="27"/>
  <c r="V9" i="27"/>
  <c r="D15" i="25" l="1"/>
  <c r="F37" i="27"/>
  <c r="B29" i="25"/>
  <c r="D25" i="27"/>
  <c r="A4" i="36"/>
  <c r="D24" i="27"/>
  <c r="N9" i="27" s="1"/>
  <c r="N21" i="27" s="1"/>
  <c r="P21" i="27" s="1"/>
  <c r="D24" i="31"/>
  <c r="D26" i="31" s="1"/>
  <c r="D24" i="19"/>
  <c r="N9" i="19" s="1"/>
  <c r="N21" i="19" s="1"/>
  <c r="P21" i="19" s="1"/>
  <c r="P56" i="31"/>
  <c r="J10" i="31" s="1"/>
  <c r="I10" i="31" s="1"/>
  <c r="F7" i="31" s="1"/>
  <c r="D36" i="19"/>
  <c r="F37" i="19" s="1"/>
  <c r="A4" i="35"/>
  <c r="AB9" i="31"/>
  <c r="U8" i="31"/>
  <c r="Y8" i="31" s="1"/>
  <c r="Z8" i="31" s="1"/>
  <c r="U6" i="27"/>
  <c r="Y6" i="27" s="1"/>
  <c r="AB6" i="27" s="1"/>
  <c r="AB13" i="31"/>
  <c r="D18" i="31"/>
  <c r="I4" i="31"/>
  <c r="F4" i="31" s="1"/>
  <c r="F8" i="25"/>
  <c r="A4" i="29"/>
  <c r="F9" i="25"/>
  <c r="C6" i="30"/>
  <c r="B39" i="19"/>
  <c r="C6" i="36"/>
  <c r="C6" i="33"/>
  <c r="C6" i="29"/>
  <c r="O10" i="27"/>
  <c r="O22" i="27" s="1"/>
  <c r="Q22" i="27" s="1"/>
  <c r="B30" i="31"/>
  <c r="I45" i="25"/>
  <c r="M42" i="25"/>
  <c r="O42" i="25" s="1"/>
  <c r="A4" i="30"/>
  <c r="A4" i="33"/>
  <c r="U13" i="27"/>
  <c r="Y13" i="27" s="1"/>
  <c r="AB13" i="27" s="1"/>
  <c r="D25" i="25"/>
  <c r="D26" i="19"/>
  <c r="J37" i="19"/>
  <c r="O11" i="19"/>
  <c r="O23" i="19" s="1"/>
  <c r="Q23" i="19" s="1"/>
  <c r="Z7" i="19"/>
  <c r="N56" i="31"/>
  <c r="AB11" i="31"/>
  <c r="N11" i="19"/>
  <c r="N23" i="19" s="1"/>
  <c r="P23" i="19" s="1"/>
  <c r="N10" i="19"/>
  <c r="N22" i="19" s="1"/>
  <c r="P22" i="19" s="1"/>
  <c r="Q8" i="19"/>
  <c r="N8" i="19" s="1"/>
  <c r="N20" i="19" s="1"/>
  <c r="P20" i="19" s="1"/>
  <c r="R8" i="19"/>
  <c r="O8" i="19" s="1"/>
  <c r="O20" i="19" s="1"/>
  <c r="Q20" i="19" s="1"/>
  <c r="U10" i="31"/>
  <c r="Y10" i="31" s="1"/>
  <c r="AB10" i="31" s="1"/>
  <c r="AA10" i="31"/>
  <c r="Z11" i="31"/>
  <c r="M43" i="25"/>
  <c r="O43" i="25" s="1"/>
  <c r="M41" i="25"/>
  <c r="O41" i="25" s="1"/>
  <c r="P56" i="27"/>
  <c r="J10" i="27" s="1"/>
  <c r="I10" i="27" s="1"/>
  <c r="F7" i="27" s="1"/>
  <c r="D28" i="35"/>
  <c r="D28" i="36"/>
  <c r="AA6" i="31"/>
  <c r="U6" i="31"/>
  <c r="Y6" i="31" s="1"/>
  <c r="Z6" i="31" s="1"/>
  <c r="AA12" i="31"/>
  <c r="U12" i="31"/>
  <c r="AA9" i="31"/>
  <c r="S9" i="31" s="1"/>
  <c r="U7" i="31"/>
  <c r="Y7" i="31" s="1"/>
  <c r="Z7" i="31" s="1"/>
  <c r="AA7" i="31"/>
  <c r="AD9" i="31"/>
  <c r="AC9" i="31"/>
  <c r="N56" i="27"/>
  <c r="M44" i="25"/>
  <c r="O44" i="25" s="1"/>
  <c r="I4" i="25"/>
  <c r="D13" i="25"/>
  <c r="D17" i="25"/>
  <c r="D18" i="25" s="1"/>
  <c r="T5" i="25"/>
  <c r="R17" i="25" s="1"/>
  <c r="R19" i="25"/>
  <c r="T19" i="25" s="1"/>
  <c r="AB7" i="19"/>
  <c r="D26" i="35"/>
  <c r="D26" i="36"/>
  <c r="AB7" i="27"/>
  <c r="Z7" i="27"/>
  <c r="U12" i="19"/>
  <c r="AA12" i="19"/>
  <c r="Z13" i="31"/>
  <c r="Y11" i="27"/>
  <c r="U6" i="19"/>
  <c r="AA6" i="19"/>
  <c r="U10" i="19"/>
  <c r="AA10" i="19"/>
  <c r="AA8" i="19"/>
  <c r="U8" i="19"/>
  <c r="Y8" i="19" s="1"/>
  <c r="AB8" i="19" s="1"/>
  <c r="U9" i="19"/>
  <c r="AA9" i="19"/>
  <c r="T9" i="31"/>
  <c r="U9" i="27"/>
  <c r="AA9" i="27"/>
  <c r="AA10" i="27"/>
  <c r="U10" i="27"/>
  <c r="D18" i="19"/>
  <c r="D14" i="19"/>
  <c r="I4" i="19"/>
  <c r="C13" i="35"/>
  <c r="C13" i="30"/>
  <c r="C13" i="33"/>
  <c r="D11" i="27"/>
  <c r="C13" i="29"/>
  <c r="C13" i="36"/>
  <c r="Z12" i="19"/>
  <c r="N56" i="19"/>
  <c r="P50" i="19"/>
  <c r="D24" i="35" s="1"/>
  <c r="D18" i="27"/>
  <c r="I4" i="27"/>
  <c r="D14" i="27"/>
  <c r="Z12" i="27"/>
  <c r="AB12" i="27"/>
  <c r="Y11" i="19"/>
  <c r="Z11" i="19" s="1"/>
  <c r="U13" i="19"/>
  <c r="Y13" i="19" s="1"/>
  <c r="AB13" i="19" s="1"/>
  <c r="AA13" i="19"/>
  <c r="Z9" i="19"/>
  <c r="H32" i="19"/>
  <c r="H31" i="19"/>
  <c r="H30" i="19"/>
  <c r="Q13" i="27"/>
  <c r="Q13" i="19"/>
  <c r="R6" i="19"/>
  <c r="R6" i="31"/>
  <c r="R13" i="27"/>
  <c r="R6" i="27"/>
  <c r="Q6" i="31"/>
  <c r="Q6" i="19"/>
  <c r="R7" i="19"/>
  <c r="Q6" i="27"/>
  <c r="Q13" i="31"/>
  <c r="R13" i="19"/>
  <c r="Q7" i="27"/>
  <c r="R7" i="31"/>
  <c r="R7" i="27"/>
  <c r="Q7" i="19"/>
  <c r="Q7" i="31"/>
  <c r="R13" i="31"/>
  <c r="Z13" i="27" l="1"/>
  <c r="Z6" i="27"/>
  <c r="S6" i="27" s="1"/>
  <c r="O12" i="27"/>
  <c r="O24" i="27" s="1"/>
  <c r="Q24" i="27" s="1"/>
  <c r="N12" i="27"/>
  <c r="N24" i="27" s="1"/>
  <c r="P24" i="27" s="1"/>
  <c r="T11" i="31"/>
  <c r="O10" i="19"/>
  <c r="O22" i="19" s="1"/>
  <c r="Q22" i="19" s="1"/>
  <c r="P20" i="27"/>
  <c r="O11" i="27"/>
  <c r="O23" i="27" s="1"/>
  <c r="Q23" i="27" s="1"/>
  <c r="B38" i="25"/>
  <c r="C6" i="35"/>
  <c r="N9" i="31"/>
  <c r="N21" i="31" s="1"/>
  <c r="P21" i="31" s="1"/>
  <c r="F4" i="25"/>
  <c r="O9" i="31"/>
  <c r="O21" i="31" s="1"/>
  <c r="Q21" i="31" s="1"/>
  <c r="N6" i="27"/>
  <c r="N18" i="27" s="1"/>
  <c r="P18" i="27" s="1"/>
  <c r="AC6" i="27"/>
  <c r="O13" i="27"/>
  <c r="O25" i="27" s="1"/>
  <c r="Q25" i="27" s="1"/>
  <c r="AD13" i="27"/>
  <c r="AC13" i="27"/>
  <c r="N13" i="27"/>
  <c r="N25" i="27" s="1"/>
  <c r="P25" i="27" s="1"/>
  <c r="AC7" i="27"/>
  <c r="N7" i="27"/>
  <c r="N19" i="27" s="1"/>
  <c r="P19" i="27" s="1"/>
  <c r="O7" i="27"/>
  <c r="O19" i="27" s="1"/>
  <c r="Q19" i="27" s="1"/>
  <c r="AD7" i="27"/>
  <c r="AD6" i="27"/>
  <c r="O6" i="27"/>
  <c r="O18" i="27" s="1"/>
  <c r="Q18" i="27" s="1"/>
  <c r="AC6" i="19"/>
  <c r="N6" i="19"/>
  <c r="N18" i="19" s="1"/>
  <c r="P18" i="19" s="1"/>
  <c r="AC7" i="19"/>
  <c r="N7" i="19"/>
  <c r="N19" i="19" s="1"/>
  <c r="P19" i="19" s="1"/>
  <c r="AC13" i="19"/>
  <c r="N13" i="19"/>
  <c r="N25" i="19" s="1"/>
  <c r="P25" i="19" s="1"/>
  <c r="O7" i="19"/>
  <c r="O19" i="19" s="1"/>
  <c r="Q19" i="19" s="1"/>
  <c r="AD7" i="19"/>
  <c r="O6" i="19"/>
  <c r="O18" i="19" s="1"/>
  <c r="Q18" i="19" s="1"/>
  <c r="AD6" i="19"/>
  <c r="O13" i="19"/>
  <c r="O25" i="19" s="1"/>
  <c r="Q25" i="19" s="1"/>
  <c r="AD13" i="19"/>
  <c r="O6" i="31"/>
  <c r="O18" i="31" s="1"/>
  <c r="Q18" i="31" s="1"/>
  <c r="AD6" i="31"/>
  <c r="AC13" i="31"/>
  <c r="N13" i="31"/>
  <c r="N25" i="31" s="1"/>
  <c r="P25" i="31" s="1"/>
  <c r="AC7" i="31"/>
  <c r="N7" i="31"/>
  <c r="N19" i="31" s="1"/>
  <c r="P19" i="31" s="1"/>
  <c r="AC6" i="31"/>
  <c r="N6" i="31"/>
  <c r="N18" i="31" s="1"/>
  <c r="P18" i="31" s="1"/>
  <c r="O13" i="31"/>
  <c r="O25" i="31" s="1"/>
  <c r="Q25" i="31" s="1"/>
  <c r="AD13" i="31"/>
  <c r="O7" i="31"/>
  <c r="O19" i="31" s="1"/>
  <c r="Q19" i="31" s="1"/>
  <c r="AD7" i="31"/>
  <c r="F9" i="27"/>
  <c r="F8" i="27"/>
  <c r="B30" i="27"/>
  <c r="B39" i="27" s="1"/>
  <c r="N11" i="27"/>
  <c r="N23" i="27" s="1"/>
  <c r="P23" i="27" s="1"/>
  <c r="I45" i="27"/>
  <c r="O9" i="27"/>
  <c r="O21" i="27" s="1"/>
  <c r="Q21" i="27" s="1"/>
  <c r="F9" i="19"/>
  <c r="F8" i="19"/>
  <c r="O9" i="19"/>
  <c r="O21" i="19" s="1"/>
  <c r="Q21" i="19" s="1"/>
  <c r="O12" i="19"/>
  <c r="O24" i="19" s="1"/>
  <c r="Q24" i="19" s="1"/>
  <c r="N12" i="19"/>
  <c r="N24" i="19" s="1"/>
  <c r="P24" i="19" s="1"/>
  <c r="N10" i="27"/>
  <c r="N22" i="27" s="1"/>
  <c r="P22" i="27" s="1"/>
  <c r="D26" i="27"/>
  <c r="Q20" i="27"/>
  <c r="F9" i="31"/>
  <c r="F8" i="31"/>
  <c r="O11" i="31"/>
  <c r="O23" i="31" s="1"/>
  <c r="Q23" i="31" s="1"/>
  <c r="O12" i="31"/>
  <c r="O24" i="31" s="1"/>
  <c r="Q24" i="31" s="1"/>
  <c r="R8" i="31"/>
  <c r="O10" i="31"/>
  <c r="O22" i="31" s="1"/>
  <c r="Q22" i="31" s="1"/>
  <c r="N12" i="31"/>
  <c r="N24" i="31" s="1"/>
  <c r="P24" i="31" s="1"/>
  <c r="N10" i="31"/>
  <c r="N22" i="31" s="1"/>
  <c r="P22" i="31" s="1"/>
  <c r="N11" i="31"/>
  <c r="N23" i="31" s="1"/>
  <c r="P23" i="31" s="1"/>
  <c r="Q8" i="31"/>
  <c r="I46" i="31"/>
  <c r="S11" i="31"/>
  <c r="AB8" i="31"/>
  <c r="Z10" i="31"/>
  <c r="S10" i="31" s="1"/>
  <c r="D16" i="19"/>
  <c r="E39" i="19" s="1"/>
  <c r="AB6" i="31"/>
  <c r="S6" i="31" s="1"/>
  <c r="D16" i="31"/>
  <c r="D20" i="31" s="1"/>
  <c r="D16" i="27"/>
  <c r="D19" i="27" s="1"/>
  <c r="S13" i="31"/>
  <c r="T7" i="19"/>
  <c r="O47" i="25"/>
  <c r="J8" i="25" s="1"/>
  <c r="I8" i="25" s="1"/>
  <c r="F6" i="25" s="1"/>
  <c r="AC8" i="19"/>
  <c r="H30" i="31"/>
  <c r="H36" i="31" s="1"/>
  <c r="B39" i="31"/>
  <c r="I32" i="19"/>
  <c r="I30" i="19"/>
  <c r="H36" i="19"/>
  <c r="I31" i="19"/>
  <c r="E41" i="19"/>
  <c r="M47" i="25"/>
  <c r="Z13" i="19"/>
  <c r="T13" i="19" s="1"/>
  <c r="AD8" i="19"/>
  <c r="Y12" i="31"/>
  <c r="AB12" i="31" s="1"/>
  <c r="S12" i="31" s="1"/>
  <c r="AB7" i="31"/>
  <c r="T7" i="31" s="1"/>
  <c r="S7" i="19"/>
  <c r="T17" i="25"/>
  <c r="T20" i="25" s="1"/>
  <c r="J9" i="25" s="1"/>
  <c r="I9" i="25" s="1"/>
  <c r="F7" i="25" s="1"/>
  <c r="R20" i="25"/>
  <c r="D19" i="25"/>
  <c r="P56" i="19"/>
  <c r="J10" i="19" s="1"/>
  <c r="D24" i="36"/>
  <c r="Y10" i="27"/>
  <c r="Y9" i="19"/>
  <c r="AB9" i="19" s="1"/>
  <c r="S9" i="19" s="1"/>
  <c r="Y10" i="19"/>
  <c r="S7" i="27"/>
  <c r="T7" i="27"/>
  <c r="S12" i="27"/>
  <c r="T12" i="27"/>
  <c r="Y9" i="27"/>
  <c r="AB9" i="27" s="1"/>
  <c r="S9" i="27" s="1"/>
  <c r="T13" i="31"/>
  <c r="Z11" i="27"/>
  <c r="AB11" i="27"/>
  <c r="Z8" i="19"/>
  <c r="S13" i="27"/>
  <c r="T13" i="27"/>
  <c r="AB11" i="19"/>
  <c r="T11" i="19" s="1"/>
  <c r="Y6" i="19"/>
  <c r="Y12" i="19"/>
  <c r="AB12" i="19" s="1"/>
  <c r="T12" i="19" s="1"/>
  <c r="F4" i="27"/>
  <c r="F4" i="19"/>
  <c r="T6" i="27" l="1"/>
  <c r="T6" i="31"/>
  <c r="AC14" i="27"/>
  <c r="AD14" i="27"/>
  <c r="I14" i="25"/>
  <c r="AD14" i="19"/>
  <c r="D19" i="19"/>
  <c r="I10" i="19"/>
  <c r="F7" i="19" s="1"/>
  <c r="AC14" i="19"/>
  <c r="D19" i="31"/>
  <c r="AC8" i="31"/>
  <c r="AC14" i="31" s="1"/>
  <c r="N8" i="31"/>
  <c r="N20" i="31" s="1"/>
  <c r="P20" i="31" s="1"/>
  <c r="O8" i="31"/>
  <c r="O20" i="31" s="1"/>
  <c r="Q20" i="31" s="1"/>
  <c r="AD8" i="31"/>
  <c r="AD14" i="31" s="1"/>
  <c r="T10" i="31"/>
  <c r="D20" i="19"/>
  <c r="E40" i="19"/>
  <c r="H40" i="19" s="1"/>
  <c r="I40" i="19" s="1"/>
  <c r="D20" i="27"/>
  <c r="S13" i="19"/>
  <c r="S12" i="19"/>
  <c r="H37" i="31"/>
  <c r="I37" i="31" s="1"/>
  <c r="I36" i="31"/>
  <c r="I36" i="19"/>
  <c r="H37" i="19"/>
  <c r="I37" i="19" s="1"/>
  <c r="D8" i="30"/>
  <c r="H41" i="19"/>
  <c r="I41" i="19" s="1"/>
  <c r="D6" i="30"/>
  <c r="H39" i="19"/>
  <c r="I39" i="19" s="1"/>
  <c r="I19" i="25"/>
  <c r="F12" i="25"/>
  <c r="S7" i="31"/>
  <c r="S14" i="31" s="1"/>
  <c r="T12" i="31"/>
  <c r="T9" i="19"/>
  <c r="S11" i="19"/>
  <c r="Z6" i="19"/>
  <c r="AB6" i="19"/>
  <c r="T11" i="27"/>
  <c r="S11" i="27"/>
  <c r="AB10" i="19"/>
  <c r="Z10" i="19"/>
  <c r="T9" i="27"/>
  <c r="AB10" i="27"/>
  <c r="Z10" i="27"/>
  <c r="T14" i="31" l="1"/>
  <c r="Q26" i="31" s="1"/>
  <c r="O26" i="31" s="1"/>
  <c r="O27" i="31" s="1"/>
  <c r="Q27" i="31" s="1"/>
  <c r="O33" i="31" s="1"/>
  <c r="O34" i="31" s="1"/>
  <c r="P26" i="31"/>
  <c r="N26" i="31" s="1"/>
  <c r="N27" i="31" s="1"/>
  <c r="P27" i="31" s="1"/>
  <c r="N33" i="31" s="1"/>
  <c r="N34" i="31" s="1"/>
  <c r="I15" i="31" s="1"/>
  <c r="F13" i="25"/>
  <c r="J8" i="19" s="1"/>
  <c r="I8" i="19" s="1"/>
  <c r="I14" i="19" s="1"/>
  <c r="I18" i="25"/>
  <c r="J18" i="25" s="1"/>
  <c r="D7" i="30"/>
  <c r="I45" i="19"/>
  <c r="I46" i="19" s="1"/>
  <c r="F16" i="25"/>
  <c r="E20" i="25"/>
  <c r="J19" i="25"/>
  <c r="F15" i="25"/>
  <c r="S10" i="27"/>
  <c r="S14" i="27" s="1"/>
  <c r="P26" i="27" s="1"/>
  <c r="N26" i="27" s="1"/>
  <c r="N27" i="27" s="1"/>
  <c r="P27" i="27" s="1"/>
  <c r="N33" i="27" s="1"/>
  <c r="N34" i="27" s="1"/>
  <c r="I15" i="27" s="1"/>
  <c r="T10" i="27"/>
  <c r="T14" i="27" s="1"/>
  <c r="Q26" i="27" s="1"/>
  <c r="O26" i="27" s="1"/>
  <c r="O27" i="27" s="1"/>
  <c r="Q27" i="27" s="1"/>
  <c r="O33" i="27" s="1"/>
  <c r="O34" i="27" s="1"/>
  <c r="S10" i="19"/>
  <c r="T10" i="19"/>
  <c r="T6" i="19"/>
  <c r="S6" i="19"/>
  <c r="F14" i="25" l="1"/>
  <c r="J8" i="27"/>
  <c r="I8" i="27" s="1"/>
  <c r="F6" i="27" s="1"/>
  <c r="F20" i="25"/>
  <c r="J8" i="31"/>
  <c r="I8" i="31" s="1"/>
  <c r="F6" i="31" s="1"/>
  <c r="T14" i="19"/>
  <c r="Q26" i="19" s="1"/>
  <c r="O26" i="19" s="1"/>
  <c r="O27" i="19" s="1"/>
  <c r="Q27" i="19" s="1"/>
  <c r="O33" i="19" s="1"/>
  <c r="O34" i="19" s="1"/>
  <c r="I25" i="19" s="1"/>
  <c r="S14" i="19"/>
  <c r="P26" i="19" s="1"/>
  <c r="N26" i="19" s="1"/>
  <c r="N27" i="19" s="1"/>
  <c r="F6" i="19"/>
  <c r="I14" i="27" l="1"/>
  <c r="N35" i="27" s="1"/>
  <c r="J15" i="27" s="1"/>
  <c r="F5" i="27" s="1"/>
  <c r="F11" i="27" s="1"/>
  <c r="I14" i="31"/>
  <c r="O35" i="31" s="1"/>
  <c r="P27" i="19"/>
  <c r="N33" i="19" s="1"/>
  <c r="N34" i="19" s="1"/>
  <c r="I15" i="19" s="1"/>
  <c r="I26" i="19" s="1"/>
  <c r="O35" i="19"/>
  <c r="N35" i="31"/>
  <c r="J15" i="31" s="1"/>
  <c r="F5" i="31" s="1"/>
  <c r="F12" i="31" s="1"/>
  <c r="I24" i="31"/>
  <c r="O35" i="27"/>
  <c r="I24" i="27"/>
  <c r="N35" i="19" l="1"/>
  <c r="J15" i="19" s="1"/>
  <c r="J24" i="31"/>
  <c r="I25" i="27"/>
  <c r="J25" i="27" s="1"/>
  <c r="J24" i="27"/>
  <c r="I20" i="31"/>
  <c r="E20" i="31"/>
  <c r="I21" i="31"/>
  <c r="I22" i="31"/>
  <c r="F13" i="31"/>
  <c r="F14" i="31" s="1"/>
  <c r="F16" i="31"/>
  <c r="F15" i="31"/>
  <c r="I25" i="31"/>
  <c r="J25" i="31" s="1"/>
  <c r="F12" i="27"/>
  <c r="F13" i="27" s="1"/>
  <c r="F15" i="27"/>
  <c r="E19" i="27"/>
  <c r="I22" i="27"/>
  <c r="I21" i="27"/>
  <c r="F14" i="27"/>
  <c r="I20" i="27"/>
  <c r="F5" i="19" l="1"/>
  <c r="F12" i="19" s="1"/>
  <c r="I23" i="19" s="1"/>
  <c r="J21" i="27"/>
  <c r="F20" i="27"/>
  <c r="F22" i="31"/>
  <c r="J22" i="31"/>
  <c r="J22" i="27"/>
  <c r="F21" i="27"/>
  <c r="J21" i="31"/>
  <c r="F21" i="31"/>
  <c r="J20" i="27"/>
  <c r="F19" i="27"/>
  <c r="F20" i="31"/>
  <c r="J20" i="31"/>
  <c r="I21" i="19" l="1"/>
  <c r="J21" i="19" s="1"/>
  <c r="I22" i="19"/>
  <c r="F21" i="19" s="1"/>
  <c r="F13" i="19"/>
  <c r="F14" i="19" s="1"/>
  <c r="F16" i="19"/>
  <c r="J25" i="19"/>
  <c r="F25" i="19" s="1"/>
  <c r="E20" i="19"/>
  <c r="F22" i="19"/>
  <c r="F15" i="19"/>
  <c r="J26" i="19"/>
  <c r="F20" i="19" l="1"/>
  <c r="J22" i="19"/>
  <c r="J23"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Steffen Schroedter</author>
  </authors>
  <commentList>
    <comment ref="L6" authorId="0" shapeId="0" xr:uid="{00000000-0006-0000-0100-000001000000}">
      <text>
        <r>
          <rPr>
            <b/>
            <sz val="9"/>
            <color indexed="81"/>
            <rFont val="Segoe UI"/>
            <family val="2"/>
          </rPr>
          <t>Steffen Schroedter:</t>
        </r>
        <r>
          <rPr>
            <sz val="9"/>
            <color indexed="81"/>
            <rFont val="Segoe UI"/>
            <family val="2"/>
          </rPr>
          <t xml:space="preserve">
Typ 3 Wartung schließt Umrichter- und Trafowartung mit ein. </t>
        </r>
      </text>
    </comment>
    <comment ref="I10" authorId="0" shapeId="0" xr:uid="{8AA7FCEE-3600-4D53-BEC0-AE9D61BA25DC}">
      <text>
        <r>
          <rPr>
            <b/>
            <sz val="9"/>
            <color indexed="81"/>
            <rFont val="Segoe UI"/>
            <family val="2"/>
          </rPr>
          <t>Steffen Schroedter:</t>
        </r>
        <r>
          <rPr>
            <sz val="9"/>
            <color indexed="81"/>
            <rFont val="Segoe UI"/>
            <family val="2"/>
          </rPr>
          <t xml:space="preserve">
Einmalaufwendung im WP z.B Restarbeiten an einzelnen WEA, Kosten werden auf WP verteilt</t>
        </r>
      </text>
    </comment>
    <comment ref="J10" authorId="0" shapeId="0" xr:uid="{A1621616-6CC9-4E2B-B43D-C2C1998A60AC}">
      <text>
        <r>
          <rPr>
            <b/>
            <sz val="9"/>
            <color indexed="81"/>
            <rFont val="Segoe UI"/>
            <family val="2"/>
          </rPr>
          <t>Steffen Schroedter:</t>
        </r>
        <r>
          <rPr>
            <sz val="9"/>
            <color indexed="81"/>
            <rFont val="Segoe UI"/>
            <family val="2"/>
          </rPr>
          <t xml:space="preserve">
Einmalaufwendung je WEA, jedoch an jeder WEA im WP durchzuführen</t>
        </r>
      </text>
    </comment>
    <comment ref="I11" authorId="0" shapeId="0" xr:uid="{EF271250-3A24-4B50-B3F3-18C48FA229CD}">
      <text>
        <r>
          <rPr>
            <b/>
            <sz val="9"/>
            <color indexed="81"/>
            <rFont val="Segoe UI"/>
            <family val="2"/>
          </rPr>
          <t>Steffen Schroedter:</t>
        </r>
        <r>
          <rPr>
            <sz val="9"/>
            <color indexed="81"/>
            <rFont val="Segoe UI"/>
            <family val="2"/>
          </rPr>
          <t xml:space="preserve">
Einmalaufwendung im WP z.B Restarbeiten an einzelnen WEA, Kosten werden auf WP verteilt</t>
        </r>
      </text>
    </comment>
    <comment ref="J11" authorId="0" shapeId="0" xr:uid="{2ADF15C6-15D7-4D03-ACAD-4201D07F16CE}">
      <text>
        <r>
          <rPr>
            <b/>
            <sz val="9"/>
            <color indexed="81"/>
            <rFont val="Segoe UI"/>
            <family val="2"/>
          </rPr>
          <t>Steffen Schroedter:</t>
        </r>
        <r>
          <rPr>
            <sz val="9"/>
            <color indexed="81"/>
            <rFont val="Segoe UI"/>
            <family val="2"/>
          </rPr>
          <t xml:space="preserve">
Einmalaufwendung je WEA, jedoch an jeder WEA im WP durchzuführen</t>
        </r>
      </text>
    </comment>
    <comment ref="R13" authorId="0" shapeId="0" xr:uid="{00000000-0006-0000-0100-000002000000}">
      <text>
        <r>
          <rPr>
            <b/>
            <sz val="9"/>
            <color indexed="81"/>
            <rFont val="Segoe UI"/>
            <family val="2"/>
          </rPr>
          <t>Steffen Schroedter:</t>
        </r>
        <r>
          <rPr>
            <sz val="9"/>
            <color indexed="81"/>
            <rFont val="Segoe UI"/>
            <family val="2"/>
          </rPr>
          <t xml:space="preserve">
Annahme: Durchschnittsgeschwindigkeit: 50 km/h</t>
        </r>
      </text>
    </comment>
    <comment ref="L20" authorId="0" shapeId="0" xr:uid="{94106B3B-19DB-4302-BF3B-9260503A91D0}">
      <text>
        <r>
          <rPr>
            <b/>
            <sz val="9"/>
            <color indexed="81"/>
            <rFont val="Segoe UI"/>
            <family val="2"/>
          </rPr>
          <t>Steffen Schroedter:</t>
        </r>
        <r>
          <rPr>
            <sz val="9"/>
            <color indexed="81"/>
            <rFont val="Segoe UI"/>
            <family val="2"/>
          </rPr>
          <t xml:space="preserve">
Bei Senvion 3.XM WEA Vergleichsrechnung zu den Zusatzwartungen durchführen. Hier wird nur ein gemittelter Preis berechnet. Genaue Berechnung in Abhängigkeit der Betriebsjahre ist im seperaten Kalkulator 'Zusatzwartungen 3.XM' durchzuführen.</t>
        </r>
      </text>
    </comment>
    <comment ref="D23" authorId="0" shapeId="0" xr:uid="{00000000-0006-0000-0100-000003000000}">
      <text>
        <r>
          <rPr>
            <b/>
            <sz val="9"/>
            <color indexed="81"/>
            <rFont val="Segoe UI"/>
            <family val="2"/>
          </rPr>
          <t>Steffen Schroedter:</t>
        </r>
        <r>
          <rPr>
            <sz val="9"/>
            <color indexed="81"/>
            <rFont val="Segoe UI"/>
            <family val="2"/>
          </rPr>
          <t xml:space="preserve">
20 Jahre minus aufgerundete Differenz aus Vertragsstart DWTX und IBN.</t>
        </r>
      </text>
    </comment>
    <comment ref="M29" authorId="0" shapeId="0" xr:uid="{00000000-0006-0000-0100-000004000000}">
      <text>
        <r>
          <rPr>
            <b/>
            <sz val="9"/>
            <color indexed="81"/>
            <rFont val="Segoe UI"/>
            <family val="2"/>
          </rPr>
          <t>Steffen Schroedter:</t>
        </r>
        <r>
          <rPr>
            <sz val="9"/>
            <color indexed="81"/>
            <rFont val="Segoe UI"/>
            <family val="2"/>
          </rPr>
          <t xml:space="preserve">
Annahme: Durchschnittsgeschwindigkeit: 50 km/h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Steffen Schroedter</author>
  </authors>
  <commentList>
    <comment ref="Q3" authorId="0" shapeId="0" xr:uid="{DA6FC353-589E-4B9D-B855-F2250A2E0799}">
      <text>
        <r>
          <rPr>
            <b/>
            <sz val="9"/>
            <color indexed="81"/>
            <rFont val="Segoe UI"/>
            <family val="2"/>
          </rPr>
          <t>Steffen Schroedter:</t>
        </r>
        <r>
          <rPr>
            <sz val="9"/>
            <color indexed="81"/>
            <rFont val="Segoe UI"/>
            <family val="2"/>
          </rPr>
          <t xml:space="preserve">
Werte basieren auf Ausfallwahrscheinlichkeiten im Reiter 'Großkomponenten'.
Beispiel: Für Getriebe wird im negativen Fall für eine Laufzeit von 20 Jahren angenommen, dass pro WEA ein Getriebe getauscht werden muss, im durchschnittlichem Fall nur 0,66.</t>
        </r>
      </text>
    </comment>
    <comment ref="Q10" authorId="0" shapeId="0" xr:uid="{00000000-0006-0000-0200-000001000000}">
      <text>
        <r>
          <rPr>
            <b/>
            <sz val="9"/>
            <color indexed="81"/>
            <rFont val="Segoe UI"/>
            <family val="2"/>
          </rPr>
          <t>Steffen Schroedter:</t>
        </r>
        <r>
          <rPr>
            <sz val="9"/>
            <color indexed="81"/>
            <rFont val="Segoe UI"/>
            <family val="2"/>
          </rPr>
          <t xml:space="preserve">
ggf. 1x pro Park</t>
        </r>
      </text>
    </comment>
    <comment ref="I11" authorId="0" shapeId="0" xr:uid="{FBA38DB7-73E2-4BBE-8074-3FA183450821}">
      <text>
        <r>
          <rPr>
            <b/>
            <sz val="9"/>
            <color indexed="81"/>
            <rFont val="Segoe UI"/>
            <family val="2"/>
          </rPr>
          <t>Steffen Schroedter:</t>
        </r>
        <r>
          <rPr>
            <sz val="9"/>
            <color indexed="81"/>
            <rFont val="Segoe UI"/>
            <family val="2"/>
          </rPr>
          <t xml:space="preserve">
Einmalaufwendung im WP z.B Restarbeiten an einzelnen WEA, Kosten werden auf WP verteilt</t>
        </r>
      </text>
    </comment>
    <comment ref="J11" authorId="0" shapeId="0" xr:uid="{0ADFE280-3255-4324-A2C8-B8FE584AEB96}">
      <text>
        <r>
          <rPr>
            <b/>
            <sz val="9"/>
            <color indexed="81"/>
            <rFont val="Segoe UI"/>
            <family val="2"/>
          </rPr>
          <t>Steffen Schroedter:</t>
        </r>
        <r>
          <rPr>
            <sz val="9"/>
            <color indexed="81"/>
            <rFont val="Segoe UI"/>
            <family val="2"/>
          </rPr>
          <t xml:space="preserve">
Einmalaufwendung je WEA, jedoch an jeder WEA im WP durchzuführen</t>
        </r>
      </text>
    </comment>
    <comment ref="Q11" authorId="0" shapeId="0" xr:uid="{00000000-0006-0000-0200-000002000000}">
      <text>
        <r>
          <rPr>
            <b/>
            <sz val="9"/>
            <color indexed="81"/>
            <rFont val="Segoe UI"/>
            <family val="2"/>
          </rPr>
          <t>Steffen Schroedter:</t>
        </r>
        <r>
          <rPr>
            <sz val="9"/>
            <color indexed="81"/>
            <rFont val="Segoe UI"/>
            <family val="2"/>
          </rPr>
          <t xml:space="preserve">
ggf. 1x pro Park</t>
        </r>
      </text>
    </comment>
    <comment ref="I12" authorId="0" shapeId="0" xr:uid="{627ADE08-6167-49A7-8CF7-52137B6DEFBA}">
      <text>
        <r>
          <rPr>
            <b/>
            <sz val="9"/>
            <color indexed="81"/>
            <rFont val="Segoe UI"/>
            <family val="2"/>
          </rPr>
          <t>Steffen Schroedter:</t>
        </r>
        <r>
          <rPr>
            <sz val="9"/>
            <color indexed="81"/>
            <rFont val="Segoe UI"/>
            <family val="2"/>
          </rPr>
          <t xml:space="preserve">
Einmalaufwendung im WP z.B Restarbeiten an einzelnen WEA, Kosten werden auf WP verteilt</t>
        </r>
      </text>
    </comment>
    <comment ref="J12" authorId="0" shapeId="0" xr:uid="{BA54BFA1-28CD-4F09-8EAB-35EA73370E98}">
      <text>
        <r>
          <rPr>
            <b/>
            <sz val="9"/>
            <color indexed="81"/>
            <rFont val="Segoe UI"/>
            <family val="2"/>
          </rPr>
          <t xml:space="preserve">Steffen Schroedter:
</t>
        </r>
        <r>
          <rPr>
            <sz val="9"/>
            <color indexed="81"/>
            <rFont val="Segoe UI"/>
            <family val="2"/>
          </rPr>
          <t>Einmalaufwendung je WEA, jedoch an jeder WEA im WP durchzuführen</t>
        </r>
      </text>
    </comment>
    <comment ref="Q12" authorId="0" shapeId="0" xr:uid="{00000000-0006-0000-0200-000003000000}">
      <text>
        <r>
          <rPr>
            <b/>
            <sz val="9"/>
            <color indexed="81"/>
            <rFont val="Segoe UI"/>
            <family val="2"/>
          </rPr>
          <t>Steffen Schroedter:</t>
        </r>
        <r>
          <rPr>
            <sz val="9"/>
            <color indexed="81"/>
            <rFont val="Segoe UI"/>
            <family val="2"/>
          </rPr>
          <t xml:space="preserve">
ggf. 1x pro Park</t>
        </r>
      </text>
    </comment>
    <comment ref="D24" authorId="0" shapeId="0" xr:uid="{00000000-0006-0000-0200-000004000000}">
      <text>
        <r>
          <rPr>
            <b/>
            <sz val="9"/>
            <color indexed="81"/>
            <rFont val="Segoe UI"/>
            <family val="2"/>
          </rPr>
          <t>Steffen Schroedter:</t>
        </r>
        <r>
          <rPr>
            <sz val="9"/>
            <color indexed="81"/>
            <rFont val="Segoe UI"/>
            <family val="2"/>
          </rPr>
          <t xml:space="preserve">
20 Jahre minus aufgerundete Differenz aus Vertragsstart DWTX und IBN.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Steffen Schroedter</author>
  </authors>
  <commentList>
    <comment ref="Q3" authorId="0" shapeId="0" xr:uid="{3B013AED-B85E-4994-A249-1FAD8C4A800F}">
      <text>
        <r>
          <rPr>
            <b/>
            <sz val="9"/>
            <color indexed="81"/>
            <rFont val="Segoe UI"/>
            <family val="2"/>
          </rPr>
          <t>Steffen Schroedter:</t>
        </r>
        <r>
          <rPr>
            <sz val="9"/>
            <color indexed="81"/>
            <rFont val="Segoe UI"/>
            <family val="2"/>
          </rPr>
          <t xml:space="preserve">
Werte basieren auf Ausfallwahrscheinlichkeiten im Reiter 'Großkomponenten'.
Beispiel: Für Getriebe wird im negativen Fall für eine Laufzeit von 20 Jahren angenommen, dass pro WEA ein Getriebe getauscht werden muss, im durchschnittlichem Fall nur 0,66.</t>
        </r>
      </text>
    </comment>
    <comment ref="P6" authorId="0" shapeId="0" xr:uid="{00000000-0006-0000-0300-000001000000}">
      <text>
        <r>
          <rPr>
            <b/>
            <sz val="9"/>
            <color indexed="81"/>
            <rFont val="Segoe UI"/>
            <family val="2"/>
          </rPr>
          <t>Steffen Schroedter:</t>
        </r>
        <r>
          <rPr>
            <sz val="9"/>
            <color indexed="81"/>
            <rFont val="Segoe UI"/>
            <family val="2"/>
          </rPr>
          <t xml:space="preserve">
um 5000 € reduziert.</t>
        </r>
      </text>
    </comment>
    <comment ref="P7" authorId="0" shapeId="0" xr:uid="{00000000-0006-0000-0300-000002000000}">
      <text>
        <r>
          <rPr>
            <b/>
            <sz val="9"/>
            <color indexed="81"/>
            <rFont val="Segoe UI"/>
            <family val="2"/>
          </rPr>
          <t>Steffen Schroedter:</t>
        </r>
        <r>
          <rPr>
            <sz val="9"/>
            <color indexed="81"/>
            <rFont val="Segoe UI"/>
            <family val="2"/>
          </rPr>
          <t xml:space="preserve">
um 5000 € reduziert.</t>
        </r>
      </text>
    </comment>
    <comment ref="P9" authorId="0" shapeId="0" xr:uid="{00000000-0006-0000-0300-000003000000}">
      <text>
        <r>
          <rPr>
            <b/>
            <sz val="9"/>
            <color indexed="81"/>
            <rFont val="Segoe UI"/>
            <family val="2"/>
          </rPr>
          <t>Steffen Schroedter:</t>
        </r>
        <r>
          <rPr>
            <sz val="9"/>
            <color indexed="81"/>
            <rFont val="Segoe UI"/>
            <family val="2"/>
          </rPr>
          <t xml:space="preserve">
um 5000 € reduziert.</t>
        </r>
      </text>
    </comment>
    <comment ref="Q10" authorId="0" shapeId="0" xr:uid="{00000000-0006-0000-0300-000004000000}">
      <text>
        <r>
          <rPr>
            <b/>
            <sz val="9"/>
            <color indexed="81"/>
            <rFont val="Segoe UI"/>
            <family val="2"/>
          </rPr>
          <t>Steffen Schroedter:</t>
        </r>
        <r>
          <rPr>
            <sz val="9"/>
            <color indexed="81"/>
            <rFont val="Segoe UI"/>
            <family val="2"/>
          </rPr>
          <t xml:space="preserve">
ggf. 1x pro Park</t>
        </r>
      </text>
    </comment>
    <comment ref="I11" authorId="0" shapeId="0" xr:uid="{0A21C816-7022-433D-BCC3-8E798ED4502B}">
      <text>
        <r>
          <rPr>
            <b/>
            <sz val="9"/>
            <color indexed="81"/>
            <rFont val="Segoe UI"/>
            <family val="2"/>
          </rPr>
          <t>Steffen Schroedter:</t>
        </r>
        <r>
          <rPr>
            <sz val="9"/>
            <color indexed="81"/>
            <rFont val="Segoe UI"/>
            <family val="2"/>
          </rPr>
          <t xml:space="preserve">
Einmalaufwendung im WP z.B Restarbeiten an einzelnen WEA, Kosten werden auf WP verteilt</t>
        </r>
      </text>
    </comment>
    <comment ref="J11" authorId="0" shapeId="0" xr:uid="{7DF13F13-8579-4730-B17B-7D7B90B4DB2C}">
      <text>
        <r>
          <rPr>
            <b/>
            <sz val="9"/>
            <color indexed="81"/>
            <rFont val="Segoe UI"/>
            <family val="2"/>
          </rPr>
          <t>Steffen Schroedter:</t>
        </r>
        <r>
          <rPr>
            <sz val="9"/>
            <color indexed="81"/>
            <rFont val="Segoe UI"/>
            <family val="2"/>
          </rPr>
          <t xml:space="preserve">
Einmalaufwendung je WEA, jedoch an jeder WEA im WP durchzuführen</t>
        </r>
      </text>
    </comment>
    <comment ref="Q11" authorId="0" shapeId="0" xr:uid="{00000000-0006-0000-0300-000005000000}">
      <text>
        <r>
          <rPr>
            <b/>
            <sz val="9"/>
            <color indexed="81"/>
            <rFont val="Segoe UI"/>
            <family val="2"/>
          </rPr>
          <t>Steffen Schroedter:</t>
        </r>
        <r>
          <rPr>
            <sz val="9"/>
            <color indexed="81"/>
            <rFont val="Segoe UI"/>
            <family val="2"/>
          </rPr>
          <t xml:space="preserve">
ggf. 1x pro Park</t>
        </r>
      </text>
    </comment>
    <comment ref="I12" authorId="0" shapeId="0" xr:uid="{8364F82E-191E-4CCF-A0EE-D26BEA8964B7}">
      <text>
        <r>
          <rPr>
            <b/>
            <sz val="9"/>
            <color indexed="81"/>
            <rFont val="Segoe UI"/>
            <family val="2"/>
          </rPr>
          <t>Steffen Schroedter:</t>
        </r>
        <r>
          <rPr>
            <sz val="9"/>
            <color indexed="81"/>
            <rFont val="Segoe UI"/>
            <family val="2"/>
          </rPr>
          <t xml:space="preserve">
Einmalaufwendung im WP z.B Restarbeiten an einzelnen WEA, Kosten werden auf WP verteilt</t>
        </r>
      </text>
    </comment>
    <comment ref="J12" authorId="0" shapeId="0" xr:uid="{807B4C48-386F-4DFD-8A69-3BA6F2A8DACF}">
      <text>
        <r>
          <rPr>
            <b/>
            <sz val="9"/>
            <color indexed="81"/>
            <rFont val="Segoe UI"/>
            <family val="2"/>
          </rPr>
          <t>Steffen Schroedter:</t>
        </r>
        <r>
          <rPr>
            <sz val="9"/>
            <color indexed="81"/>
            <rFont val="Segoe UI"/>
            <family val="2"/>
          </rPr>
          <t xml:space="preserve">
Einmalaufwendung je WEA, jedoch an jeder WEA im WP durchzuführen</t>
        </r>
      </text>
    </comment>
    <comment ref="Q12" authorId="0" shapeId="0" xr:uid="{00000000-0006-0000-0300-000006000000}">
      <text>
        <r>
          <rPr>
            <b/>
            <sz val="9"/>
            <color indexed="81"/>
            <rFont val="Segoe UI"/>
            <family val="2"/>
          </rPr>
          <t>Steffen Schroedter:</t>
        </r>
        <r>
          <rPr>
            <sz val="9"/>
            <color indexed="81"/>
            <rFont val="Segoe UI"/>
            <family val="2"/>
          </rPr>
          <t xml:space="preserve">
ggf. 1x pro Park</t>
        </r>
      </text>
    </comment>
    <comment ref="D24" authorId="0" shapeId="0" xr:uid="{00000000-0006-0000-0300-000007000000}">
      <text>
        <r>
          <rPr>
            <b/>
            <sz val="9"/>
            <color indexed="81"/>
            <rFont val="Segoe UI"/>
            <family val="2"/>
          </rPr>
          <t>Steffen Schroedter:</t>
        </r>
        <r>
          <rPr>
            <sz val="9"/>
            <color indexed="81"/>
            <rFont val="Segoe UI"/>
            <family val="2"/>
          </rPr>
          <t xml:space="preserve">
20 Jahre minus aufgerundete Differenz aus Vertragsstart DWTX und IBN.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Steffen Schroedter</author>
  </authors>
  <commentList>
    <comment ref="Q3" authorId="0" shapeId="0" xr:uid="{9C60547D-F968-43D6-A8AB-266131CBCD79}">
      <text>
        <r>
          <rPr>
            <b/>
            <sz val="9"/>
            <color indexed="81"/>
            <rFont val="Segoe UI"/>
            <family val="2"/>
          </rPr>
          <t>Steffen Schroedter:</t>
        </r>
        <r>
          <rPr>
            <sz val="9"/>
            <color indexed="81"/>
            <rFont val="Segoe UI"/>
            <family val="2"/>
          </rPr>
          <t xml:space="preserve">
Werte basieren auf Ausfallwahrscheinlichkeiten im Reiter 'Großkomponenten'.
Beispiel: Für Getriebe wird im negativen Fall für eine Laufzeit von 20 Jahren angenommen, dass pro WEA ein Getriebe getauscht werden muss, im durchschnittlichem Fall nur 0,66.</t>
        </r>
      </text>
    </comment>
    <comment ref="Q10" authorId="0" shapeId="0" xr:uid="{00000000-0006-0000-0400-000001000000}">
      <text>
        <r>
          <rPr>
            <b/>
            <sz val="9"/>
            <color indexed="81"/>
            <rFont val="Segoe UI"/>
            <family val="2"/>
          </rPr>
          <t>Steffen Schroedter:</t>
        </r>
        <r>
          <rPr>
            <sz val="9"/>
            <color indexed="81"/>
            <rFont val="Segoe UI"/>
            <family val="2"/>
          </rPr>
          <t xml:space="preserve">
ggf. 1x pro Park</t>
        </r>
      </text>
    </comment>
    <comment ref="I11" authorId="0" shapeId="0" xr:uid="{7E15AF76-2E21-4771-8194-8FFDCD81D100}">
      <text>
        <r>
          <rPr>
            <b/>
            <sz val="9"/>
            <color indexed="81"/>
            <rFont val="Segoe UI"/>
            <family val="2"/>
          </rPr>
          <t>Steffen Schroedter:</t>
        </r>
        <r>
          <rPr>
            <sz val="9"/>
            <color indexed="81"/>
            <rFont val="Segoe UI"/>
            <family val="2"/>
          </rPr>
          <t xml:space="preserve">
Einmalaufwendung im WP z.B Restarbeiten an einzelnen WEA, Kosten werden auf WP verteilt</t>
        </r>
      </text>
    </comment>
    <comment ref="J11" authorId="0" shapeId="0" xr:uid="{5DD1094B-9F5E-4E53-9D23-0FC17D514E02}">
      <text>
        <r>
          <rPr>
            <b/>
            <sz val="9"/>
            <color indexed="81"/>
            <rFont val="Segoe UI"/>
            <family val="2"/>
          </rPr>
          <t>Steffen Schroedter:</t>
        </r>
        <r>
          <rPr>
            <sz val="9"/>
            <color indexed="81"/>
            <rFont val="Segoe UI"/>
            <family val="2"/>
          </rPr>
          <t xml:space="preserve">
Einmalaufwendung je WEA, jedoch an jeder WEA im WP durchzuführen</t>
        </r>
      </text>
    </comment>
    <comment ref="Q11" authorId="0" shapeId="0" xr:uid="{00000000-0006-0000-0400-000002000000}">
      <text>
        <r>
          <rPr>
            <b/>
            <sz val="9"/>
            <color indexed="81"/>
            <rFont val="Segoe UI"/>
            <family val="2"/>
          </rPr>
          <t>Steffen Schroedter:</t>
        </r>
        <r>
          <rPr>
            <sz val="9"/>
            <color indexed="81"/>
            <rFont val="Segoe UI"/>
            <family val="2"/>
          </rPr>
          <t xml:space="preserve">
ggf. 1x pro Park</t>
        </r>
      </text>
    </comment>
    <comment ref="I12" authorId="0" shapeId="0" xr:uid="{E36466C3-EE30-4ED7-BAD9-9B4ACC16C69F}">
      <text>
        <r>
          <rPr>
            <b/>
            <sz val="9"/>
            <color indexed="81"/>
            <rFont val="Segoe UI"/>
            <family val="2"/>
          </rPr>
          <t>Steffen Schroedter:</t>
        </r>
        <r>
          <rPr>
            <sz val="9"/>
            <color indexed="81"/>
            <rFont val="Segoe UI"/>
            <family val="2"/>
          </rPr>
          <t xml:space="preserve">
Einmalaufwendung im WP z.B Restarbeiten an einzelnen WEA, Kosten werden auf WP verteilt</t>
        </r>
      </text>
    </comment>
    <comment ref="J12" authorId="0" shapeId="0" xr:uid="{A0295B9E-5B18-466C-A96D-4B1044B75B83}">
      <text>
        <r>
          <rPr>
            <b/>
            <sz val="9"/>
            <color indexed="81"/>
            <rFont val="Segoe UI"/>
            <family val="2"/>
          </rPr>
          <t>Steffen Schroedter:</t>
        </r>
        <r>
          <rPr>
            <sz val="9"/>
            <color indexed="81"/>
            <rFont val="Segoe UI"/>
            <family val="2"/>
          </rPr>
          <t xml:space="preserve">
Einmalaufwendung je WEA, jedoch an jeder WEA im WP durchzuführen</t>
        </r>
      </text>
    </comment>
    <comment ref="Q12" authorId="0" shapeId="0" xr:uid="{00000000-0006-0000-0400-000003000000}">
      <text>
        <r>
          <rPr>
            <b/>
            <sz val="9"/>
            <color indexed="81"/>
            <rFont val="Segoe UI"/>
            <family val="2"/>
          </rPr>
          <t>Steffen Schroedter:</t>
        </r>
        <r>
          <rPr>
            <sz val="9"/>
            <color indexed="81"/>
            <rFont val="Segoe UI"/>
            <family val="2"/>
          </rPr>
          <t xml:space="preserve">
ggf. 1x pro Park</t>
        </r>
      </text>
    </comment>
    <comment ref="D24" authorId="0" shapeId="0" xr:uid="{00000000-0006-0000-0400-000004000000}">
      <text>
        <r>
          <rPr>
            <b/>
            <sz val="9"/>
            <color indexed="81"/>
            <rFont val="Segoe UI"/>
            <family val="2"/>
          </rPr>
          <t>Steffen Schroedter:</t>
        </r>
        <r>
          <rPr>
            <sz val="9"/>
            <color indexed="81"/>
            <rFont val="Segoe UI"/>
            <family val="2"/>
          </rPr>
          <t xml:space="preserve">
20 Jahre minus aufgerundete Differenz aus Vertragsstart DWTX und IBN.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Steffen Schroedter</author>
  </authors>
  <commentList>
    <comment ref="D5" authorId="0" shapeId="0" xr:uid="{00000000-0006-0000-0600-000001000000}">
      <text>
        <r>
          <rPr>
            <b/>
            <sz val="9"/>
            <color indexed="81"/>
            <rFont val="Segoe UI"/>
            <family val="2"/>
          </rPr>
          <t>Steffen Schroedter:
Quelle: Service (tatsächlich enstandene Wartungskosten 2015-16) Christian Klöckner 10.03.17</t>
        </r>
        <r>
          <rPr>
            <sz val="9"/>
            <color indexed="81"/>
            <rFont val="Segoe UI"/>
            <family val="2"/>
          </rPr>
          <t xml:space="preserve">
Quelle: Berechnung basierend auf Wartungsmaterialbestellliste Sascha Niemöller
Stand: 06.03.17</t>
        </r>
      </text>
    </comment>
    <comment ref="E5" authorId="0" shapeId="0" xr:uid="{00000000-0006-0000-0600-000002000000}">
      <text>
        <r>
          <rPr>
            <b/>
            <sz val="9"/>
            <color indexed="81"/>
            <rFont val="Segoe UI"/>
            <family val="2"/>
          </rPr>
          <t>Steffen Schroedter:</t>
        </r>
        <r>
          <rPr>
            <sz val="9"/>
            <color indexed="81"/>
            <rFont val="Segoe UI"/>
            <family val="2"/>
          </rPr>
          <t xml:space="preserve">
</t>
        </r>
        <r>
          <rPr>
            <b/>
            <sz val="9"/>
            <color indexed="81"/>
            <rFont val="Segoe UI"/>
            <family val="2"/>
          </rPr>
          <t>Quelle: Service (tatsächlich enstandene Wartungskosten 2015-16) Christian Klöckner 10.03.17</t>
        </r>
        <r>
          <rPr>
            <sz val="9"/>
            <color indexed="81"/>
            <rFont val="Segoe UI"/>
            <family val="2"/>
          </rPr>
          <t xml:space="preserve">
Quelle: Berechnung basierend auf Wartungsmaterialbestellliste Sascha Niemöller
Stand: 06.03.17
Quelle: Berechnung basierend auf Wartungsmaterialbestellliste Sascha Niemöller
Stand: 06.03.17</t>
        </r>
      </text>
    </comment>
    <comment ref="P5" authorId="0" shapeId="0" xr:uid="{00000000-0006-0000-0600-000003000000}">
      <text>
        <r>
          <rPr>
            <b/>
            <sz val="9"/>
            <color indexed="81"/>
            <rFont val="Segoe UI"/>
            <family val="2"/>
          </rPr>
          <t>Steffen Schroedter:</t>
        </r>
        <r>
          <rPr>
            <sz val="9"/>
            <color indexed="81"/>
            <rFont val="Segoe UI"/>
            <family val="2"/>
          </rPr>
          <t xml:space="preserve">
</t>
        </r>
        <r>
          <rPr>
            <b/>
            <sz val="9"/>
            <color indexed="81"/>
            <rFont val="Segoe UI"/>
            <family val="2"/>
          </rPr>
          <t>Quelle: Effektiv verbrauchte Wartungsstunden 2015-16 Christian Klöckner 10.03.17</t>
        </r>
      </text>
    </comment>
    <comment ref="Q5" authorId="0" shapeId="0" xr:uid="{00000000-0006-0000-0600-000004000000}">
      <text>
        <r>
          <rPr>
            <b/>
            <sz val="9"/>
            <color indexed="81"/>
            <rFont val="Segoe UI"/>
            <family val="2"/>
          </rPr>
          <t>Steffen Schroedter:</t>
        </r>
        <r>
          <rPr>
            <sz val="9"/>
            <color indexed="81"/>
            <rFont val="Segoe UI"/>
            <family val="2"/>
          </rPr>
          <t xml:space="preserve">
</t>
        </r>
        <r>
          <rPr>
            <b/>
            <sz val="9"/>
            <color indexed="81"/>
            <rFont val="Segoe UI"/>
            <family val="2"/>
          </rPr>
          <t>Quelle: Effektiv verbrauchte Wartungsstunden 2015-16 Christian Klöckner 10.03.17</t>
        </r>
      </text>
    </comment>
    <comment ref="Y5" authorId="0" shapeId="0" xr:uid="{00000000-0006-0000-0600-000005000000}">
      <text>
        <r>
          <rPr>
            <b/>
            <sz val="9"/>
            <color indexed="81"/>
            <rFont val="Segoe UI"/>
            <family val="2"/>
          </rPr>
          <t>Steffen Schroedter:</t>
        </r>
        <r>
          <rPr>
            <sz val="9"/>
            <color indexed="81"/>
            <rFont val="Segoe UI"/>
            <family val="2"/>
          </rPr>
          <t xml:space="preserve">
Quelle: Severin, 2017</t>
        </r>
      </text>
    </comment>
    <comment ref="Z5" authorId="0" shapeId="0" xr:uid="{00000000-0006-0000-0600-000006000000}">
      <text>
        <r>
          <rPr>
            <b/>
            <sz val="9"/>
            <color indexed="81"/>
            <rFont val="Segoe UI"/>
            <family val="2"/>
          </rPr>
          <t>Steffen Schroedter:</t>
        </r>
        <r>
          <rPr>
            <sz val="9"/>
            <color indexed="81"/>
            <rFont val="Segoe UI"/>
            <family val="2"/>
          </rPr>
          <t xml:space="preserve">
Annahme: durchschnittliche Arbeitszeit an WEA: 5 h</t>
        </r>
      </text>
    </comment>
    <comment ref="E6" authorId="0" shapeId="0" xr:uid="{9602C041-F1D5-4CE3-8232-E84D2FB29065}">
      <text>
        <r>
          <rPr>
            <b/>
            <sz val="9"/>
            <color indexed="81"/>
            <rFont val="Segoe UI"/>
            <family val="2"/>
          </rPr>
          <t>Steffen Schroedter:</t>
        </r>
        <r>
          <rPr>
            <sz val="9"/>
            <color indexed="81"/>
            <rFont val="Segoe UI"/>
            <family val="2"/>
          </rPr>
          <t xml:space="preserve">
Zusatzkosten für Minimax-Wartung inkludiert (3000 €)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Steffen Schroedter</author>
  </authors>
  <commentList>
    <comment ref="D5" authorId="0" shapeId="0" xr:uid="{00000000-0006-0000-0700-000001000000}">
      <text>
        <r>
          <rPr>
            <b/>
            <sz val="9"/>
            <color indexed="81"/>
            <rFont val="Segoe UI"/>
            <family val="2"/>
          </rPr>
          <t>Steffen Schroedter:</t>
        </r>
        <r>
          <rPr>
            <sz val="9"/>
            <color indexed="81"/>
            <rFont val="Segoe UI"/>
            <family val="2"/>
          </rPr>
          <t xml:space="preserve">
Quelle: Rahmenangebot 3G Gearcheck, 2017</t>
        </r>
      </text>
    </comment>
    <comment ref="E5" authorId="0" shapeId="0" xr:uid="{00000000-0006-0000-0700-000002000000}">
      <text>
        <r>
          <rPr>
            <b/>
            <sz val="9"/>
            <color indexed="81"/>
            <rFont val="Segoe UI"/>
            <family val="2"/>
          </rPr>
          <t>Steffen Schroedter:</t>
        </r>
        <r>
          <rPr>
            <sz val="9"/>
            <color indexed="81"/>
            <rFont val="Segoe UI"/>
            <family val="2"/>
          </rPr>
          <t xml:space="preserve">
Quelle: Rahmenangebot Level 360, 2017</t>
        </r>
      </text>
    </comment>
    <comment ref="F5" authorId="0" shapeId="0" xr:uid="{00000000-0006-0000-0700-000003000000}">
      <text>
        <r>
          <rPr>
            <b/>
            <sz val="9"/>
            <color indexed="81"/>
            <rFont val="Segoe UI"/>
            <family val="2"/>
          </rPr>
          <t>Steffen Schroedter:</t>
        </r>
        <r>
          <rPr>
            <sz val="9"/>
            <color indexed="81"/>
            <rFont val="Segoe UI"/>
            <family val="2"/>
          </rPr>
          <t xml:space="preserve">
Quelle: Rahmenangebot Level 360, 2017
grober Mittelwert der jährlichen Wartungskosten unabhängig von BFA Hersteller</t>
        </r>
      </text>
    </comment>
    <comment ref="G5" authorId="0" shapeId="0" xr:uid="{00000000-0006-0000-0700-000004000000}">
      <text>
        <r>
          <rPr>
            <b/>
            <sz val="9"/>
            <color indexed="81"/>
            <rFont val="Segoe UI"/>
            <family val="2"/>
          </rPr>
          <t>Steffen Schroedter:</t>
        </r>
        <r>
          <rPr>
            <sz val="9"/>
            <color indexed="81"/>
            <rFont val="Segoe UI"/>
            <family val="2"/>
          </rPr>
          <t xml:space="preserve">
Quelle: Severin, 2017</t>
        </r>
      </text>
    </comment>
    <comment ref="N5" authorId="0" shapeId="0" xr:uid="{00000000-0006-0000-0700-000005000000}">
      <text>
        <r>
          <rPr>
            <b/>
            <sz val="9"/>
            <color indexed="81"/>
            <rFont val="Segoe UI"/>
            <family val="2"/>
          </rPr>
          <t>Steffen Schroedter:</t>
        </r>
        <r>
          <rPr>
            <sz val="9"/>
            <color indexed="81"/>
            <rFont val="Segoe UI"/>
            <family val="2"/>
          </rPr>
          <t xml:space="preserve">
Quelle: Rahmenangebot Level 360, 2017</t>
        </r>
      </text>
    </comment>
    <comment ref="G11" authorId="0" shapeId="0" xr:uid="{00000000-0006-0000-0700-000006000000}">
      <text>
        <r>
          <rPr>
            <b/>
            <sz val="9"/>
            <color indexed="81"/>
            <rFont val="Segoe UI"/>
            <family val="2"/>
          </rPr>
          <t>Steffen Schroedter:</t>
        </r>
        <r>
          <rPr>
            <sz val="9"/>
            <color indexed="81"/>
            <rFont val="Segoe UI"/>
            <family val="2"/>
          </rPr>
          <t xml:space="preserve">
in 3J-Wartung enthalten</t>
        </r>
      </text>
    </comment>
    <comment ref="G33" authorId="0" shapeId="0" xr:uid="{00000000-0006-0000-0700-000007000000}">
      <text>
        <r>
          <rPr>
            <b/>
            <sz val="9"/>
            <color indexed="81"/>
            <rFont val="Segoe UI"/>
            <family val="2"/>
          </rPr>
          <t>Steffen Schroedter:</t>
        </r>
        <r>
          <rPr>
            <sz val="9"/>
            <color indexed="81"/>
            <rFont val="Segoe UI"/>
            <family val="2"/>
          </rPr>
          <t xml:space="preserve">
in 3J-Wartung enthalten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Steffen Schroedter</author>
  </authors>
  <commentList>
    <comment ref="V5" authorId="0" shapeId="0" xr:uid="{00000000-0006-0000-0800-000001000000}">
      <text>
        <r>
          <rPr>
            <b/>
            <sz val="9"/>
            <color indexed="81"/>
            <rFont val="Segoe UI"/>
            <family val="2"/>
          </rPr>
          <t>Steffen Schroedter:</t>
        </r>
        <r>
          <rPr>
            <sz val="9"/>
            <color indexed="81"/>
            <rFont val="Segoe UI"/>
            <family val="2"/>
          </rPr>
          <t xml:space="preserve">
Montagekosten in Großkomponentenpreisen inbegriffen.</t>
        </r>
      </text>
    </comment>
    <comment ref="T16" authorId="0" shapeId="0" xr:uid="{00000000-0006-0000-0800-000002000000}">
      <text>
        <r>
          <rPr>
            <b/>
            <sz val="9"/>
            <color indexed="81"/>
            <rFont val="Segoe UI"/>
            <family val="2"/>
          </rPr>
          <t>Steffen Schroedter:</t>
        </r>
        <r>
          <rPr>
            <sz val="9"/>
            <color indexed="81"/>
            <rFont val="Segoe UI"/>
            <family val="2"/>
          </rPr>
          <t xml:space="preserve">
basiert auf 4 durchgeführten Tausch</t>
        </r>
      </text>
    </comment>
    <comment ref="U16" authorId="0" shapeId="0" xr:uid="{00000000-0006-0000-0800-000003000000}">
      <text>
        <r>
          <rPr>
            <b/>
            <sz val="9"/>
            <color indexed="81"/>
            <rFont val="Segoe UI"/>
            <family val="2"/>
          </rPr>
          <t>Steffen Schroedter:</t>
        </r>
        <r>
          <rPr>
            <sz val="9"/>
            <color indexed="81"/>
            <rFont val="Segoe UI"/>
            <family val="2"/>
          </rPr>
          <t xml:space="preserve">
basiert auf einem durchgeführten Tausch
</t>
        </r>
      </text>
    </comment>
    <comment ref="Z16" authorId="0" shapeId="0" xr:uid="{00000000-0006-0000-0800-000004000000}">
      <text>
        <r>
          <rPr>
            <b/>
            <sz val="9"/>
            <color indexed="81"/>
            <rFont val="Segoe UI"/>
            <family val="2"/>
          </rPr>
          <t>Steffen Schroedter:</t>
        </r>
        <r>
          <rPr>
            <sz val="9"/>
            <color indexed="81"/>
            <rFont val="Segoe UI"/>
            <family val="2"/>
          </rPr>
          <t xml:space="preserve">
basiert auf einem durchgeführten Tauschen</t>
        </r>
      </text>
    </comment>
    <comment ref="AA16" authorId="0" shapeId="0" xr:uid="{00000000-0006-0000-0800-000005000000}">
      <text>
        <r>
          <rPr>
            <b/>
            <sz val="9"/>
            <color indexed="81"/>
            <rFont val="Segoe UI"/>
            <family val="2"/>
          </rPr>
          <t>Steffen Schroedter:</t>
        </r>
        <r>
          <rPr>
            <sz val="9"/>
            <color indexed="81"/>
            <rFont val="Segoe UI"/>
            <family val="2"/>
          </rPr>
          <t xml:space="preserve">
basiert auf 4 durchgeführten Tausch</t>
        </r>
      </text>
    </comment>
    <comment ref="T17" authorId="0" shapeId="0" xr:uid="{00000000-0006-0000-0800-000015000000}">
      <text>
        <r>
          <rPr>
            <b/>
            <sz val="9"/>
            <color indexed="81"/>
            <rFont val="Segoe UI"/>
            <family val="2"/>
          </rPr>
          <t>Steffen Schroedter:</t>
        </r>
        <r>
          <rPr>
            <sz val="9"/>
            <color indexed="81"/>
            <rFont val="Segoe UI"/>
            <family val="2"/>
          </rPr>
          <t xml:space="preserve">
basiert auf 4 durchgeführten Tausch</t>
        </r>
      </text>
    </comment>
    <comment ref="U17" authorId="0" shapeId="0" xr:uid="{00000000-0006-0000-0800-000016000000}">
      <text>
        <r>
          <rPr>
            <b/>
            <sz val="9"/>
            <color indexed="81"/>
            <rFont val="Segoe UI"/>
            <family val="2"/>
          </rPr>
          <t>Steffen Schroedter:</t>
        </r>
        <r>
          <rPr>
            <sz val="9"/>
            <color indexed="81"/>
            <rFont val="Segoe UI"/>
            <family val="2"/>
          </rPr>
          <t xml:space="preserve">
basiert auf einem durchgeführten Tausch
</t>
        </r>
      </text>
    </comment>
    <comment ref="Z17" authorId="0" shapeId="0" xr:uid="{00000000-0006-0000-0800-000017000000}">
      <text>
        <r>
          <rPr>
            <b/>
            <sz val="9"/>
            <color indexed="81"/>
            <rFont val="Segoe UI"/>
            <family val="2"/>
          </rPr>
          <t>Steffen Schroedter:</t>
        </r>
        <r>
          <rPr>
            <sz val="9"/>
            <color indexed="81"/>
            <rFont val="Segoe UI"/>
            <family val="2"/>
          </rPr>
          <t xml:space="preserve">
basiert auf einem durchgeführten Tauschen</t>
        </r>
      </text>
    </comment>
    <comment ref="AA17" authorId="0" shapeId="0" xr:uid="{00000000-0006-0000-0800-000018000000}">
      <text>
        <r>
          <rPr>
            <b/>
            <sz val="9"/>
            <color indexed="81"/>
            <rFont val="Segoe UI"/>
            <family val="2"/>
          </rPr>
          <t>Steffen Schroedter:</t>
        </r>
        <r>
          <rPr>
            <sz val="9"/>
            <color indexed="81"/>
            <rFont val="Segoe UI"/>
            <family val="2"/>
          </rPr>
          <t xml:space="preserve">
basiert auf 4 durchgeführten Tausch</t>
        </r>
      </text>
    </comment>
    <comment ref="T18" authorId="0" shapeId="0" xr:uid="{0A478C64-FCE6-4503-A5B9-0035A28B0830}">
      <text>
        <r>
          <rPr>
            <b/>
            <sz val="9"/>
            <color indexed="81"/>
            <rFont val="Segoe UI"/>
            <family val="2"/>
          </rPr>
          <t>Steffen Schroedter:</t>
        </r>
        <r>
          <rPr>
            <sz val="9"/>
            <color indexed="81"/>
            <rFont val="Segoe UI"/>
            <family val="2"/>
          </rPr>
          <t xml:space="preserve">
basiert auf 4 durchgeführten Tausch</t>
        </r>
      </text>
    </comment>
    <comment ref="U18" authorId="0" shapeId="0" xr:uid="{42ACD7DD-9D5E-4BBB-BECA-1F19209B3753}">
      <text>
        <r>
          <rPr>
            <b/>
            <sz val="9"/>
            <color indexed="81"/>
            <rFont val="Segoe UI"/>
            <family val="2"/>
          </rPr>
          <t>Steffen Schroedter:</t>
        </r>
        <r>
          <rPr>
            <sz val="9"/>
            <color indexed="81"/>
            <rFont val="Segoe UI"/>
            <family val="2"/>
          </rPr>
          <t xml:space="preserve">
basiert auf einem durchgeführten Tausch
</t>
        </r>
      </text>
    </comment>
    <comment ref="Z18" authorId="0" shapeId="0" xr:uid="{8A0856F8-5C7D-4B5B-8A08-A64B2D99A82D}">
      <text>
        <r>
          <rPr>
            <b/>
            <sz val="9"/>
            <color indexed="81"/>
            <rFont val="Segoe UI"/>
            <family val="2"/>
          </rPr>
          <t>Steffen Schroedter:</t>
        </r>
        <r>
          <rPr>
            <sz val="9"/>
            <color indexed="81"/>
            <rFont val="Segoe UI"/>
            <family val="2"/>
          </rPr>
          <t xml:space="preserve">
basiert auf einem durchgeführten Tauschen</t>
        </r>
      </text>
    </comment>
    <comment ref="AA18" authorId="0" shapeId="0" xr:uid="{D2CF638A-991E-4570-9EC2-D3293559B7A4}">
      <text>
        <r>
          <rPr>
            <b/>
            <sz val="9"/>
            <color indexed="81"/>
            <rFont val="Segoe UI"/>
            <family val="2"/>
          </rPr>
          <t>Steffen Schroedter:</t>
        </r>
        <r>
          <rPr>
            <sz val="9"/>
            <color indexed="81"/>
            <rFont val="Segoe UI"/>
            <family val="2"/>
          </rPr>
          <t xml:space="preserve">
basiert auf 4 durchgeführten Tausch</t>
        </r>
      </text>
    </comment>
    <comment ref="T19" authorId="0" shapeId="0" xr:uid="{00000000-0006-0000-0800-000011000000}">
      <text>
        <r>
          <rPr>
            <b/>
            <sz val="9"/>
            <color indexed="81"/>
            <rFont val="Segoe UI"/>
            <family val="2"/>
          </rPr>
          <t>Steffen Schroedter:</t>
        </r>
        <r>
          <rPr>
            <sz val="9"/>
            <color indexed="81"/>
            <rFont val="Segoe UI"/>
            <family val="2"/>
          </rPr>
          <t xml:space="preserve">
basiert auf 4 durchgeführten Tausch</t>
        </r>
      </text>
    </comment>
    <comment ref="U19" authorId="0" shapeId="0" xr:uid="{00000000-0006-0000-0800-000012000000}">
      <text>
        <r>
          <rPr>
            <b/>
            <sz val="9"/>
            <color indexed="81"/>
            <rFont val="Segoe UI"/>
            <family val="2"/>
          </rPr>
          <t>Steffen Schroedter:</t>
        </r>
        <r>
          <rPr>
            <sz val="9"/>
            <color indexed="81"/>
            <rFont val="Segoe UI"/>
            <family val="2"/>
          </rPr>
          <t xml:space="preserve">
basiert auf einem durchgeführten Tausch
</t>
        </r>
      </text>
    </comment>
    <comment ref="Z19" authorId="0" shapeId="0" xr:uid="{00000000-0006-0000-0800-000013000000}">
      <text>
        <r>
          <rPr>
            <b/>
            <sz val="9"/>
            <color indexed="81"/>
            <rFont val="Segoe UI"/>
            <family val="2"/>
          </rPr>
          <t>Steffen Schroedter:</t>
        </r>
        <r>
          <rPr>
            <sz val="9"/>
            <color indexed="81"/>
            <rFont val="Segoe UI"/>
            <family val="2"/>
          </rPr>
          <t xml:space="preserve">
basiert auf einem durchgeführten Tauschen</t>
        </r>
      </text>
    </comment>
    <comment ref="AA19" authorId="0" shapeId="0" xr:uid="{00000000-0006-0000-0800-000014000000}">
      <text>
        <r>
          <rPr>
            <b/>
            <sz val="9"/>
            <color indexed="81"/>
            <rFont val="Segoe UI"/>
            <family val="2"/>
          </rPr>
          <t>Steffen Schroedter:</t>
        </r>
        <r>
          <rPr>
            <sz val="9"/>
            <color indexed="81"/>
            <rFont val="Segoe UI"/>
            <family val="2"/>
          </rPr>
          <t xml:space="preserve">
basiert auf 4 durchgeführten Tausch</t>
        </r>
      </text>
    </comment>
    <comment ref="T20" authorId="0" shapeId="0" xr:uid="{00000000-0006-0000-0800-000006000000}">
      <text>
        <r>
          <rPr>
            <b/>
            <sz val="9"/>
            <color indexed="81"/>
            <rFont val="Segoe UI"/>
            <family val="2"/>
          </rPr>
          <t>Steffen Schroedter:</t>
        </r>
        <r>
          <rPr>
            <sz val="9"/>
            <color indexed="81"/>
            <rFont val="Segoe UI"/>
            <family val="2"/>
          </rPr>
          <t xml:space="preserve">
basiert auf 17 durchgeführten Tausch</t>
        </r>
      </text>
    </comment>
    <comment ref="U20" authorId="0" shapeId="0" xr:uid="{00000000-0006-0000-0800-000007000000}">
      <text>
        <r>
          <rPr>
            <b/>
            <sz val="9"/>
            <color indexed="81"/>
            <rFont val="Segoe UI"/>
            <family val="2"/>
          </rPr>
          <t>Steffen Schroedter:</t>
        </r>
        <r>
          <rPr>
            <sz val="9"/>
            <color indexed="81"/>
            <rFont val="Segoe UI"/>
            <family val="2"/>
          </rPr>
          <t xml:space="preserve">
basiert auf 4 durchgeführten Tausch</t>
        </r>
      </text>
    </comment>
    <comment ref="AA20" authorId="0" shapeId="0" xr:uid="{00000000-0006-0000-0800-000008000000}">
      <text>
        <r>
          <rPr>
            <b/>
            <sz val="9"/>
            <color indexed="81"/>
            <rFont val="Segoe UI"/>
            <family val="2"/>
          </rPr>
          <t>Steffen Schroedter:</t>
        </r>
        <r>
          <rPr>
            <sz val="9"/>
            <color indexed="81"/>
            <rFont val="Segoe UI"/>
            <family val="2"/>
          </rPr>
          <t xml:space="preserve">
basiert auf 3 durchgeführten Tausch</t>
        </r>
      </text>
    </comment>
    <comment ref="T24" authorId="0" shapeId="0" xr:uid="{00000000-0006-0000-0800-000009000000}">
      <text>
        <r>
          <rPr>
            <b/>
            <sz val="9"/>
            <color indexed="81"/>
            <rFont val="Segoe UI"/>
            <family val="2"/>
          </rPr>
          <t>Steffen Schroedter:</t>
        </r>
        <r>
          <rPr>
            <sz val="9"/>
            <color indexed="81"/>
            <rFont val="Segoe UI"/>
            <family val="2"/>
          </rPr>
          <t xml:space="preserve">
basiert auf einem durchgeführten Tausch</t>
        </r>
      </text>
    </comment>
    <comment ref="X24" authorId="0" shapeId="0" xr:uid="{00000000-0006-0000-0800-00000A000000}">
      <text>
        <r>
          <rPr>
            <b/>
            <sz val="9"/>
            <color indexed="81"/>
            <rFont val="Segoe UI"/>
            <family val="2"/>
          </rPr>
          <t>Steffen Schroedter:</t>
        </r>
        <r>
          <rPr>
            <sz val="9"/>
            <color indexed="81"/>
            <rFont val="Segoe UI"/>
            <family val="2"/>
          </rPr>
          <t xml:space="preserve">
basiert auf einem durchgeführten Tausch</t>
        </r>
      </text>
    </comment>
    <comment ref="AA24" authorId="0" shapeId="0" xr:uid="{00000000-0006-0000-0800-00000B000000}">
      <text>
        <r>
          <rPr>
            <b/>
            <sz val="9"/>
            <color indexed="81"/>
            <rFont val="Segoe UI"/>
            <family val="2"/>
          </rPr>
          <t>Steffen Schroedter:</t>
        </r>
        <r>
          <rPr>
            <sz val="9"/>
            <color indexed="81"/>
            <rFont val="Segoe UI"/>
            <family val="2"/>
          </rPr>
          <t xml:space="preserve">
ein durchgeführter Tausch: 28000
Wert wurde von MD übernommen</t>
        </r>
      </text>
    </comment>
    <comment ref="T33" authorId="0" shapeId="0" xr:uid="{00000000-0006-0000-0800-00000C000000}">
      <text>
        <r>
          <rPr>
            <b/>
            <sz val="9"/>
            <color indexed="81"/>
            <rFont val="Segoe UI"/>
            <family val="2"/>
          </rPr>
          <t>Steffen Schroedter:</t>
        </r>
        <r>
          <rPr>
            <sz val="9"/>
            <color indexed="81"/>
            <rFont val="Segoe UI"/>
            <family val="2"/>
          </rPr>
          <t xml:space="preserve">
basiert auf einem durchgeführten Tausch</t>
        </r>
      </text>
    </comment>
  </commentList>
</comments>
</file>

<file path=xl/sharedStrings.xml><?xml version="1.0" encoding="utf-8"?>
<sst xmlns="http://schemas.openxmlformats.org/spreadsheetml/2006/main" count="8513" uniqueCount="539">
  <si>
    <t>Generator</t>
  </si>
  <si>
    <t>Contract Remarks:</t>
  </si>
  <si>
    <t>Getriebe</t>
  </si>
  <si>
    <t>Typ</t>
  </si>
  <si>
    <t>Generelle Daten</t>
  </si>
  <si>
    <t>Produktionsdaten</t>
  </si>
  <si>
    <t>Kommerzielles Angebot</t>
  </si>
  <si>
    <t>Kosten</t>
  </si>
  <si>
    <t>Vertragsdaten</t>
  </si>
  <si>
    <t>Name Windpark</t>
  </si>
  <si>
    <t>Eigentümer</t>
  </si>
  <si>
    <t>WEA Hersteller</t>
  </si>
  <si>
    <t>Anzahl WEA</t>
  </si>
  <si>
    <t>IBN</t>
  </si>
  <si>
    <t>Alter der WEA in Jahren</t>
  </si>
  <si>
    <t>Alter der WEA zum Vertragsende in Jahren</t>
  </si>
  <si>
    <t>Versicherung</t>
  </si>
  <si>
    <t>Großkomponenten</t>
  </si>
  <si>
    <t>VK</t>
  </si>
  <si>
    <t>VK / windturbine</t>
  </si>
  <si>
    <t>VK / MW</t>
  </si>
  <si>
    <t>VK / KWh</t>
  </si>
  <si>
    <t>% vom Umsatz WP</t>
  </si>
  <si>
    <t>Gesamt VK</t>
  </si>
  <si>
    <t>Gesamt Marge</t>
  </si>
  <si>
    <t>Direkte Kosten</t>
  </si>
  <si>
    <t>Marge</t>
  </si>
  <si>
    <t>Parameter Großkomponenten</t>
  </si>
  <si>
    <t>Blattreparaturen</t>
  </si>
  <si>
    <t xml:space="preserve">Transformator  </t>
  </si>
  <si>
    <t>Blattlager</t>
  </si>
  <si>
    <t>Azimutlager</t>
  </si>
  <si>
    <t>Azimut Getriebe (1 Stück)</t>
  </si>
  <si>
    <t>Hauptlager inkl. Welle</t>
  </si>
  <si>
    <t>Kran + Montage</t>
  </si>
  <si>
    <t>Kostenübernahme Versicherung:</t>
  </si>
  <si>
    <t>Prozentuale Verteilung</t>
  </si>
  <si>
    <t>Gesamt Großkomponenten:</t>
  </si>
  <si>
    <t>Mindestmarge</t>
  </si>
  <si>
    <t>Betriebsjahre</t>
  </si>
  <si>
    <t>Gesamt Jahre</t>
  </si>
  <si>
    <t>Durchschnittlicher Preis</t>
  </si>
  <si>
    <t>Jahre</t>
  </si>
  <si>
    <t>Preis</t>
  </si>
  <si>
    <t>Gesamt</t>
  </si>
  <si>
    <t>Preisstrategie (pro WEA)</t>
  </si>
  <si>
    <t>Minimum Preis</t>
  </si>
  <si>
    <t>Variabler Anteil €/kWh</t>
  </si>
  <si>
    <t>Verfügbarkeit</t>
  </si>
  <si>
    <t>Selbstbehalt</t>
  </si>
  <si>
    <t>Aufwand Großkomponenten</t>
  </si>
  <si>
    <t>Senvion</t>
  </si>
  <si>
    <t>MM82</t>
  </si>
  <si>
    <t>Nordex</t>
  </si>
  <si>
    <t>Fuhrländer</t>
  </si>
  <si>
    <t>FL2500</t>
  </si>
  <si>
    <t>MM92</t>
  </si>
  <si>
    <t>N60</t>
  </si>
  <si>
    <t>MM100</t>
  </si>
  <si>
    <t>Blattreperaturen</t>
  </si>
  <si>
    <t>Transformator</t>
  </si>
  <si>
    <t>Azimutgetriebe</t>
  </si>
  <si>
    <t>Leistung</t>
  </si>
  <si>
    <t>3.2M114</t>
  </si>
  <si>
    <t>3.4M104</t>
  </si>
  <si>
    <t>3.4M122</t>
  </si>
  <si>
    <t>3.4M140</t>
  </si>
  <si>
    <t>3.6M114</t>
  </si>
  <si>
    <t>3.6M140</t>
  </si>
  <si>
    <t>N117/2400</t>
  </si>
  <si>
    <t>N117/3000</t>
  </si>
  <si>
    <t>N90</t>
  </si>
  <si>
    <t>N100</t>
  </si>
  <si>
    <t>N80</t>
  </si>
  <si>
    <t>Gewicht</t>
  </si>
  <si>
    <t>Vertragsstart DWTX</t>
  </si>
  <si>
    <t>Triebstrang</t>
  </si>
  <si>
    <t xml:space="preserve">Rotor </t>
  </si>
  <si>
    <t>Blatt</t>
  </si>
  <si>
    <t>Rotor</t>
  </si>
  <si>
    <t>Nein</t>
  </si>
  <si>
    <t>Ja</t>
  </si>
  <si>
    <t>Mob/Demob Kosten</t>
  </si>
  <si>
    <t>Tagessätze</t>
  </si>
  <si>
    <t>Schwergutversicherung</t>
  </si>
  <si>
    <t>Demontage Rotor: Hilfskran</t>
  </si>
  <si>
    <t>Schwergutversicherung auf summierte Kosten</t>
  </si>
  <si>
    <t>Tagessatz nur auf Zugtage</t>
  </si>
  <si>
    <t>Tage</t>
  </si>
  <si>
    <t>Hilfskran</t>
  </si>
  <si>
    <t>Krantage</t>
  </si>
  <si>
    <t>Spalte Nabenhöhe</t>
  </si>
  <si>
    <t>Zeile Gewicht</t>
  </si>
  <si>
    <t>m [t]/h [m]</t>
  </si>
  <si>
    <t>Nabenhöhe [m]</t>
  </si>
  <si>
    <t>Vergleich</t>
  </si>
  <si>
    <t>Kosten Hilfskran</t>
  </si>
  <si>
    <t>Kosten Krantage</t>
  </si>
  <si>
    <t>Getriebeendoskopie</t>
  </si>
  <si>
    <t>Rotorblattinspektion</t>
  </si>
  <si>
    <t>BFA Wartung</t>
  </si>
  <si>
    <t>Quelle: Jade-Weser-Lift</t>
  </si>
  <si>
    <t>DWTX</t>
  </si>
  <si>
    <t>Befahranlage</t>
  </si>
  <si>
    <t>BFA</t>
  </si>
  <si>
    <t>Hersteller und Modelle</t>
  </si>
  <si>
    <t>Preise Großkomponenten</t>
  </si>
  <si>
    <t>Stand: 01.01.2017</t>
  </si>
  <si>
    <t>Massen der Großkomponenten in t</t>
  </si>
  <si>
    <t>Demontage des Rotors bei Komponententausch notwendig?</t>
  </si>
  <si>
    <t>Zugtage für Komponententausch</t>
  </si>
  <si>
    <t>veränderbarer Wert</t>
  </si>
  <si>
    <t>berechneter Wert</t>
  </si>
  <si>
    <t>hinterlegter Wert</t>
  </si>
  <si>
    <t>Legende</t>
  </si>
  <si>
    <t>Anlagentyp</t>
  </si>
  <si>
    <t>Kosten Wartungsmaterial</t>
  </si>
  <si>
    <t>Ölwechsel</t>
  </si>
  <si>
    <t>Mannstunden</t>
  </si>
  <si>
    <t>Störungsaufwand</t>
  </si>
  <si>
    <t>Ersatzteilbedarf</t>
  </si>
  <si>
    <t>Typ 2</t>
  </si>
  <si>
    <t>Typ 3</t>
  </si>
  <si>
    <t>Stundensatz MA</t>
  </si>
  <si>
    <t>Häufigkeit Anfahrt pro Jahr</t>
  </si>
  <si>
    <t>S70</t>
  </si>
  <si>
    <t>MD70</t>
  </si>
  <si>
    <t>MD77</t>
  </si>
  <si>
    <t>S77</t>
  </si>
  <si>
    <t>FL70</t>
  </si>
  <si>
    <t>FL77</t>
  </si>
  <si>
    <t>Anlage</t>
  </si>
  <si>
    <t>Informationen</t>
  </si>
  <si>
    <t>Windpark Eigentümer</t>
  </si>
  <si>
    <t>Name</t>
  </si>
  <si>
    <t>Adresse</t>
  </si>
  <si>
    <t>Gesellschaftsform der Betreibergesellschaft
(Einzelunternehmer, GBR oder BGB-Gesellschaft, GmbH, etc.)</t>
  </si>
  <si>
    <t>Windpark</t>
  </si>
  <si>
    <t>Name des Windparks</t>
  </si>
  <si>
    <t>Adresse/Lage</t>
  </si>
  <si>
    <t>Windpark, Verfügbarkeit der letzten drei Jahre [%]</t>
  </si>
  <si>
    <t>Anzahl der Windenergieanlagen</t>
  </si>
  <si>
    <t>Betriebsführung und Wartung</t>
  </si>
  <si>
    <t>Windpark, Langzeitservicevertrag mit Verfügbarkeitsvereinbarung</t>
  </si>
  <si>
    <t>Wer macht die technische Betriebsführung?</t>
  </si>
  <si>
    <t>Wer macht die kaufmännische Betriebsführung?</t>
  </si>
  <si>
    <t>Momentaner Vertrag?</t>
  </si>
  <si>
    <t>Zukünftig gewünschter Servicevertrag?</t>
  </si>
  <si>
    <t>Marke/Typ des Condition Monitoring Systems?</t>
  </si>
  <si>
    <t>Finanzen</t>
  </si>
  <si>
    <t>Dauer der Finanzierung</t>
  </si>
  <si>
    <t>Wer ist der Geldgeber?</t>
  </si>
  <si>
    <t>Profil Finanzierer/:
(Commercial Debt-Equity-Funds)</t>
  </si>
  <si>
    <t>Windanlagen Details</t>
  </si>
  <si>
    <t>Hersteller</t>
  </si>
  <si>
    <t>WEA ID</t>
  </si>
  <si>
    <t>Servicelift vorhanden? (ja/nein)</t>
  </si>
  <si>
    <t>Inbetriebnahmedatum</t>
  </si>
  <si>
    <t>Kommunikation?
ISDN/DSL/Mobilfunk oder Satelit</t>
  </si>
  <si>
    <t>WEA 1</t>
  </si>
  <si>
    <t>WEA 2</t>
  </si>
  <si>
    <t>WEA 3</t>
  </si>
  <si>
    <t>WEA 4</t>
  </si>
  <si>
    <t>WEA 5</t>
  </si>
  <si>
    <t>Rotorblätter</t>
  </si>
  <si>
    <t>Umrichtertyp</t>
  </si>
  <si>
    <t>Typ Steuerung</t>
  </si>
  <si>
    <t>Einspeisevergütung nach EEG [€]</t>
  </si>
  <si>
    <t>Fehlerquote
negative case</t>
  </si>
  <si>
    <t>Fehlerquote
average case</t>
  </si>
  <si>
    <t>average case</t>
  </si>
  <si>
    <t>Krankosten
negative case
(Vertragslaufzeit)</t>
  </si>
  <si>
    <t>Krankosten 
average case
(Vertragslaufzeit)</t>
  </si>
  <si>
    <t>pro Jahr
negative case</t>
  </si>
  <si>
    <t>pro Jahr
average case</t>
  </si>
  <si>
    <t>für Laufzeit
negative case</t>
  </si>
  <si>
    <t>für Laufzeit
average case</t>
  </si>
  <si>
    <t>negative case</t>
  </si>
  <si>
    <t>Marge positive case</t>
  </si>
  <si>
    <t>Marge average case</t>
  </si>
  <si>
    <t>Marge negative case</t>
  </si>
  <si>
    <t>VWoGK</t>
  </si>
  <si>
    <t>Entfernung WP/DWTX Standort</t>
  </si>
  <si>
    <t>Basis Service</t>
  </si>
  <si>
    <t>Turm</t>
  </si>
  <si>
    <t>Gittermast</t>
  </si>
  <si>
    <t>Rohrturm</t>
  </si>
  <si>
    <t>Wartung - Basis Service</t>
  </si>
  <si>
    <t>Vollwartung ohne GK</t>
  </si>
  <si>
    <t>Wartungsstunden</t>
  </si>
  <si>
    <t>Stundensatz</t>
  </si>
  <si>
    <t>Serviceeinsätze</t>
  </si>
  <si>
    <t>Typ 2 Wartung</t>
  </si>
  <si>
    <t>Typ 3 Wartung</t>
  </si>
  <si>
    <t>Ersatzteile</t>
  </si>
  <si>
    <t>Wartungsmaterial</t>
  </si>
  <si>
    <t>Durchschnittliche Fahrtkosten</t>
  </si>
  <si>
    <t>Kilometer</t>
  </si>
  <si>
    <t>An- und Abfahrt</t>
  </si>
  <si>
    <t>Zusammenfassung VWoGK</t>
  </si>
  <si>
    <t>Kosten p. a.</t>
  </si>
  <si>
    <t>Fartkosten</t>
  </si>
  <si>
    <t>XMP 320</t>
  </si>
  <si>
    <t>Fernüberwachung</t>
  </si>
  <si>
    <t>24/7</t>
  </si>
  <si>
    <t>Zusammenfassung Basis Service</t>
  </si>
  <si>
    <t>Typ 2+3 Wartung</t>
  </si>
  <si>
    <r>
      <t>Ölwechsel (</t>
    </r>
    <r>
      <rPr>
        <sz val="10"/>
        <color theme="1"/>
        <rFont val="Calibri"/>
        <family val="2"/>
      </rPr>
      <t>Ø</t>
    </r>
    <r>
      <rPr>
        <sz val="8"/>
        <color theme="1"/>
        <rFont val="Calibri"/>
        <family val="2"/>
      </rPr>
      <t xml:space="preserve"> alle 5 Jahre)</t>
    </r>
  </si>
  <si>
    <t xml:space="preserve">HINWEISE: </t>
  </si>
  <si>
    <t>Average case</t>
  </si>
  <si>
    <t>Negative case</t>
  </si>
  <si>
    <t>Gesamt Marge (positive case)</t>
  </si>
  <si>
    <t>Premium (VWoGK)</t>
  </si>
  <si>
    <t>Versicherung/WP/a</t>
  </si>
  <si>
    <t>Daten werden in die Kalkulation importiert.
Es ist darauf zu achten, dass der Kalkulator nur Parks mit baugleichen Anlagen berechnen kann. Es müssen folglich folgende Angaben der Anlagen übereinstimmen:
Hersteller, Typ, Nabenhöhe, Servicelift vorhanden?, IBN, Beginn Servicevertrag und Vergütung
Der Kalkulator bezieht sich jeweils auf die Angaben von WEA 1.
Bei Mischparks bitte zwei Fragebögen ausfüllen.</t>
  </si>
  <si>
    <t>Gittermastwartung</t>
  </si>
  <si>
    <t>Videoendoskopie Getriebe</t>
  </si>
  <si>
    <t xml:space="preserve">Für die Kalkulation eines reines Basis-Servicevertrages sind die Typ 4 Wartung, Videoendoskopie, </t>
  </si>
  <si>
    <t>Rotorblattgutachten, Wartung BFA, Trafowartung, Gittermastwartung und die Ölwechsel zu entfernen.</t>
  </si>
  <si>
    <t>Preise externe Leistungen nach Anlagentyp</t>
  </si>
  <si>
    <t xml:space="preserve">Rotorblattgutachten </t>
  </si>
  <si>
    <t>Externe Wartungen/Gutachten</t>
  </si>
  <si>
    <t>externe Wartungen/Gutachten</t>
  </si>
  <si>
    <t>Premium (Standard)</t>
  </si>
  <si>
    <t>Instandsetzung ohne GK</t>
  </si>
  <si>
    <t>Indstandsetzung ohne GK</t>
  </si>
  <si>
    <t>Fahrtkosten</t>
  </si>
  <si>
    <t>Telefonnummer | Mail</t>
  </si>
  <si>
    <t>Maschinenhaus</t>
  </si>
  <si>
    <t>Durchschnittlicher Störungsaufwand p.a.</t>
  </si>
  <si>
    <t>Durchschnittlicher Ersatzteilbedarf p.a.</t>
  </si>
  <si>
    <t>durch:</t>
  </si>
  <si>
    <t>freigegeben am:</t>
  </si>
  <si>
    <t>STS</t>
  </si>
  <si>
    <t>zuletzt geändert am:</t>
  </si>
  <si>
    <t xml:space="preserve">Krankosten in Abhängigkeit von zu hebendem Gewicht und Nabenhöhe. Aufgeteilt in fixe Mobilisierungs-/Demobilisierungskosten und Tagessätze. Für die Demontage des Rotors wird ein zusätzlicher Hilfskran benötigt. Die Preise basieren auf einem Angebot der Firma Jade Weser Lift aus dem Januar 2017. </t>
  </si>
  <si>
    <t>Kommentare:</t>
  </si>
  <si>
    <t>Die Komponentengewichte dienen in Verbindung mit der Krankostenmatrix der Berechnung der Krankosten beim jeweiligen Austausch. Die Gewichte basieren zumeist auf Herstellerangaben.</t>
  </si>
  <si>
    <t>Die Großkomponentenpreise sind alten Kalkulationen entnommen und bedürfen als signifikanter Faktor der Kalkulation ständiger Aktualisierung.</t>
  </si>
  <si>
    <t>Kommentar:</t>
  </si>
  <si>
    <t>Die Preise der externen Dienstleistungen basieren auf aktuellen Rahmenverträgen. Der Preis für die BFA-Wartung bezieht sich auf einen Hailo-Lift und wird als grobe Schätzung auf andere Liftanlagen übertragen. Die Preise für Ölwechsel basieren auf alten Kalkulationen.</t>
  </si>
  <si>
    <t>Zur Bestimmung der Wartungskosten dienen die Kosten des Wartungsmaterial, sowie die benötigten Mannstunden je Wartungstyp. Die Wartungsmaterialkosten und Mannstunden basieren auf Statistiken der Serviceleitung. Die Kosten der Typ 4 Wartung begründen sich auf historischen Kalkulationen, ebenso der Störungsaufwand.</t>
  </si>
  <si>
    <t>N90/2300</t>
  </si>
  <si>
    <t>N90/2500</t>
  </si>
  <si>
    <t xml:space="preserve">Kosten
</t>
  </si>
  <si>
    <t>Kosten Großkomponenten</t>
  </si>
  <si>
    <t>Montagekosten</t>
  </si>
  <si>
    <t>Montagekosten negative case (Vertragslaufzeit)</t>
  </si>
  <si>
    <t>Kontrolle variable Vergütung</t>
  </si>
  <si>
    <t>Ø</t>
  </si>
  <si>
    <t>Betriebsjahr</t>
  </si>
  <si>
    <t>WP</t>
  </si>
  <si>
    <t>gewonnen</t>
  </si>
  <si>
    <t>Jahr</t>
  </si>
  <si>
    <t>Scheibelberg</t>
  </si>
  <si>
    <t>nein</t>
  </si>
  <si>
    <t>Artlenburg</t>
  </si>
  <si>
    <t>Balkum-Thiene</t>
  </si>
  <si>
    <t>Cuxhaven</t>
  </si>
  <si>
    <t>N117</t>
  </si>
  <si>
    <t>Geislingen</t>
  </si>
  <si>
    <t>Görike</t>
  </si>
  <si>
    <t>Hagen</t>
  </si>
  <si>
    <t>Horn</t>
  </si>
  <si>
    <t>Horningen</t>
  </si>
  <si>
    <t>Jeesewitz</t>
  </si>
  <si>
    <t>N62</t>
  </si>
  <si>
    <t>Kleinröhrsdorf</t>
  </si>
  <si>
    <t>Le Plateau</t>
  </si>
  <si>
    <t>Lilet</t>
  </si>
  <si>
    <t>Meckel/Gilzem</t>
  </si>
  <si>
    <t>Osterwurth</t>
  </si>
  <si>
    <t>Pölzig</t>
  </si>
  <si>
    <t>3.2M</t>
  </si>
  <si>
    <t>Seewiesen</t>
  </si>
  <si>
    <t>Poznan</t>
  </si>
  <si>
    <t>Stypulow</t>
  </si>
  <si>
    <t>Ueliltz</t>
  </si>
  <si>
    <t>Voltlage-Höckel</t>
  </si>
  <si>
    <t>Altenautal</t>
  </si>
  <si>
    <t>ja</t>
  </si>
  <si>
    <t>Aschersleben</t>
  </si>
  <si>
    <t>Baalberge</t>
  </si>
  <si>
    <t>Bad Iburg</t>
  </si>
  <si>
    <t>Böhmenkirch</t>
  </si>
  <si>
    <t>Bornstedt</t>
  </si>
  <si>
    <t>Braunshorn</t>
  </si>
  <si>
    <t>Bulack</t>
  </si>
  <si>
    <t>MM70</t>
  </si>
  <si>
    <t>Burg Gemünden</t>
  </si>
  <si>
    <t>Elsdorf</t>
  </si>
  <si>
    <t>Olpe/Engelsberg</t>
  </si>
  <si>
    <t>Falkenwalde</t>
  </si>
  <si>
    <t>Gamlen</t>
  </si>
  <si>
    <t>Gembeck</t>
  </si>
  <si>
    <t>Großvargula</t>
  </si>
  <si>
    <t>Gusterath</t>
  </si>
  <si>
    <t>Halle/Kölkebeck</t>
  </si>
  <si>
    <t>Harrienstedt</t>
  </si>
  <si>
    <t>Hasede</t>
  </si>
  <si>
    <t>Gesamtergebnis</t>
  </si>
  <si>
    <t>N117 Ergebnis</t>
  </si>
  <si>
    <t>N60 Ergebnis</t>
  </si>
  <si>
    <t>N90 Ergebnis</t>
  </si>
  <si>
    <t>Mittelwert von Preis</t>
  </si>
  <si>
    <t>Klasse</t>
  </si>
  <si>
    <t>MM</t>
  </si>
  <si>
    <t>MD</t>
  </si>
  <si>
    <t>3.XM</t>
  </si>
  <si>
    <t>3.XM Ergebnis</t>
  </si>
  <si>
    <t>MD Ergebnis</t>
  </si>
  <si>
    <t>MM Ergebnis</t>
  </si>
  <si>
    <t>Kalsow</t>
  </si>
  <si>
    <t>Lampaden</t>
  </si>
  <si>
    <t>Neuengörs</t>
  </si>
  <si>
    <t>Olzheim</t>
  </si>
  <si>
    <t>Premslin</t>
  </si>
  <si>
    <t>SPDM</t>
  </si>
  <si>
    <t>Wedemark</t>
  </si>
  <si>
    <t>Wittstock-Dosse</t>
  </si>
  <si>
    <t>Wölkisch</t>
  </si>
  <si>
    <t>Alsleben</t>
  </si>
  <si>
    <t>Am Scheibelberg</t>
  </si>
  <si>
    <t>Boulay-Moselle</t>
  </si>
  <si>
    <t>Iven</t>
  </si>
  <si>
    <t>N90/N100</t>
  </si>
  <si>
    <t>Kemberg</t>
  </si>
  <si>
    <t>Königshagen</t>
  </si>
  <si>
    <t>Meyen West</t>
  </si>
  <si>
    <t>Ohe II</t>
  </si>
  <si>
    <t>Ponitz</t>
  </si>
  <si>
    <t>Ravenstein</t>
  </si>
  <si>
    <t>Scheibe-Trattendorf</t>
  </si>
  <si>
    <t>Vogelsberg</t>
  </si>
  <si>
    <t>Gewonnene Projekte</t>
  </si>
  <si>
    <t>Abgelehnte Projekte</t>
  </si>
  <si>
    <t>Anzahl</t>
  </si>
  <si>
    <t>Blumenhagen</t>
  </si>
  <si>
    <t>Engelsberg</t>
  </si>
  <si>
    <t>Hirschlanden</t>
  </si>
  <si>
    <t>Kribbe</t>
  </si>
  <si>
    <t>Laakdal-Meerhout</t>
  </si>
  <si>
    <t>Lingerhahn</t>
  </si>
  <si>
    <t>Marklohe</t>
  </si>
  <si>
    <t>FL78</t>
  </si>
  <si>
    <t>FL79</t>
  </si>
  <si>
    <t>FL80</t>
  </si>
  <si>
    <t>FL81</t>
  </si>
  <si>
    <t>FL82</t>
  </si>
  <si>
    <t>FL83</t>
  </si>
  <si>
    <t>FL84</t>
  </si>
  <si>
    <t>FL85</t>
  </si>
  <si>
    <t>FL86</t>
  </si>
  <si>
    <t>Momerstroff</t>
  </si>
  <si>
    <t>Nottuln</t>
  </si>
  <si>
    <t>Rurich</t>
  </si>
  <si>
    <t>Schliekum</t>
  </si>
  <si>
    <t>Siegbach</t>
  </si>
  <si>
    <t>Stachenhausen</t>
  </si>
  <si>
    <t>Werl-Budberg</t>
  </si>
  <si>
    <t>Werl-Hilbeck</t>
  </si>
  <si>
    <t>Westerheim II</t>
  </si>
  <si>
    <t>Wolgast II</t>
  </si>
  <si>
    <t>Einfluss der Parkgröße</t>
  </si>
  <si>
    <t>Abgegebene Angebote Premiumplus (feste Vergütung)</t>
  </si>
  <si>
    <t>Heidenau</t>
  </si>
  <si>
    <t>Harrislee</t>
  </si>
  <si>
    <t>Schwatte Poele</t>
  </si>
  <si>
    <t>von</t>
  </si>
  <si>
    <t>bis</t>
  </si>
  <si>
    <t>Pattensen</t>
  </si>
  <si>
    <t>Referenzwerte</t>
  </si>
  <si>
    <t>Differenz</t>
  </si>
  <si>
    <t>Kontrollberechnungen</t>
  </si>
  <si>
    <t>variable Vergütung</t>
  </si>
  <si>
    <t>letzte Aktualisierung: 19.04.2017</t>
  </si>
  <si>
    <t>Wilsickow II</t>
  </si>
  <si>
    <t>basierend auf Daten</t>
  </si>
  <si>
    <t>skaliert/geschätzt</t>
  </si>
  <si>
    <t>Die Montagekosten decken die Fahrt- und Arbeitskosten, inklusive Spesen und Übernachtung der DWTX Monteure beim Komponententausch ab.</t>
  </si>
  <si>
    <t>Deutsch</t>
  </si>
  <si>
    <t>Englisch</t>
  </si>
  <si>
    <t>Sprache:</t>
  </si>
  <si>
    <t>Informationen über die Notwendigkeit der Rotordemontage und die Anzahl der Zugtage dienen der Krankostenberechnung und beruhen auf Aussagen der Projektleitung Großkomponenten.</t>
  </si>
  <si>
    <t>Stundensatz: 50€
Hotelpauschale: 70€
Kilometerpauschale: 0,30€/km</t>
  </si>
  <si>
    <t>FL2500/80</t>
  </si>
  <si>
    <t>FL2500/90</t>
  </si>
  <si>
    <t>FL2500/100</t>
  </si>
  <si>
    <t>FL2500/104</t>
  </si>
  <si>
    <t>Intervall (Jahre)</t>
  </si>
  <si>
    <t>Rotorblattgutachten</t>
  </si>
  <si>
    <t>Sonstiges (je WEA/a)</t>
  </si>
  <si>
    <t>Twedt</t>
  </si>
  <si>
    <t>3.4M114</t>
  </si>
  <si>
    <t>Kontaktperson und Details</t>
  </si>
  <si>
    <t>Turmtyp (Rohrturm oder Gittermast)</t>
  </si>
  <si>
    <t xml:space="preserve">Großkomponentenschäden?                                                                  Komponente
(Getriebe/Generator/Hauptlagerwechsel)                                      Zeitpunkt
                                                                                                                             </t>
  </si>
  <si>
    <t>Premium</t>
  </si>
  <si>
    <t>2J-Wartung</t>
  </si>
  <si>
    <t>3J-Wartung</t>
  </si>
  <si>
    <t>4J-Wartung</t>
  </si>
  <si>
    <t>5J-Wartung</t>
  </si>
  <si>
    <t>6J-Wartung</t>
  </si>
  <si>
    <t>10J-Wartung</t>
  </si>
  <si>
    <t>Zusatzwartungen (2J, 3J, 4J, 5J, 6J, 10J)</t>
  </si>
  <si>
    <t>Typ 4 Wartung</t>
  </si>
  <si>
    <t>Typ 4</t>
  </si>
  <si>
    <t>3.2M122</t>
  </si>
  <si>
    <t>Langenbrügge</t>
  </si>
  <si>
    <t>s. Bedingungen</t>
  </si>
  <si>
    <t>see conditions</t>
  </si>
  <si>
    <t>Hemme</t>
  </si>
  <si>
    <t>WEA 6</t>
  </si>
  <si>
    <t>WEA 7</t>
  </si>
  <si>
    <t>WEA 8</t>
  </si>
  <si>
    <t>WEA 9</t>
  </si>
  <si>
    <t>WEA 10</t>
  </si>
  <si>
    <t>SUMME VLS:</t>
  </si>
  <si>
    <t>Sengwarden</t>
  </si>
  <si>
    <t>Textbausteine Bedingungen</t>
  </si>
  <si>
    <t xml:space="preserve">energetische Verfügbarkeitsgarantie im Cluster von je 3 WEA abhängig vom Betriebsjahr wie folgt: 1. Jahr 97% und 2.-20. Jahr 98% oder technische Verfügbarkeit 1. Jahr 97% und 2.-20. 98% - je WEA
Die Parteien verständigen sich darauf, dass in dem Fall des erforderlichen Austauschs von Großkomponenten der Auftraggeber sich mit 35.000 EUR pro Austauschfall beteiligt. </t>
  </si>
  <si>
    <t>Nähe Fulda</t>
  </si>
  <si>
    <t>Schäden von Außen</t>
  </si>
  <si>
    <t>Intervall</t>
  </si>
  <si>
    <t>Premium neu</t>
  </si>
  <si>
    <t>Dif</t>
  </si>
  <si>
    <t>WKP M&amp;T</t>
  </si>
  <si>
    <t>DGUV V3</t>
  </si>
  <si>
    <t>Sicherheitsüberprüfung</t>
  </si>
  <si>
    <t>Wartung BFA</t>
  </si>
  <si>
    <t>WKP Maschine &amp; Turm</t>
  </si>
  <si>
    <t>Sicherheitsüberprüfung, Wartung BFA u. DGUV V3</t>
  </si>
  <si>
    <t>DGUV V3 NS</t>
  </si>
  <si>
    <t>A&amp;I</t>
  </si>
  <si>
    <t>SÜ</t>
  </si>
  <si>
    <t>Restarbeiten</t>
  </si>
  <si>
    <t>Restarbeiten (je WEA/a)</t>
  </si>
  <si>
    <t>N131/3300</t>
  </si>
  <si>
    <t>N131/3600</t>
  </si>
  <si>
    <t>N131/3000</t>
  </si>
  <si>
    <t>Matchpoint</t>
  </si>
  <si>
    <t>5 Jahre</t>
  </si>
  <si>
    <t>10 Jahre</t>
  </si>
  <si>
    <t>15 Jahre</t>
  </si>
  <si>
    <t>20 Jahre</t>
  </si>
  <si>
    <t>25 Jahre</t>
  </si>
  <si>
    <t>zuletzt aktualisiert: 14.08.2017</t>
  </si>
  <si>
    <t>3.7M144</t>
  </si>
  <si>
    <t>Wolbeck II</t>
  </si>
  <si>
    <t>Westerburg</t>
  </si>
  <si>
    <t>Ausfallwahrscheinlichkeiten für Großkomponenten je WEA</t>
  </si>
  <si>
    <t>Betriebsjahr der Komponente</t>
  </si>
  <si>
    <t>Hauptlager</t>
  </si>
  <si>
    <t>average</t>
  </si>
  <si>
    <t>negative</t>
  </si>
  <si>
    <t>1</t>
  </si>
  <si>
    <t>3</t>
  </si>
  <si>
    <t>4</t>
  </si>
  <si>
    <t>6</t>
  </si>
  <si>
    <t>7</t>
  </si>
  <si>
    <t>9</t>
  </si>
  <si>
    <t>10</t>
  </si>
  <si>
    <t>12</t>
  </si>
  <si>
    <t>13</t>
  </si>
  <si>
    <t>15</t>
  </si>
  <si>
    <t>16</t>
  </si>
  <si>
    <t>18</t>
  </si>
  <si>
    <t>19</t>
  </si>
  <si>
    <t>average2</t>
  </si>
  <si>
    <t>negative3</t>
  </si>
  <si>
    <t>average4</t>
  </si>
  <si>
    <t>negative5</t>
  </si>
  <si>
    <t>Brunsbüttel</t>
  </si>
  <si>
    <t>Dessow</t>
  </si>
  <si>
    <t>WEA</t>
  </si>
  <si>
    <t>Sonstiges</t>
  </si>
  <si>
    <t>Fresnes-en-Saulnois</t>
  </si>
  <si>
    <t>Ellerbeck</t>
  </si>
  <si>
    <t>Wallmersbach</t>
  </si>
  <si>
    <t>Option
€ 360</t>
  </si>
  <si>
    <t>Der Preis für die Prüfung der elektrischen Betriebsmittel bezieht sich auf die Niederspannungsebene und einen Prüfungszyklus von vier Jahren.</t>
  </si>
  <si>
    <t>Die Parteien verständigen sich darauf, dass in dem Fall des erforderlichen Austauschs von Großkomponenten der Auftraggeber sich mit 35.000 EUR pro Austauschfall beteiligt. 
Der Preis für die Prüfung der elektrischen Betriebsmittel bezieht sich auf die Niederspannungsebene und einen Prüfungszyklus von vier Jahren.</t>
  </si>
  <si>
    <t>Derval</t>
  </si>
  <si>
    <t>Fuchsstadt</t>
  </si>
  <si>
    <t>Ilewind I</t>
  </si>
  <si>
    <t>Ilewind II</t>
  </si>
  <si>
    <t>3.4M</t>
  </si>
  <si>
    <t>Pflugberg</t>
  </si>
  <si>
    <t>Winnert</t>
  </si>
  <si>
    <t>Spremberg</t>
  </si>
  <si>
    <t>Korbersdorf</t>
  </si>
  <si>
    <t>Vetschau</t>
  </si>
  <si>
    <t>Dierstorf</t>
  </si>
  <si>
    <t>Altertheim</t>
  </si>
  <si>
    <t>Lanrivoaré</t>
  </si>
  <si>
    <t>Wanlo</t>
  </si>
  <si>
    <t>Wismar III</t>
  </si>
  <si>
    <t>Ullersdorf</t>
  </si>
  <si>
    <t>Eckstever</t>
  </si>
  <si>
    <t>jede WEA</t>
  </si>
  <si>
    <t>erwartete Tausche (WP)</t>
  </si>
  <si>
    <t xml:space="preserve">                                                                                                                                                                                                                              </t>
  </si>
  <si>
    <t>Multiplikator
Ausfall
Großkomponenten</t>
  </si>
  <si>
    <t>Optimierung</t>
  </si>
  <si>
    <t>Schwanewede</t>
  </si>
  <si>
    <t>Ladbergen</t>
  </si>
  <si>
    <t>Langenbrügge 4</t>
  </si>
  <si>
    <t>für Kalkulation notwendig</t>
  </si>
  <si>
    <t>Nennleistung [kW]</t>
  </si>
  <si>
    <t>Vergütung [€/kWh]</t>
  </si>
  <si>
    <t>Leistung WP [kW]</t>
  </si>
  <si>
    <t>Jährliche Produktion WP [kWh]</t>
  </si>
  <si>
    <t>Jahresproduktion 1 [kWh]</t>
  </si>
  <si>
    <t>Jahresproduktion 2 [kWh]</t>
  </si>
  <si>
    <t>Jahresproduktion 3 [kWh]</t>
  </si>
  <si>
    <t>Volllaststunden 1 [h]</t>
  </si>
  <si>
    <t>Volllaststunden 2 [h]</t>
  </si>
  <si>
    <t>Volllaststunden 3 [h]</t>
  </si>
  <si>
    <t>Jährliche Volllaststunden WP [h]</t>
  </si>
  <si>
    <t>Jährlicher Umsatz WP</t>
  </si>
  <si>
    <t>Leistung [kW]</t>
  </si>
  <si>
    <t>Neupreis WEA</t>
  </si>
  <si>
    <t>Beginn Servicevertrag</t>
  </si>
  <si>
    <t>Dauer [Jahre]</t>
  </si>
  <si>
    <t>in Kalkulation verwendet</t>
  </si>
  <si>
    <t>Marge auf Gesamtsumme</t>
  </si>
  <si>
    <t>Marge Preisstrategie</t>
  </si>
  <si>
    <t>Gesamtsumme Kosten</t>
  </si>
  <si>
    <t>Restarbeiten (je WP/a)</t>
  </si>
  <si>
    <t>Sonstiges (je WP/a)</t>
  </si>
  <si>
    <t>Marge Preisstrategie (average)</t>
  </si>
  <si>
    <t>Marge Preisstrategie (negative)</t>
  </si>
  <si>
    <t>Optionen</t>
  </si>
  <si>
    <t>Volllaststunden [h/WEA/a]</t>
  </si>
  <si>
    <t>Mainova Windprak Remlingen GmbH &amp; Co. KG</t>
  </si>
  <si>
    <t>Remlingen</t>
  </si>
  <si>
    <t>Mainova Windpark Remlingen GmbH &amp; Co. KG                                                                  Herr Möller</t>
  </si>
  <si>
    <t>Siegbach zum Vergleich</t>
  </si>
  <si>
    <t>Indikatives Angebot vorbehaltlich weiterer Informationen zum technischen Zustand der WEA.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</si>
</sst>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 #,##0.00\ &quot;€&quot;_-;\-* #,##0.00\ &quot;€&quot;_-;_-* &quot;-&quot;??\ &quot;€&quot;_-;_-@_-"/>
    <numFmt numFmtId="164" formatCode="_ * #,##0.00_ ;_ * \-#,##0.00_ ;_ * &quot;-&quot;??_ ;_ @_ "/>
    <numFmt numFmtId="165" formatCode="&quot;€&quot;\ #,##0"/>
    <numFmt numFmtId="166" formatCode="0.0%"/>
    <numFmt numFmtId="167" formatCode="&quot;€&quot;\ #,##0.0000"/>
    <numFmt numFmtId="168" formatCode="&quot;€&quot;\ #,##0.000"/>
    <numFmt numFmtId="169" formatCode="0.0"/>
    <numFmt numFmtId="170" formatCode="#,##0.00\ &quot;€&quot;&quot;/kW&quot;"/>
    <numFmt numFmtId="171" formatCode="#\ &quot;t&quot;"/>
    <numFmt numFmtId="172" formatCode="#,##0.00\ &quot;€&quot;"/>
    <numFmt numFmtId="173" formatCode="#,##0.0\ &quot;€&quot;"/>
    <numFmt numFmtId="174" formatCode="&quot;€&quot;\ #,##0.00"/>
    <numFmt numFmtId="175" formatCode="0\ &quot;km&quot;"/>
    <numFmt numFmtId="176" formatCode="#,##0\ &quot;€&quot;"/>
    <numFmt numFmtId="177" formatCode="[$€-2]\ #,##0;[Red]\-[$€-2]\ #,##0"/>
    <numFmt numFmtId="178" formatCode="0.0000\ &quot;€/kWh&quot;"/>
    <numFmt numFmtId="179" formatCode="#,##0_ ;[Red]\-#,##0\ "/>
    <numFmt numFmtId="180" formatCode="0\ &quot;kWh&quot;"/>
    <numFmt numFmtId="181" formatCode="0.0\ &quot;h&quot;"/>
    <numFmt numFmtId="182" formatCode="dd/mm/yy;@"/>
  </numFmts>
  <fonts count="71" x14ac:knownFonts="1">
    <font>
      <sz val="11"/>
      <color theme="1"/>
      <name val="Calibri"/>
      <family val="2"/>
      <scheme val="minor"/>
    </font>
    <font>
      <sz val="11"/>
      <color theme="1"/>
      <name val="Calibri"/>
      <family val="2"/>
      <scheme val="minor"/>
    </font>
    <font>
      <sz val="10"/>
      <color theme="1"/>
      <name val="Calibri"/>
      <family val="2"/>
      <scheme val="minor"/>
    </font>
    <font>
      <b/>
      <sz val="10"/>
      <color theme="1"/>
      <name val="Calibri"/>
      <family val="2"/>
      <scheme val="minor"/>
    </font>
    <font>
      <sz val="10"/>
      <name val="Arial"/>
      <family val="2"/>
    </font>
    <font>
      <i/>
      <sz val="10"/>
      <color theme="1"/>
      <name val="Calibri"/>
      <family val="2"/>
      <scheme val="minor"/>
    </font>
    <font>
      <b/>
      <sz val="14"/>
      <color theme="1"/>
      <name val="Calibri"/>
      <family val="2"/>
      <scheme val="minor"/>
    </font>
    <font>
      <sz val="14"/>
      <color theme="1"/>
      <name val="Calibri"/>
      <family val="2"/>
      <scheme val="minor"/>
    </font>
    <font>
      <sz val="10"/>
      <name val="Calibri"/>
      <family val="2"/>
      <scheme val="minor"/>
    </font>
    <font>
      <b/>
      <sz val="10"/>
      <color rgb="FFFF0000"/>
      <name val="Calibri"/>
      <family val="2"/>
      <scheme val="minor"/>
    </font>
    <font>
      <b/>
      <sz val="10"/>
      <name val="Calibri"/>
      <family val="2"/>
      <scheme val="minor"/>
    </font>
    <font>
      <b/>
      <sz val="12"/>
      <color rgb="FFFF0000"/>
      <name val="Calibri"/>
      <family val="2"/>
      <scheme val="minor"/>
    </font>
    <font>
      <b/>
      <sz val="16"/>
      <color theme="1"/>
      <name val="Calibri"/>
      <family val="2"/>
      <scheme val="minor"/>
    </font>
    <font>
      <sz val="11"/>
      <color indexed="8"/>
      <name val="Calibri"/>
      <family val="2"/>
    </font>
    <font>
      <sz val="10"/>
      <color theme="1"/>
      <name val="Calibri"/>
      <family val="2"/>
    </font>
    <font>
      <sz val="9"/>
      <color indexed="81"/>
      <name val="Segoe UI"/>
      <family val="2"/>
    </font>
    <font>
      <b/>
      <sz val="9"/>
      <color indexed="81"/>
      <name val="Segoe UI"/>
      <family val="2"/>
    </font>
    <font>
      <b/>
      <sz val="11"/>
      <color theme="0"/>
      <name val="Calibri"/>
      <family val="2"/>
      <scheme val="minor"/>
    </font>
    <font>
      <b/>
      <sz val="11"/>
      <color theme="1"/>
      <name val="Calibri"/>
      <family val="2"/>
      <scheme val="minor"/>
    </font>
    <font>
      <sz val="8"/>
      <color theme="1"/>
      <name val="Calibri"/>
      <family val="2"/>
      <scheme val="minor"/>
    </font>
    <font>
      <b/>
      <sz val="14"/>
      <name val="Calibri"/>
      <family val="2"/>
      <scheme val="minor"/>
    </font>
    <font>
      <sz val="8"/>
      <color theme="1"/>
      <name val="Calibri"/>
      <family val="2"/>
    </font>
    <font>
      <b/>
      <sz val="11"/>
      <name val="Calibri"/>
      <family val="2"/>
      <scheme val="minor"/>
    </font>
    <font>
      <b/>
      <sz val="10"/>
      <color theme="0"/>
      <name val="Calibri"/>
      <family val="2"/>
      <scheme val="minor"/>
    </font>
    <font>
      <b/>
      <sz val="7"/>
      <color rgb="FF406580"/>
      <name val="Calibri"/>
      <family val="2"/>
      <scheme val="minor"/>
    </font>
    <font>
      <sz val="7"/>
      <color rgb="FF406580"/>
      <name val="Calibri"/>
      <family val="2"/>
      <scheme val="minor"/>
    </font>
    <font>
      <b/>
      <sz val="7"/>
      <color theme="0"/>
      <name val="Calibri"/>
      <family val="2"/>
      <scheme val="minor"/>
    </font>
    <font>
      <b/>
      <sz val="11"/>
      <color rgb="FF406580"/>
      <name val="Calibri"/>
      <family val="2"/>
      <scheme val="minor"/>
    </font>
    <font>
      <sz val="11"/>
      <color rgb="FF406580"/>
      <name val="Calibri"/>
      <family val="2"/>
      <scheme val="minor"/>
    </font>
    <font>
      <b/>
      <sz val="8"/>
      <color theme="0"/>
      <name val="Calibri"/>
      <family val="2"/>
      <scheme val="minor"/>
    </font>
    <font>
      <b/>
      <sz val="7"/>
      <color theme="4" tint="-0.249977111117893"/>
      <name val="Calibri"/>
      <family val="2"/>
      <scheme val="minor"/>
    </font>
    <font>
      <sz val="11"/>
      <color rgb="FF00B050"/>
      <name val="Calibri"/>
      <family val="2"/>
      <scheme val="minor"/>
    </font>
    <font>
      <sz val="11"/>
      <color theme="5"/>
      <name val="Calibri"/>
      <family val="2"/>
      <scheme val="minor"/>
    </font>
    <font>
      <sz val="11"/>
      <color rgb="FFFF0000"/>
      <name val="Calibri"/>
      <family val="2"/>
      <scheme val="minor"/>
    </font>
    <font>
      <b/>
      <sz val="13"/>
      <color theme="0"/>
      <name val="Calibri"/>
      <family val="2"/>
      <scheme val="minor"/>
    </font>
    <font>
      <sz val="11"/>
      <color theme="1"/>
      <name val="Calibri"/>
      <family val="2"/>
      <scheme val="minor"/>
    </font>
    <font>
      <b/>
      <sz val="11"/>
      <color theme="1"/>
      <name val="Calibri"/>
      <family val="2"/>
      <scheme val="minor"/>
    </font>
    <font>
      <b/>
      <sz val="13"/>
      <color theme="0"/>
      <name val="Calibri"/>
      <family val="2"/>
      <scheme val="minor"/>
    </font>
    <font>
      <b/>
      <sz val="10"/>
      <color theme="0"/>
      <name val="Calibri"/>
      <family val="2"/>
      <scheme val="minor"/>
    </font>
    <font>
      <b/>
      <sz val="7"/>
      <color rgb="FF406580"/>
      <name val="Calibri"/>
      <family val="2"/>
      <scheme val="minor"/>
    </font>
    <font>
      <sz val="7"/>
      <color rgb="FF406580"/>
      <name val="Calibri"/>
      <family val="2"/>
      <scheme val="minor"/>
    </font>
    <font>
      <b/>
      <sz val="7"/>
      <color theme="0"/>
      <name val="Calibri"/>
      <family val="2"/>
      <scheme val="minor"/>
    </font>
    <font>
      <b/>
      <sz val="11"/>
      <color rgb="FF406580"/>
      <name val="Calibri"/>
      <family val="2"/>
      <scheme val="minor"/>
    </font>
    <font>
      <b/>
      <sz val="8"/>
      <color theme="0"/>
      <name val="Calibri"/>
      <family val="2"/>
      <scheme val="minor"/>
    </font>
    <font>
      <b/>
      <sz val="7"/>
      <color theme="4" tint="-0.249977111117893"/>
      <name val="Calibri"/>
      <family val="2"/>
      <scheme val="minor"/>
    </font>
    <font>
      <sz val="11"/>
      <name val="Calibri"/>
      <family val="2"/>
      <scheme val="minor"/>
    </font>
    <font>
      <u/>
      <sz val="11"/>
      <color theme="10"/>
      <name val="Calibri"/>
      <family val="2"/>
    </font>
    <font>
      <sz val="8"/>
      <color rgb="FF000000"/>
      <name val="Segoe UI"/>
      <family val="2"/>
    </font>
    <font>
      <sz val="11"/>
      <color rgb="FF000000"/>
      <name val="Calibri"/>
      <family val="2"/>
    </font>
    <font>
      <b/>
      <sz val="9"/>
      <color theme="0"/>
      <name val="Calibri"/>
      <family val="2"/>
      <scheme val="minor"/>
    </font>
    <font>
      <sz val="11"/>
      <color theme="0"/>
      <name val="Calibri"/>
      <family val="2"/>
      <scheme val="minor"/>
    </font>
    <font>
      <b/>
      <sz val="12"/>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6"/>
      <color theme="1"/>
      <name val="Calibri"/>
      <family val="2"/>
      <scheme val="minor"/>
    </font>
    <font>
      <sz val="14"/>
      <color theme="1"/>
      <name val="Calibri"/>
      <family val="2"/>
      <scheme val="minor"/>
    </font>
    <font>
      <b/>
      <sz val="14"/>
      <color theme="1"/>
      <name val="Calibri"/>
      <family val="2"/>
      <scheme val="minor"/>
    </font>
    <font>
      <b/>
      <sz val="11"/>
      <name val="Calibri"/>
      <family val="2"/>
      <scheme val="minor"/>
    </font>
    <font>
      <sz val="11"/>
      <color theme="1"/>
      <name val="Calibri"/>
      <family val="2"/>
      <scheme val="minor"/>
    </font>
    <font>
      <sz val="10"/>
      <color theme="1"/>
      <name val="Calibri"/>
      <family val="2"/>
      <scheme val="minor"/>
    </font>
    <font>
      <sz val="10"/>
      <name val="Calibri"/>
      <family val="2"/>
      <scheme val="minor"/>
    </font>
    <font>
      <b/>
      <sz val="10"/>
      <color theme="1"/>
      <name val="Calibri"/>
      <family val="2"/>
      <scheme val="minor"/>
    </font>
    <font>
      <i/>
      <sz val="10"/>
      <color theme="1"/>
      <name val="Calibri"/>
      <family val="2"/>
      <scheme val="minor"/>
    </font>
    <font>
      <b/>
      <sz val="10"/>
      <color rgb="FFFF0000"/>
      <name val="Calibri"/>
      <family val="2"/>
      <scheme val="minor"/>
    </font>
    <font>
      <b/>
      <sz val="10"/>
      <name val="Calibri"/>
      <family val="2"/>
      <scheme val="minor"/>
    </font>
    <font>
      <sz val="10"/>
      <color theme="1"/>
      <name val="Calibri"/>
      <family val="2"/>
    </font>
    <font>
      <b/>
      <sz val="14"/>
      <color theme="1"/>
      <name val="Calibri"/>
      <family val="2"/>
      <scheme val="minor"/>
    </font>
    <font>
      <sz val="11"/>
      <color theme="1"/>
      <name val="Calibri"/>
      <family val="2"/>
      <scheme val="minor"/>
    </font>
    <font>
      <b/>
      <sz val="11"/>
      <color theme="1"/>
      <name val="Calibri"/>
      <family val="2"/>
      <scheme val="minor"/>
    </font>
    <font>
      <b/>
      <sz val="8"/>
      <color rgb="FF2C4D76"/>
      <name val="Calibri"/>
      <family val="2"/>
      <scheme val="minor"/>
    </font>
  </fonts>
  <fills count="26">
    <fill>
      <patternFill patternType="none"/>
    </fill>
    <fill>
      <patternFill patternType="gray125"/>
    </fill>
    <fill>
      <patternFill patternType="solid">
        <fgColor rgb="FF00B0F0"/>
        <bgColor indexed="64"/>
      </patternFill>
    </fill>
    <fill>
      <patternFill patternType="solid">
        <fgColor rgb="FFFFC000"/>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0000"/>
        <bgColor indexed="64"/>
      </patternFill>
    </fill>
    <fill>
      <patternFill patternType="solid">
        <fgColor theme="0" tint="-0.34998626667073579"/>
        <bgColor indexed="64"/>
      </patternFill>
    </fill>
    <fill>
      <patternFill patternType="solid">
        <fgColor rgb="FF00B050"/>
        <bgColor indexed="64"/>
      </patternFill>
    </fill>
    <fill>
      <patternFill patternType="solid">
        <fgColor theme="4"/>
        <bgColor theme="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0"/>
        <bgColor indexed="64"/>
      </patternFill>
    </fill>
    <fill>
      <patternFill patternType="solid">
        <fgColor theme="0" tint="-0.249977111117893"/>
        <bgColor indexed="64"/>
      </patternFill>
    </fill>
    <fill>
      <patternFill patternType="solid">
        <fgColor theme="1"/>
        <bgColor indexed="64"/>
      </patternFill>
    </fill>
    <fill>
      <patternFill patternType="solid">
        <fgColor theme="0" tint="-4.9989318521683403E-2"/>
        <bgColor indexed="64"/>
      </patternFill>
    </fill>
    <fill>
      <patternFill patternType="solid">
        <fgColor theme="6" tint="0.39997558519241921"/>
        <bgColor indexed="64"/>
      </patternFill>
    </fill>
    <fill>
      <patternFill patternType="solid">
        <fgColor theme="0" tint="-4.9989318521683403E-2"/>
        <bgColor theme="4" tint="0.59999389629810485"/>
      </patternFill>
    </fill>
    <fill>
      <patternFill patternType="solid">
        <fgColor theme="0" tint="-4.9989318521683403E-2"/>
        <bgColor theme="4" tint="0.79998168889431442"/>
      </patternFill>
    </fill>
    <fill>
      <patternFill patternType="solid">
        <fgColor rgb="FFEAEAEA"/>
        <bgColor indexed="64"/>
      </patternFill>
    </fill>
    <fill>
      <patternFill patternType="solid">
        <fgColor rgb="FF8D9FAD"/>
        <bgColor indexed="64"/>
      </patternFill>
    </fill>
    <fill>
      <patternFill patternType="solid">
        <fgColor theme="3" tint="0.39997558519241921"/>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9" tint="0.39997558519241921"/>
        <bgColor indexed="64"/>
      </patternFill>
    </fill>
  </fills>
  <borders count="1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right style="thin">
        <color indexed="64"/>
      </right>
      <top/>
      <bottom style="double">
        <color indexed="64"/>
      </bottom>
      <diagonal/>
    </border>
    <border>
      <left/>
      <right/>
      <top/>
      <bottom style="double">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right/>
      <top style="thin">
        <color indexed="64"/>
      </top>
      <bottom style="thin">
        <color indexed="64"/>
      </bottom>
      <diagonal/>
    </border>
    <border>
      <left style="thin">
        <color theme="0"/>
      </left>
      <right style="thin">
        <color theme="0"/>
      </right>
      <top/>
      <bottom/>
      <diagonal/>
    </border>
    <border>
      <left/>
      <right/>
      <top style="thin">
        <color theme="4" tint="0.39997558519241921"/>
      </top>
      <bottom style="thin">
        <color theme="4" tint="0.39997558519241921"/>
      </bottom>
      <diagonal/>
    </border>
    <border>
      <left style="thin">
        <color indexed="64"/>
      </left>
      <right style="thin">
        <color indexed="64"/>
      </right>
      <top/>
      <bottom/>
      <diagonal/>
    </border>
    <border>
      <left/>
      <right style="thin">
        <color indexed="64"/>
      </right>
      <top/>
      <bottom style="thin">
        <color theme="0" tint="-0.24994659260841701"/>
      </bottom>
      <diagonal/>
    </border>
    <border>
      <left/>
      <right style="thin">
        <color indexed="64"/>
      </right>
      <top style="thin">
        <color theme="0" tint="-0.24994659260841701"/>
      </top>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theme="0"/>
      </left>
      <right/>
      <top/>
      <bottom style="thick">
        <color theme="0"/>
      </bottom>
      <diagonal/>
    </border>
    <border>
      <left style="thin">
        <color theme="0"/>
      </left>
      <right/>
      <top style="thin">
        <color theme="0"/>
      </top>
      <bottom style="thin">
        <color theme="0"/>
      </bottom>
      <diagonal/>
    </border>
    <border>
      <left style="thin">
        <color theme="0"/>
      </left>
      <right/>
      <top style="thin">
        <color theme="0"/>
      </top>
      <bottom/>
      <diagonal/>
    </border>
    <border>
      <left style="thin">
        <color indexed="64"/>
      </left>
      <right style="thin">
        <color indexed="64"/>
      </right>
      <top/>
      <bottom style="thin">
        <color theme="0" tint="-0.24994659260841701"/>
      </bottom>
      <diagonal/>
    </border>
    <border>
      <left style="thin">
        <color indexed="64"/>
      </left>
      <right style="thin">
        <color indexed="64"/>
      </right>
      <top style="thin">
        <color theme="0" tint="-0.2499465926084170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medium">
        <color rgb="FF406580"/>
      </left>
      <right/>
      <top style="medium">
        <color rgb="FF406580"/>
      </top>
      <bottom/>
      <diagonal/>
    </border>
    <border>
      <left/>
      <right/>
      <top style="medium">
        <color rgb="FF406580"/>
      </top>
      <bottom/>
      <diagonal/>
    </border>
    <border>
      <left/>
      <right style="thin">
        <color rgb="FF406580"/>
      </right>
      <top style="medium">
        <color rgb="FF406580"/>
      </top>
      <bottom/>
      <diagonal/>
    </border>
    <border>
      <left/>
      <right style="medium">
        <color rgb="FF406580"/>
      </right>
      <top style="medium">
        <color rgb="FF406580"/>
      </top>
      <bottom/>
      <diagonal/>
    </border>
    <border>
      <left style="medium">
        <color rgb="FF406580"/>
      </left>
      <right/>
      <top/>
      <bottom style="medium">
        <color rgb="FF406580"/>
      </bottom>
      <diagonal/>
    </border>
    <border>
      <left/>
      <right/>
      <top/>
      <bottom style="medium">
        <color rgb="FF406580"/>
      </bottom>
      <diagonal/>
    </border>
    <border>
      <left/>
      <right style="thin">
        <color rgb="FF406580"/>
      </right>
      <top/>
      <bottom style="medium">
        <color rgb="FF406580"/>
      </bottom>
      <diagonal/>
    </border>
    <border>
      <left/>
      <right style="medium">
        <color rgb="FF406580"/>
      </right>
      <top/>
      <bottom style="medium">
        <color rgb="FF406580"/>
      </bottom>
      <diagonal/>
    </border>
    <border>
      <left style="thin">
        <color rgb="FF406580"/>
      </left>
      <right style="thin">
        <color rgb="FF406580"/>
      </right>
      <top style="thin">
        <color rgb="FF406580"/>
      </top>
      <bottom style="thin">
        <color rgb="FF406580"/>
      </bottom>
      <diagonal/>
    </border>
    <border>
      <left style="thin">
        <color rgb="FF406580"/>
      </left>
      <right style="medium">
        <color rgb="FF406580"/>
      </right>
      <top style="thin">
        <color rgb="FF406580"/>
      </top>
      <bottom style="thin">
        <color rgb="FF406580"/>
      </bottom>
      <diagonal/>
    </border>
    <border>
      <left style="medium">
        <color rgb="FF406580"/>
      </left>
      <right style="thin">
        <color rgb="FF406580"/>
      </right>
      <top style="medium">
        <color rgb="FF406580"/>
      </top>
      <bottom style="thin">
        <color rgb="FF406580"/>
      </bottom>
      <diagonal/>
    </border>
    <border>
      <left style="thin">
        <color rgb="FF406580"/>
      </left>
      <right style="thin">
        <color rgb="FF406580"/>
      </right>
      <top style="medium">
        <color rgb="FF406580"/>
      </top>
      <bottom style="thin">
        <color rgb="FF406580"/>
      </bottom>
      <diagonal/>
    </border>
    <border>
      <left style="thin">
        <color rgb="FF406580"/>
      </left>
      <right style="medium">
        <color rgb="FF406580"/>
      </right>
      <top style="medium">
        <color rgb="FF406580"/>
      </top>
      <bottom style="thin">
        <color rgb="FF406580"/>
      </bottom>
      <diagonal/>
    </border>
    <border>
      <left style="medium">
        <color rgb="FF406580"/>
      </left>
      <right style="thin">
        <color rgb="FF406580"/>
      </right>
      <top style="thin">
        <color rgb="FF406580"/>
      </top>
      <bottom style="thin">
        <color rgb="FF406580"/>
      </bottom>
      <diagonal/>
    </border>
    <border>
      <left style="thin">
        <color rgb="FF406580"/>
      </left>
      <right style="thin">
        <color rgb="FF406580"/>
      </right>
      <top style="thin">
        <color rgb="FF406580"/>
      </top>
      <bottom/>
      <diagonal/>
    </border>
    <border>
      <left style="thin">
        <color rgb="FF406580"/>
      </left>
      <right style="medium">
        <color rgb="FF406580"/>
      </right>
      <top style="thin">
        <color rgb="FF406580"/>
      </top>
      <bottom/>
      <diagonal/>
    </border>
    <border>
      <left style="thin">
        <color rgb="FF406580"/>
      </left>
      <right style="thin">
        <color rgb="FF406580"/>
      </right>
      <top/>
      <bottom/>
      <diagonal/>
    </border>
    <border>
      <left style="thin">
        <color rgb="FF406580"/>
      </left>
      <right style="thin">
        <color rgb="FF406580"/>
      </right>
      <top/>
      <bottom style="thin">
        <color rgb="FF406580"/>
      </bottom>
      <diagonal/>
    </border>
    <border>
      <left style="thin">
        <color rgb="FF406580"/>
      </left>
      <right style="medium">
        <color rgb="FF406580"/>
      </right>
      <top/>
      <bottom style="thin">
        <color rgb="FF406580"/>
      </bottom>
      <diagonal/>
    </border>
    <border>
      <left style="medium">
        <color rgb="FF406580"/>
      </left>
      <right style="thin">
        <color rgb="FF406580"/>
      </right>
      <top style="thin">
        <color rgb="FF406580"/>
      </top>
      <bottom/>
      <diagonal/>
    </border>
    <border>
      <left style="medium">
        <color rgb="FF406580"/>
      </left>
      <right style="thin">
        <color rgb="FF406580"/>
      </right>
      <top style="thin">
        <color rgb="FF406580"/>
      </top>
      <bottom style="medium">
        <color rgb="FF406580"/>
      </bottom>
      <diagonal/>
    </border>
    <border>
      <left style="thin">
        <color rgb="FF406580"/>
      </left>
      <right style="thin">
        <color rgb="FF406580"/>
      </right>
      <top/>
      <bottom style="medium">
        <color rgb="FF406580"/>
      </bottom>
      <diagonal/>
    </border>
    <border>
      <left style="thin">
        <color rgb="FF406580"/>
      </left>
      <right style="medium">
        <color rgb="FF406580"/>
      </right>
      <top/>
      <bottom style="medium">
        <color rgb="FF406580"/>
      </bottom>
      <diagonal/>
    </border>
    <border>
      <left style="thin">
        <color rgb="FF406580"/>
      </left>
      <right style="thin">
        <color rgb="FF406580"/>
      </right>
      <top style="thin">
        <color rgb="FF406580"/>
      </top>
      <bottom style="medium">
        <color rgb="FF406580"/>
      </bottom>
      <diagonal/>
    </border>
    <border>
      <left style="thin">
        <color rgb="FF406580"/>
      </left>
      <right style="medium">
        <color rgb="FF406580"/>
      </right>
      <top style="thin">
        <color rgb="FF406580"/>
      </top>
      <bottom style="medium">
        <color rgb="FF406580"/>
      </bottom>
      <diagonal/>
    </border>
    <border>
      <left style="medium">
        <color rgb="FF406580"/>
      </left>
      <right/>
      <top/>
      <bottom/>
      <diagonal/>
    </border>
    <border>
      <left/>
      <right style="medium">
        <color rgb="FF406580"/>
      </right>
      <top/>
      <bottom/>
      <diagonal/>
    </border>
    <border>
      <left style="thin">
        <color rgb="FF406580"/>
      </left>
      <right/>
      <top style="medium">
        <color rgb="FF406580"/>
      </top>
      <bottom/>
      <diagonal/>
    </border>
    <border>
      <left style="thin">
        <color rgb="FF406580"/>
      </left>
      <right/>
      <top/>
      <bottom style="medium">
        <color rgb="FF406580"/>
      </bottom>
      <diagonal/>
    </border>
    <border>
      <left style="thin">
        <color rgb="FF406580"/>
      </left>
      <right/>
      <top style="medium">
        <color rgb="FF406580"/>
      </top>
      <bottom style="thin">
        <color rgb="FF406580"/>
      </bottom>
      <diagonal/>
    </border>
    <border>
      <left/>
      <right style="medium">
        <color rgb="FF406580"/>
      </right>
      <top style="medium">
        <color rgb="FF406580"/>
      </top>
      <bottom style="thin">
        <color rgb="FF406580"/>
      </bottom>
      <diagonal/>
    </border>
    <border>
      <left style="thin">
        <color rgb="FF406580"/>
      </left>
      <right/>
      <top style="thin">
        <color rgb="FF406580"/>
      </top>
      <bottom style="thin">
        <color rgb="FF406580"/>
      </bottom>
      <diagonal/>
    </border>
    <border>
      <left/>
      <right style="medium">
        <color rgb="FF406580"/>
      </right>
      <top style="thin">
        <color rgb="FF406580"/>
      </top>
      <bottom style="thin">
        <color rgb="FF406580"/>
      </bottom>
      <diagonal/>
    </border>
    <border>
      <left style="thin">
        <color rgb="FF406580"/>
      </left>
      <right/>
      <top style="thin">
        <color rgb="FF406580"/>
      </top>
      <bottom style="medium">
        <color rgb="FF406580"/>
      </bottom>
      <diagonal/>
    </border>
    <border>
      <left/>
      <right style="medium">
        <color rgb="FF406580"/>
      </right>
      <top style="thin">
        <color rgb="FF406580"/>
      </top>
      <bottom style="medium">
        <color rgb="FF406580"/>
      </bottom>
      <diagonal/>
    </border>
    <border>
      <left/>
      <right/>
      <top style="medium">
        <color rgb="FF406580"/>
      </top>
      <bottom style="medium">
        <color rgb="FF406580"/>
      </bottom>
      <diagonal/>
    </border>
    <border>
      <left/>
      <right style="medium">
        <color theme="4" tint="-0.24994659260841701"/>
      </right>
      <top/>
      <bottom/>
      <diagonal/>
    </border>
    <border>
      <left style="thin">
        <color rgb="FF406580"/>
      </left>
      <right style="thin">
        <color rgb="FF406580"/>
      </right>
      <top style="medium">
        <color rgb="FF406580"/>
      </top>
      <bottom/>
      <diagonal/>
    </border>
    <border>
      <left style="medium">
        <color rgb="FF406580"/>
      </left>
      <right style="thin">
        <color rgb="FF406580"/>
      </right>
      <top style="medium">
        <color rgb="FF406580"/>
      </top>
      <bottom/>
      <diagonal/>
    </border>
    <border>
      <left style="medium">
        <color rgb="FF406580"/>
      </left>
      <right style="thin">
        <color rgb="FF406580"/>
      </right>
      <top/>
      <bottom/>
      <diagonal/>
    </border>
    <border>
      <left style="medium">
        <color rgb="FF406580"/>
      </left>
      <right style="thin">
        <color rgb="FF406580"/>
      </right>
      <top/>
      <bottom style="medium">
        <color rgb="FF406580"/>
      </bottom>
      <diagonal/>
    </border>
    <border>
      <left/>
      <right style="thin">
        <color theme="0" tint="-0.14996795556505021"/>
      </right>
      <top style="thin">
        <color indexed="64"/>
      </top>
      <bottom style="thin">
        <color theme="0" tint="-0.14996795556505021"/>
      </bottom>
      <diagonal/>
    </border>
    <border>
      <left style="thin">
        <color theme="0" tint="-0.14996795556505021"/>
      </left>
      <right/>
      <top style="thin">
        <color indexed="64"/>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diagonal/>
    </border>
    <border>
      <left style="thin">
        <color theme="0" tint="-0.14996795556505021"/>
      </left>
      <right/>
      <top style="thin">
        <color theme="0" tint="-0.14996795556505021"/>
      </top>
      <bottom/>
      <diagonal/>
    </border>
    <border>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style="thin">
        <color theme="0" tint="-0.14996795556505021"/>
      </right>
      <top style="thin">
        <color theme="0" tint="-0.14996795556505021"/>
      </top>
      <bottom style="thin">
        <color indexed="64"/>
      </bottom>
      <diagonal/>
    </border>
    <border>
      <left style="thin">
        <color theme="0" tint="-0.14996795556505021"/>
      </left>
      <right/>
      <top style="thin">
        <color theme="0" tint="-0.14996795556505021"/>
      </top>
      <bottom style="thin">
        <color indexed="64"/>
      </bottom>
      <diagonal/>
    </border>
    <border>
      <left style="medium">
        <color rgb="FF406580"/>
      </left>
      <right/>
      <top style="medium">
        <color rgb="FF406580"/>
      </top>
      <bottom style="thin">
        <color rgb="FF406580"/>
      </bottom>
      <diagonal/>
    </border>
    <border>
      <left/>
      <right/>
      <top style="medium">
        <color rgb="FF406580"/>
      </top>
      <bottom style="thin">
        <color rgb="FF406580"/>
      </bottom>
      <diagonal/>
    </border>
    <border>
      <left style="medium">
        <color rgb="FF406580"/>
      </left>
      <right/>
      <top style="thin">
        <color rgb="FF406580"/>
      </top>
      <bottom/>
      <diagonal/>
    </border>
    <border>
      <left/>
      <right/>
      <top style="thin">
        <color rgb="FF406580"/>
      </top>
      <bottom/>
      <diagonal/>
    </border>
    <border>
      <left/>
      <right style="medium">
        <color rgb="FF406580"/>
      </right>
      <top style="thin">
        <color rgb="FF406580"/>
      </top>
      <bottom/>
      <diagonal/>
    </border>
    <border>
      <left style="thin">
        <color rgb="FF406580"/>
      </left>
      <right/>
      <top style="thin">
        <color rgb="FF406580"/>
      </top>
      <bottom/>
      <diagonal/>
    </border>
    <border>
      <left style="thin">
        <color rgb="FF406580"/>
      </left>
      <right/>
      <top/>
      <bottom style="thin">
        <color rgb="FF406580"/>
      </bottom>
      <diagonal/>
    </border>
    <border>
      <left/>
      <right style="medium">
        <color rgb="FF406580"/>
      </right>
      <top/>
      <bottom style="thin">
        <color rgb="FF406580"/>
      </bottom>
      <diagonal/>
    </border>
    <border>
      <left/>
      <right style="medium">
        <color theme="4" tint="-0.24994659260841701"/>
      </right>
      <top/>
      <bottom style="medium">
        <color rgb="FF406580"/>
      </bottom>
      <diagonal/>
    </border>
    <border>
      <left style="thin">
        <color rgb="FFFF0000"/>
      </left>
      <right style="thin">
        <color indexed="64"/>
      </right>
      <top style="thin">
        <color rgb="FFFF0000"/>
      </top>
      <bottom style="thin">
        <color rgb="FFFF0000"/>
      </bottom>
      <diagonal/>
    </border>
    <border>
      <left/>
      <right style="thin">
        <color rgb="FFFF0000"/>
      </right>
      <top style="thin">
        <color rgb="FFFF0000"/>
      </top>
      <bottom style="thin">
        <color rgb="FFFF0000"/>
      </bottom>
      <diagonal/>
    </border>
  </borders>
  <cellStyleXfs count="6">
    <xf numFmtId="0" fontId="0" fillId="0" borderId="0"/>
    <xf numFmtId="164" fontId="1" fillId="0" borderId="0" applyFont="0" applyFill="0" applyBorder="0" applyAlignment="0" applyProtection="0"/>
    <xf numFmtId="0" fontId="4" fillId="0" borderId="0"/>
    <xf numFmtId="0" fontId="13" fillId="0" borderId="0"/>
    <xf numFmtId="0" fontId="46" fillId="0" borderId="0" applyNumberFormat="0" applyFill="0" applyBorder="0" applyAlignment="0" applyProtection="0">
      <alignment vertical="top"/>
      <protection locked="0"/>
    </xf>
    <xf numFmtId="44" fontId="1" fillId="0" borderId="0" applyFont="0" applyFill="0" applyBorder="0" applyAlignment="0" applyProtection="0"/>
  </cellStyleXfs>
  <cellXfs count="1026">
    <xf numFmtId="0" fontId="0" fillId="0" borderId="0" xfId="0"/>
    <xf numFmtId="0" fontId="2" fillId="0" borderId="0" xfId="0" applyFont="1"/>
    <xf numFmtId="0" fontId="2" fillId="0" borderId="0" xfId="0" applyFont="1" applyAlignment="1">
      <alignment horizontal="center"/>
    </xf>
    <xf numFmtId="0" fontId="2" fillId="0" borderId="0" xfId="0" applyFont="1" applyFill="1" applyAlignment="1">
      <alignment horizontal="center"/>
    </xf>
    <xf numFmtId="0" fontId="2" fillId="0" borderId="0" xfId="0" applyFont="1" applyFill="1"/>
    <xf numFmtId="165" fontId="2" fillId="0" borderId="0" xfId="0" applyNumberFormat="1" applyFont="1" applyAlignment="1">
      <alignment horizontal="center"/>
    </xf>
    <xf numFmtId="165" fontId="2" fillId="0" borderId="0" xfId="0" applyNumberFormat="1" applyFont="1" applyFill="1" applyAlignment="1">
      <alignment horizontal="center"/>
    </xf>
    <xf numFmtId="0" fontId="2" fillId="0" borderId="0" xfId="0" applyFont="1" applyBorder="1"/>
    <xf numFmtId="165" fontId="2" fillId="0" borderId="0" xfId="0" applyNumberFormat="1" applyFont="1" applyBorder="1" applyAlignment="1">
      <alignment horizontal="center"/>
    </xf>
    <xf numFmtId="165" fontId="2" fillId="0" borderId="0" xfId="0" applyNumberFormat="1" applyFont="1" applyFill="1" applyBorder="1" applyAlignment="1">
      <alignment horizontal="center"/>
    </xf>
    <xf numFmtId="14" fontId="2" fillId="0" borderId="0" xfId="0" applyNumberFormat="1" applyFont="1" applyFill="1" applyBorder="1" applyAlignment="1">
      <alignment horizontal="center"/>
    </xf>
    <xf numFmtId="0" fontId="3" fillId="0" borderId="0" xfId="0" applyFont="1" applyFill="1" applyBorder="1" applyAlignment="1">
      <alignment horizontal="center"/>
    </xf>
    <xf numFmtId="165" fontId="3" fillId="0" borderId="0" xfId="0" applyNumberFormat="1" applyFont="1" applyFill="1" applyBorder="1" applyAlignment="1">
      <alignment horizontal="center"/>
    </xf>
    <xf numFmtId="0" fontId="0" fillId="0" borderId="0" xfId="0" applyFont="1"/>
    <xf numFmtId="165" fontId="2" fillId="0" borderId="0" xfId="0" applyNumberFormat="1" applyFont="1" applyFill="1" applyBorder="1" applyAlignment="1"/>
    <xf numFmtId="0" fontId="5" fillId="0" borderId="0" xfId="0" applyFont="1" applyFill="1" applyBorder="1" applyAlignment="1">
      <alignment horizontal="center"/>
    </xf>
    <xf numFmtId="165" fontId="5" fillId="0" borderId="0" xfId="0" applyNumberFormat="1" applyFont="1" applyFill="1" applyBorder="1" applyAlignment="1">
      <alignment horizontal="center"/>
    </xf>
    <xf numFmtId="0" fontId="2" fillId="0" borderId="0" xfId="0" applyFont="1" applyFill="1" applyBorder="1"/>
    <xf numFmtId="165" fontId="3" fillId="0" borderId="0" xfId="1" applyNumberFormat="1" applyFont="1" applyFill="1" applyBorder="1" applyAlignment="1">
      <alignment horizontal="center"/>
    </xf>
    <xf numFmtId="1" fontId="3" fillId="0" borderId="0" xfId="0" applyNumberFormat="1" applyFont="1" applyAlignment="1">
      <alignment horizontal="center"/>
    </xf>
    <xf numFmtId="165" fontId="3" fillId="0" borderId="0" xfId="0" applyNumberFormat="1" applyFont="1" applyAlignment="1">
      <alignment horizontal="left"/>
    </xf>
    <xf numFmtId="0" fontId="7" fillId="0" borderId="0" xfId="0" applyFont="1" applyFill="1" applyAlignment="1">
      <alignment horizontal="left"/>
    </xf>
    <xf numFmtId="0" fontId="7" fillId="0" borderId="0" xfId="0" applyFont="1" applyFill="1" applyBorder="1" applyAlignment="1">
      <alignment horizontal="left"/>
    </xf>
    <xf numFmtId="0" fontId="7" fillId="0" borderId="0" xfId="0" applyFont="1" applyAlignment="1">
      <alignment horizontal="center"/>
    </xf>
    <xf numFmtId="0" fontId="7" fillId="0" borderId="0" xfId="0" applyFont="1" applyAlignment="1">
      <alignment horizontal="left"/>
    </xf>
    <xf numFmtId="0" fontId="8" fillId="0" borderId="0" xfId="0" applyFont="1"/>
    <xf numFmtId="0" fontId="2" fillId="0" borderId="0" xfId="0" applyFont="1" applyFill="1" applyAlignment="1"/>
    <xf numFmtId="0" fontId="2" fillId="4" borderId="12" xfId="0" applyFont="1" applyFill="1" applyBorder="1" applyAlignment="1"/>
    <xf numFmtId="0" fontId="2" fillId="4" borderId="12" xfId="0" applyFont="1" applyFill="1" applyBorder="1"/>
    <xf numFmtId="165" fontId="2" fillId="4" borderId="11" xfId="0" applyNumberFormat="1" applyFont="1" applyFill="1" applyBorder="1" applyAlignment="1">
      <alignment horizontal="right"/>
    </xf>
    <xf numFmtId="0" fontId="2" fillId="4" borderId="12" xfId="0" applyFont="1" applyFill="1" applyBorder="1" applyAlignment="1">
      <alignment horizontal="left"/>
    </xf>
    <xf numFmtId="0" fontId="8" fillId="4" borderId="12" xfId="0" applyFont="1" applyFill="1" applyBorder="1"/>
    <xf numFmtId="0" fontId="2" fillId="4" borderId="7" xfId="0" applyFont="1" applyFill="1" applyBorder="1"/>
    <xf numFmtId="165" fontId="2" fillId="4" borderId="6" xfId="0" applyNumberFormat="1" applyFont="1" applyFill="1" applyBorder="1" applyAlignment="1">
      <alignment horizontal="center"/>
    </xf>
    <xf numFmtId="0" fontId="2" fillId="4" borderId="14" xfId="0" applyFont="1" applyFill="1" applyBorder="1" applyAlignment="1">
      <alignment horizontal="right"/>
    </xf>
    <xf numFmtId="0" fontId="2" fillId="0" borderId="0" xfId="0" applyFont="1" applyFill="1" applyAlignment="1">
      <alignment horizontal="left"/>
    </xf>
    <xf numFmtId="0" fontId="3" fillId="4" borderId="12" xfId="0" applyFont="1" applyFill="1" applyBorder="1"/>
    <xf numFmtId="1" fontId="2" fillId="0" borderId="0" xfId="0" applyNumberFormat="1" applyFont="1" applyFill="1" applyBorder="1" applyAlignment="1">
      <alignment horizontal="center"/>
    </xf>
    <xf numFmtId="9"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69" fontId="2" fillId="0" borderId="0" xfId="0" applyNumberFormat="1" applyFont="1" applyFill="1" applyBorder="1" applyAlignment="1">
      <alignment horizontal="center"/>
    </xf>
    <xf numFmtId="0" fontId="2" fillId="4" borderId="12" xfId="0" applyFont="1" applyFill="1" applyBorder="1" applyAlignment="1">
      <alignment horizontal="center"/>
    </xf>
    <xf numFmtId="165" fontId="2" fillId="4" borderId="11" xfId="0" applyNumberFormat="1" applyFont="1" applyFill="1" applyBorder="1" applyAlignment="1">
      <alignment horizontal="center"/>
    </xf>
    <xf numFmtId="165" fontId="3" fillId="0" borderId="0" xfId="0" applyNumberFormat="1" applyFont="1" applyBorder="1" applyAlignment="1">
      <alignment horizontal="center"/>
    </xf>
    <xf numFmtId="0" fontId="2" fillId="4" borderId="7" xfId="0" applyFont="1" applyFill="1" applyBorder="1" applyAlignment="1">
      <alignment horizontal="center"/>
    </xf>
    <xf numFmtId="0" fontId="2" fillId="4" borderId="6" xfId="0" applyFont="1" applyFill="1" applyBorder="1" applyAlignment="1">
      <alignment horizontal="center"/>
    </xf>
    <xf numFmtId="0" fontId="2" fillId="2" borderId="7" xfId="0" applyFont="1" applyFill="1" applyBorder="1" applyAlignment="1">
      <alignment horizontal="left"/>
    </xf>
    <xf numFmtId="0" fontId="2" fillId="2" borderId="3" xfId="0" applyFont="1" applyFill="1" applyBorder="1" applyAlignment="1">
      <alignment horizontal="center"/>
    </xf>
    <xf numFmtId="0" fontId="2" fillId="2" borderId="6" xfId="0" applyFont="1" applyFill="1" applyBorder="1" applyAlignment="1">
      <alignment horizontal="center"/>
    </xf>
    <xf numFmtId="165" fontId="2" fillId="4" borderId="0" xfId="0" applyNumberFormat="1" applyFont="1" applyFill="1" applyBorder="1" applyAlignment="1">
      <alignment horizontal="center"/>
    </xf>
    <xf numFmtId="0" fontId="2" fillId="4" borderId="7" xfId="0" applyFont="1" applyFill="1" applyBorder="1" applyAlignment="1">
      <alignment horizontal="left"/>
    </xf>
    <xf numFmtId="14" fontId="6" fillId="0" borderId="0" xfId="0" applyNumberFormat="1" applyFont="1" applyFill="1" applyAlignment="1">
      <alignment horizontal="left"/>
    </xf>
    <xf numFmtId="0" fontId="2" fillId="4" borderId="0" xfId="0" applyFont="1" applyFill="1" applyBorder="1" applyAlignment="1">
      <alignment horizontal="center"/>
    </xf>
    <xf numFmtId="0" fontId="2" fillId="0" borderId="0" xfId="0" applyFont="1" applyBorder="1" applyAlignment="1">
      <alignment horizontal="center" textRotation="90"/>
    </xf>
    <xf numFmtId="0" fontId="2" fillId="0" borderId="0" xfId="0" applyFont="1" applyBorder="1" applyAlignment="1">
      <alignment vertical="top" wrapText="1"/>
    </xf>
    <xf numFmtId="0" fontId="11" fillId="0" borderId="0" xfId="0" applyFont="1"/>
    <xf numFmtId="10" fontId="2" fillId="0" borderId="0" xfId="0" applyNumberFormat="1" applyFont="1" applyBorder="1"/>
    <xf numFmtId="0" fontId="3" fillId="0" borderId="0" xfId="0" applyFont="1" applyFill="1" applyBorder="1" applyAlignment="1"/>
    <xf numFmtId="0" fontId="12" fillId="0" borderId="0" xfId="0" applyFont="1" applyAlignment="1">
      <alignment horizontal="left"/>
    </xf>
    <xf numFmtId="169" fontId="5" fillId="0" borderId="0" xfId="0" applyNumberFormat="1" applyFont="1" applyFill="1" applyBorder="1" applyAlignment="1">
      <alignment horizontal="center"/>
    </xf>
    <xf numFmtId="0" fontId="9" fillId="4" borderId="12" xfId="0" applyFont="1" applyFill="1" applyBorder="1" applyAlignment="1">
      <alignment horizontal="left"/>
    </xf>
    <xf numFmtId="165" fontId="9" fillId="4" borderId="11" xfId="0" applyNumberFormat="1" applyFont="1" applyFill="1" applyBorder="1" applyAlignment="1">
      <alignment horizontal="right"/>
    </xf>
    <xf numFmtId="0" fontId="10" fillId="4" borderId="8" xfId="0" applyFont="1" applyFill="1" applyBorder="1" applyAlignment="1">
      <alignment horizontal="left"/>
    </xf>
    <xf numFmtId="165" fontId="10" fillId="4" borderId="10" xfId="0" applyNumberFormat="1" applyFont="1" applyFill="1" applyBorder="1" applyAlignment="1">
      <alignment horizontal="left"/>
    </xf>
    <xf numFmtId="9" fontId="2" fillId="0" borderId="11" xfId="0" applyNumberFormat="1" applyFont="1" applyFill="1" applyBorder="1" applyAlignment="1">
      <alignment horizontal="center"/>
    </xf>
    <xf numFmtId="0" fontId="2" fillId="2" borderId="12" xfId="0" applyFont="1" applyFill="1" applyBorder="1" applyAlignment="1">
      <alignment horizontal="left"/>
    </xf>
    <xf numFmtId="9" fontId="2" fillId="2" borderId="0" xfId="0" applyNumberFormat="1" applyFont="1" applyFill="1" applyBorder="1" applyAlignment="1">
      <alignment horizontal="center"/>
    </xf>
    <xf numFmtId="165" fontId="2" fillId="2" borderId="11" xfId="0" applyNumberFormat="1" applyFont="1" applyFill="1" applyBorder="1" applyAlignment="1">
      <alignment horizontal="center"/>
    </xf>
    <xf numFmtId="0" fontId="2" fillId="0" borderId="12" xfId="0" applyFont="1" applyFill="1" applyBorder="1" applyAlignment="1">
      <alignment horizontal="left"/>
    </xf>
    <xf numFmtId="0" fontId="2" fillId="0" borderId="0" xfId="0" applyFont="1" applyFill="1" applyBorder="1" applyAlignment="1">
      <alignment horizontal="left"/>
    </xf>
    <xf numFmtId="0" fontId="2" fillId="0" borderId="0" xfId="0" applyFont="1" applyBorder="1" applyAlignment="1">
      <alignment horizontal="center"/>
    </xf>
    <xf numFmtId="0" fontId="2" fillId="0" borderId="0" xfId="0" applyFont="1" applyFill="1" applyBorder="1" applyAlignment="1">
      <alignment horizontal="center"/>
    </xf>
    <xf numFmtId="0" fontId="9" fillId="0" borderId="12" xfId="0" applyFont="1" applyFill="1" applyBorder="1" applyAlignment="1"/>
    <xf numFmtId="0" fontId="9" fillId="0" borderId="0" xfId="0" applyFont="1" applyFill="1" applyBorder="1" applyAlignment="1"/>
    <xf numFmtId="0" fontId="9" fillId="0" borderId="11" xfId="0" applyFont="1" applyFill="1" applyBorder="1" applyAlignment="1"/>
    <xf numFmtId="0" fontId="2" fillId="0" borderId="0" xfId="0" applyFont="1" applyFill="1" applyBorder="1" applyAlignment="1"/>
    <xf numFmtId="0" fontId="2" fillId="0" borderId="0" xfId="0" applyFont="1" applyBorder="1" applyAlignment="1">
      <alignment horizontal="center"/>
    </xf>
    <xf numFmtId="0" fontId="7" fillId="0" borderId="0" xfId="0" applyFont="1" applyFill="1" applyAlignment="1">
      <alignment horizontal="center"/>
    </xf>
    <xf numFmtId="3" fontId="2" fillId="4" borderId="11" xfId="0" applyNumberFormat="1" applyFont="1" applyFill="1" applyBorder="1" applyAlignment="1">
      <alignment horizontal="center"/>
    </xf>
    <xf numFmtId="3" fontId="2" fillId="4" borderId="11" xfId="1" applyNumberFormat="1" applyFont="1" applyFill="1" applyBorder="1" applyAlignment="1">
      <alignment horizontal="center" vertical="center"/>
    </xf>
    <xf numFmtId="165" fontId="2" fillId="0" borderId="0" xfId="0" applyNumberFormat="1" applyFont="1" applyFill="1" applyBorder="1" applyAlignment="1">
      <alignment horizontal="center"/>
    </xf>
    <xf numFmtId="165" fontId="2" fillId="0" borderId="0" xfId="0" applyNumberFormat="1" applyFont="1" applyAlignment="1">
      <alignment horizontal="center"/>
    </xf>
    <xf numFmtId="0" fontId="2" fillId="0" borderId="0" xfId="0" applyFont="1" applyFill="1" applyBorder="1" applyAlignment="1">
      <alignment horizontal="center"/>
    </xf>
    <xf numFmtId="0" fontId="2" fillId="0" borderId="0" xfId="0" applyFont="1" applyFill="1" applyBorder="1" applyAlignment="1">
      <alignment horizontal="left"/>
    </xf>
    <xf numFmtId="0" fontId="9" fillId="0" borderId="12" xfId="0" applyFont="1" applyFill="1" applyBorder="1" applyAlignment="1"/>
    <xf numFmtId="0" fontId="9" fillId="0" borderId="0" xfId="0" applyFont="1" applyFill="1" applyBorder="1" applyAlignment="1"/>
    <xf numFmtId="0" fontId="9" fillId="0" borderId="11" xfId="0" applyFont="1" applyFill="1" applyBorder="1" applyAlignment="1"/>
    <xf numFmtId="0" fontId="2" fillId="0" borderId="12" xfId="0" applyFont="1" applyFill="1" applyBorder="1" applyAlignment="1"/>
    <xf numFmtId="0" fontId="2" fillId="0" borderId="0" xfId="0" applyFont="1" applyFill="1" applyBorder="1" applyAlignment="1"/>
    <xf numFmtId="0" fontId="2" fillId="0" borderId="11" xfId="0" applyFont="1" applyFill="1" applyBorder="1" applyAlignment="1"/>
    <xf numFmtId="0" fontId="2" fillId="0" borderId="7" xfId="0" applyFont="1" applyFill="1" applyBorder="1" applyAlignment="1"/>
    <xf numFmtId="0" fontId="2" fillId="0" borderId="3" xfId="0" applyFont="1" applyFill="1" applyBorder="1" applyAlignment="1"/>
    <xf numFmtId="0" fontId="2" fillId="0" borderId="6" xfId="0" applyFont="1" applyFill="1" applyBorder="1" applyAlignment="1"/>
    <xf numFmtId="0" fontId="3" fillId="2" borderId="8" xfId="0" applyFont="1" applyFill="1" applyBorder="1" applyAlignment="1">
      <alignment horizontal="left"/>
    </xf>
    <xf numFmtId="0" fontId="3" fillId="2" borderId="9" xfId="0" applyFont="1" applyFill="1" applyBorder="1" applyAlignment="1">
      <alignment horizontal="left"/>
    </xf>
    <xf numFmtId="0" fontId="3" fillId="2" borderId="10" xfId="0" applyFont="1" applyFill="1" applyBorder="1" applyAlignment="1">
      <alignment horizontal="left"/>
    </xf>
    <xf numFmtId="0" fontId="8" fillId="0" borderId="12" xfId="0" applyFont="1" applyBorder="1" applyAlignment="1">
      <alignment horizontal="left"/>
    </xf>
    <xf numFmtId="0" fontId="8" fillId="0" borderId="0" xfId="0" applyFont="1" applyBorder="1" applyAlignment="1">
      <alignment horizontal="left"/>
    </xf>
    <xf numFmtId="0" fontId="8" fillId="0" borderId="11" xfId="0" applyFont="1" applyBorder="1" applyAlignment="1">
      <alignment horizontal="left"/>
    </xf>
    <xf numFmtId="0" fontId="2" fillId="0" borderId="12" xfId="0" applyFont="1" applyBorder="1" applyAlignment="1">
      <alignment horizontal="left"/>
    </xf>
    <xf numFmtId="0" fontId="2" fillId="0" borderId="0" xfId="0" applyFont="1" applyBorder="1" applyAlignment="1">
      <alignment horizontal="left"/>
    </xf>
    <xf numFmtId="0" fontId="2" fillId="0" borderId="11" xfId="0" applyFont="1" applyBorder="1" applyAlignment="1">
      <alignment horizontal="left"/>
    </xf>
    <xf numFmtId="0" fontId="17" fillId="9" borderId="16" xfId="0" applyFont="1" applyFill="1" applyBorder="1"/>
    <xf numFmtId="0" fontId="17" fillId="9" borderId="17" xfId="0" applyFont="1" applyFill="1" applyBorder="1"/>
    <xf numFmtId="0" fontId="2" fillId="2" borderId="4" xfId="0" applyFont="1" applyFill="1" applyBorder="1" applyAlignment="1">
      <alignment horizontal="left"/>
    </xf>
    <xf numFmtId="0" fontId="2" fillId="2" borderId="22" xfId="0" applyFont="1" applyFill="1" applyBorder="1" applyAlignment="1">
      <alignment horizontal="left"/>
    </xf>
    <xf numFmtId="0" fontId="2" fillId="2" borderId="2" xfId="0" applyFont="1" applyFill="1" applyBorder="1" applyAlignment="1">
      <alignment horizontal="left"/>
    </xf>
    <xf numFmtId="14" fontId="2" fillId="0" borderId="0" xfId="0" applyNumberFormat="1" applyFont="1" applyAlignment="1">
      <alignment horizontal="center"/>
    </xf>
    <xf numFmtId="0" fontId="17" fillId="9" borderId="23" xfId="0" applyFont="1" applyFill="1" applyBorder="1"/>
    <xf numFmtId="1" fontId="3" fillId="8" borderId="11" xfId="0" applyNumberFormat="1" applyFont="1" applyFill="1" applyBorder="1" applyAlignment="1">
      <alignment horizontal="center"/>
    </xf>
    <xf numFmtId="1" fontId="2" fillId="4" borderId="11" xfId="0" applyNumberFormat="1" applyFont="1" applyFill="1" applyBorder="1" applyAlignment="1">
      <alignment horizontal="center" vertical="center" wrapText="1"/>
    </xf>
    <xf numFmtId="1" fontId="2" fillId="4" borderId="6" xfId="0" applyNumberFormat="1" applyFont="1" applyFill="1" applyBorder="1" applyAlignment="1">
      <alignment horizontal="center"/>
    </xf>
    <xf numFmtId="172" fontId="0" fillId="0" borderId="24" xfId="0" applyNumberFormat="1" applyFont="1" applyBorder="1"/>
    <xf numFmtId="0" fontId="2" fillId="0" borderId="0" xfId="0" applyNumberFormat="1" applyFont="1"/>
    <xf numFmtId="0" fontId="2" fillId="10" borderId="1" xfId="0" applyFont="1" applyFill="1" applyBorder="1" applyAlignment="1">
      <alignment horizontal="center"/>
    </xf>
    <xf numFmtId="0" fontId="2" fillId="10" borderId="1" xfId="0" applyFont="1" applyFill="1" applyBorder="1"/>
    <xf numFmtId="165" fontId="2" fillId="4" borderId="0" xfId="0" applyNumberFormat="1" applyFont="1" applyFill="1" applyBorder="1" applyAlignment="1">
      <alignment horizontal="right"/>
    </xf>
    <xf numFmtId="0" fontId="2" fillId="4" borderId="11" xfId="0" applyFont="1" applyFill="1" applyBorder="1" applyAlignment="1">
      <alignment horizontal="center"/>
    </xf>
    <xf numFmtId="165" fontId="3" fillId="4" borderId="1" xfId="0" applyNumberFormat="1" applyFont="1" applyFill="1" applyBorder="1" applyAlignment="1">
      <alignment horizontal="center"/>
    </xf>
    <xf numFmtId="165" fontId="2" fillId="4" borderId="15" xfId="0" applyNumberFormat="1" applyFont="1" applyFill="1" applyBorder="1" applyAlignment="1">
      <alignment horizontal="right"/>
    </xf>
    <xf numFmtId="165" fontId="2" fillId="4" borderId="12" xfId="0" applyNumberFormat="1" applyFont="1" applyFill="1" applyBorder="1" applyAlignment="1">
      <alignment horizontal="left"/>
    </xf>
    <xf numFmtId="0" fontId="2" fillId="4" borderId="11" xfId="0" applyFont="1" applyFill="1" applyBorder="1"/>
    <xf numFmtId="0" fontId="2" fillId="4" borderId="0" xfId="0" applyFont="1" applyFill="1" applyBorder="1" applyAlignment="1">
      <alignment horizontal="right"/>
    </xf>
    <xf numFmtId="0" fontId="2" fillId="4" borderId="3" xfId="0" applyFont="1" applyFill="1" applyBorder="1" applyAlignment="1">
      <alignment horizontal="center"/>
    </xf>
    <xf numFmtId="0" fontId="2" fillId="4" borderId="6" xfId="0" applyFont="1" applyFill="1" applyBorder="1"/>
    <xf numFmtId="0" fontId="18" fillId="0" borderId="0" xfId="0" applyFont="1"/>
    <xf numFmtId="165" fontId="2" fillId="8" borderId="11" xfId="0" applyNumberFormat="1" applyFont="1" applyFill="1" applyBorder="1" applyAlignment="1">
      <alignment horizontal="right"/>
    </xf>
    <xf numFmtId="165" fontId="3" fillId="8" borderId="11" xfId="0" applyNumberFormat="1" applyFont="1" applyFill="1" applyBorder="1" applyAlignment="1">
      <alignment horizontal="right"/>
    </xf>
    <xf numFmtId="168" fontId="2" fillId="8" borderId="11" xfId="0" applyNumberFormat="1" applyFont="1" applyFill="1" applyBorder="1" applyAlignment="1">
      <alignment horizontal="right"/>
    </xf>
    <xf numFmtId="166" fontId="2" fillId="8" borderId="11" xfId="0" applyNumberFormat="1" applyFont="1" applyFill="1" applyBorder="1" applyAlignment="1">
      <alignment horizontal="right"/>
    </xf>
    <xf numFmtId="165" fontId="8" fillId="8" borderId="7" xfId="0" applyNumberFormat="1" applyFont="1" applyFill="1" applyBorder="1" applyAlignment="1">
      <alignment horizontal="left"/>
    </xf>
    <xf numFmtId="165" fontId="8" fillId="8" borderId="6" xfId="0" applyNumberFormat="1" applyFont="1" applyFill="1" applyBorder="1" applyAlignment="1">
      <alignment horizontal="left"/>
    </xf>
    <xf numFmtId="166" fontId="3" fillId="8" borderId="1" xfId="0" applyNumberFormat="1" applyFont="1" applyFill="1" applyBorder="1" applyAlignment="1">
      <alignment horizontal="center"/>
    </xf>
    <xf numFmtId="0" fontId="2" fillId="13" borderId="25" xfId="0" applyFont="1" applyFill="1" applyBorder="1" applyAlignment="1">
      <alignment horizontal="center"/>
    </xf>
    <xf numFmtId="165" fontId="3" fillId="12" borderId="5" xfId="0" applyNumberFormat="1" applyFont="1" applyFill="1" applyBorder="1" applyAlignment="1"/>
    <xf numFmtId="0" fontId="2" fillId="8" borderId="13" xfId="0" applyFont="1" applyFill="1" applyBorder="1"/>
    <xf numFmtId="0" fontId="2" fillId="4" borderId="25" xfId="0" applyFont="1" applyFill="1" applyBorder="1" applyAlignment="1">
      <alignment horizontal="left"/>
    </xf>
    <xf numFmtId="0" fontId="2" fillId="4" borderId="25" xfId="0" applyFont="1" applyFill="1" applyBorder="1"/>
    <xf numFmtId="0" fontId="2" fillId="4" borderId="25" xfId="0" applyFont="1" applyFill="1" applyBorder="1" applyAlignment="1">
      <alignment horizontal="left" vertical="center"/>
    </xf>
    <xf numFmtId="0" fontId="2" fillId="4" borderId="13" xfId="0" applyFont="1" applyFill="1" applyBorder="1" applyAlignment="1">
      <alignment horizontal="left"/>
    </xf>
    <xf numFmtId="10" fontId="2" fillId="8" borderId="12" xfId="0" applyNumberFormat="1" applyFont="1" applyFill="1" applyBorder="1" applyAlignment="1">
      <alignment horizontal="center" vertical="center"/>
    </xf>
    <xf numFmtId="165" fontId="2" fillId="8" borderId="0" xfId="0" applyNumberFormat="1" applyFont="1" applyFill="1" applyBorder="1" applyAlignment="1">
      <alignment horizontal="right"/>
    </xf>
    <xf numFmtId="165" fontId="2" fillId="8" borderId="0" xfId="0" applyNumberFormat="1" applyFont="1" applyFill="1" applyBorder="1" applyAlignment="1">
      <alignment horizontal="center"/>
    </xf>
    <xf numFmtId="165" fontId="2" fillId="8" borderId="11" xfId="0" applyNumberFormat="1" applyFont="1" applyFill="1" applyBorder="1" applyAlignment="1">
      <alignment horizontal="center"/>
    </xf>
    <xf numFmtId="165" fontId="3" fillId="8" borderId="0" xfId="0" applyNumberFormat="1" applyFont="1" applyFill="1" applyBorder="1" applyAlignment="1">
      <alignment horizontal="right"/>
    </xf>
    <xf numFmtId="0" fontId="3" fillId="5" borderId="8" xfId="0" applyFont="1" applyFill="1" applyBorder="1" applyAlignment="1">
      <alignment horizontal="left"/>
    </xf>
    <xf numFmtId="0" fontId="3" fillId="5" borderId="10" xfId="0" applyFont="1" applyFill="1" applyBorder="1" applyAlignment="1">
      <alignment horizontal="left"/>
    </xf>
    <xf numFmtId="0" fontId="2" fillId="7" borderId="13" xfId="0" applyFont="1" applyFill="1" applyBorder="1"/>
    <xf numFmtId="166" fontId="3" fillId="8" borderId="13" xfId="0" applyNumberFormat="1" applyFont="1" applyFill="1" applyBorder="1" applyAlignment="1">
      <alignment horizontal="center"/>
    </xf>
    <xf numFmtId="0" fontId="2" fillId="4" borderId="8" xfId="0" applyFont="1" applyFill="1" applyBorder="1"/>
    <xf numFmtId="165" fontId="2" fillId="8" borderId="6" xfId="0" applyNumberFormat="1" applyFont="1" applyFill="1" applyBorder="1" applyAlignment="1">
      <alignment horizontal="center"/>
    </xf>
    <xf numFmtId="0" fontId="2" fillId="0" borderId="28" xfId="0" applyFont="1" applyBorder="1" applyAlignment="1">
      <alignment horizontal="center"/>
    </xf>
    <xf numFmtId="0" fontId="2" fillId="0" borderId="29" xfId="0" applyFont="1" applyBorder="1" applyAlignment="1">
      <alignment horizontal="center"/>
    </xf>
    <xf numFmtId="0" fontId="2" fillId="0" borderId="30" xfId="0" applyFont="1" applyBorder="1" applyAlignment="1">
      <alignment horizontal="center"/>
    </xf>
    <xf numFmtId="170" fontId="3" fillId="12" borderId="5" xfId="0" applyNumberFormat="1" applyFont="1" applyFill="1" applyBorder="1" applyAlignment="1">
      <alignment horizontal="center"/>
    </xf>
    <xf numFmtId="165" fontId="3" fillId="12" borderId="25" xfId="0" applyNumberFormat="1" applyFont="1" applyFill="1" applyBorder="1" applyAlignment="1">
      <alignment horizontal="center"/>
    </xf>
    <xf numFmtId="167" fontId="2" fillId="8" borderId="0" xfId="0" applyNumberFormat="1" applyFont="1" applyFill="1" applyBorder="1" applyAlignment="1">
      <alignment horizontal="center"/>
    </xf>
    <xf numFmtId="0" fontId="2" fillId="4" borderId="8" xfId="0" applyFont="1" applyFill="1" applyBorder="1" applyAlignment="1">
      <alignment horizontal="center"/>
    </xf>
    <xf numFmtId="165" fontId="2" fillId="4" borderId="10" xfId="0" applyNumberFormat="1" applyFont="1" applyFill="1" applyBorder="1" applyAlignment="1">
      <alignment horizontal="center"/>
    </xf>
    <xf numFmtId="0" fontId="2" fillId="0" borderId="0" xfId="0" applyFont="1" applyFill="1" applyBorder="1" applyAlignment="1">
      <alignment horizontal="center"/>
    </xf>
    <xf numFmtId="0" fontId="17" fillId="9" borderId="31" xfId="0" applyFont="1" applyFill="1" applyBorder="1"/>
    <xf numFmtId="3" fontId="0" fillId="4" borderId="11" xfId="0" applyNumberFormat="1" applyFont="1" applyFill="1" applyBorder="1" applyAlignment="1">
      <alignment horizontal="center"/>
    </xf>
    <xf numFmtId="0" fontId="0" fillId="0" borderId="0" xfId="0" applyBorder="1"/>
    <xf numFmtId="165" fontId="8" fillId="8" borderId="25" xfId="0" applyNumberFormat="1" applyFont="1" applyFill="1" applyBorder="1" applyAlignment="1">
      <alignment horizontal="center"/>
    </xf>
    <xf numFmtId="165" fontId="2" fillId="8" borderId="25" xfId="0" applyNumberFormat="1" applyFont="1" applyFill="1" applyBorder="1" applyAlignment="1">
      <alignment horizontal="center"/>
    </xf>
    <xf numFmtId="0" fontId="2" fillId="4" borderId="13" xfId="0" applyFont="1" applyFill="1" applyBorder="1"/>
    <xf numFmtId="165" fontId="3" fillId="8" borderId="13" xfId="0" applyNumberFormat="1" applyFont="1" applyFill="1" applyBorder="1" applyAlignment="1">
      <alignment horizontal="center"/>
    </xf>
    <xf numFmtId="10" fontId="2" fillId="8" borderId="25" xfId="0" applyNumberFormat="1" applyFont="1" applyFill="1" applyBorder="1" applyAlignment="1">
      <alignment horizontal="center" vertical="center"/>
    </xf>
    <xf numFmtId="165" fontId="0" fillId="4" borderId="25" xfId="0" applyNumberFormat="1" applyFont="1" applyFill="1" applyBorder="1" applyAlignment="1">
      <alignment horizontal="center"/>
    </xf>
    <xf numFmtId="169" fontId="2" fillId="4" borderId="25" xfId="0" applyNumberFormat="1" applyFont="1" applyFill="1" applyBorder="1" applyAlignment="1">
      <alignment horizontal="center" vertical="center"/>
    </xf>
    <xf numFmtId="173" fontId="2" fillId="8" borderId="25" xfId="0" applyNumberFormat="1" applyFont="1" applyFill="1" applyBorder="1" applyAlignment="1">
      <alignment horizontal="center" vertical="center"/>
    </xf>
    <xf numFmtId="169" fontId="2" fillId="4" borderId="25" xfId="0" applyNumberFormat="1" applyFont="1" applyFill="1" applyBorder="1" applyAlignment="1">
      <alignment horizontal="center"/>
    </xf>
    <xf numFmtId="169" fontId="2" fillId="12" borderId="34" xfId="0" applyNumberFormat="1" applyFont="1" applyFill="1" applyBorder="1" applyAlignment="1">
      <alignment horizontal="center"/>
    </xf>
    <xf numFmtId="169" fontId="2" fillId="12" borderId="29" xfId="0" applyNumberFormat="1" applyFont="1" applyFill="1" applyBorder="1" applyAlignment="1">
      <alignment horizontal="center"/>
    </xf>
    <xf numFmtId="169" fontId="2" fillId="4" borderId="35" xfId="0" applyNumberFormat="1" applyFont="1" applyFill="1" applyBorder="1" applyAlignment="1">
      <alignment horizontal="center"/>
    </xf>
    <xf numFmtId="10" fontId="2" fillId="4" borderId="13" xfId="0" applyNumberFormat="1" applyFont="1" applyFill="1" applyBorder="1" applyAlignment="1">
      <alignment horizontal="center"/>
    </xf>
    <xf numFmtId="165" fontId="2" fillId="4" borderId="13" xfId="0" applyNumberFormat="1" applyFont="1" applyFill="1" applyBorder="1" applyAlignment="1">
      <alignment horizontal="center"/>
    </xf>
    <xf numFmtId="169" fontId="2" fillId="4" borderId="13" xfId="0" applyNumberFormat="1" applyFont="1" applyFill="1" applyBorder="1" applyAlignment="1">
      <alignment horizontal="center"/>
    </xf>
    <xf numFmtId="173" fontId="2" fillId="8" borderId="13" xfId="0" applyNumberFormat="1" applyFont="1" applyFill="1" applyBorder="1" applyAlignment="1">
      <alignment horizontal="center" vertical="center"/>
    </xf>
    <xf numFmtId="0" fontId="3" fillId="5" borderId="1" xfId="0" applyFont="1" applyFill="1" applyBorder="1" applyAlignment="1">
      <alignment horizontal="left"/>
    </xf>
    <xf numFmtId="0" fontId="20" fillId="0" borderId="0" xfId="0" applyFont="1" applyFill="1" applyAlignment="1">
      <alignment horizontal="left" vertical="center"/>
    </xf>
    <xf numFmtId="175" fontId="3" fillId="12" borderId="13" xfId="0" applyNumberFormat="1" applyFont="1" applyFill="1" applyBorder="1" applyAlignment="1">
      <alignment horizontal="center"/>
    </xf>
    <xf numFmtId="174" fontId="2" fillId="8" borderId="11" xfId="0" applyNumberFormat="1" applyFont="1" applyFill="1" applyBorder="1" applyAlignment="1">
      <alignment horizontal="center"/>
    </xf>
    <xf numFmtId="0" fontId="2" fillId="4" borderId="11" xfId="0" applyFont="1" applyFill="1" applyBorder="1" applyAlignment="1">
      <alignment horizontal="center" wrapText="1"/>
    </xf>
    <xf numFmtId="0" fontId="3" fillId="4" borderId="1" xfId="0" applyFont="1" applyFill="1" applyBorder="1" applyAlignment="1">
      <alignment horizontal="right"/>
    </xf>
    <xf numFmtId="165" fontId="8" fillId="8" borderId="6" xfId="0" applyNumberFormat="1" applyFont="1" applyFill="1" applyBorder="1" applyAlignment="1">
      <alignment horizontal="right"/>
    </xf>
    <xf numFmtId="165" fontId="2" fillId="4" borderId="1" xfId="0" applyNumberFormat="1" applyFont="1" applyFill="1" applyBorder="1" applyAlignment="1">
      <alignment horizontal="right"/>
    </xf>
    <xf numFmtId="1" fontId="2" fillId="4" borderId="11" xfId="0" applyNumberFormat="1" applyFont="1" applyFill="1" applyBorder="1" applyAlignment="1">
      <alignment horizontal="center"/>
    </xf>
    <xf numFmtId="167" fontId="2" fillId="4" borderId="27" xfId="0" applyNumberFormat="1" applyFont="1" applyFill="1" applyBorder="1" applyAlignment="1">
      <alignment horizontal="center"/>
    </xf>
    <xf numFmtId="14" fontId="3" fillId="4" borderId="11" xfId="0" applyNumberFormat="1" applyFont="1" applyFill="1" applyBorder="1" applyAlignment="1">
      <alignment horizontal="center" vertical="center"/>
    </xf>
    <xf numFmtId="14" fontId="2" fillId="4" borderId="11" xfId="0" applyNumberFormat="1" applyFont="1" applyFill="1" applyBorder="1" applyAlignment="1">
      <alignment horizontal="center" vertical="center" wrapText="1"/>
    </xf>
    <xf numFmtId="0" fontId="2" fillId="0" borderId="0" xfId="0" applyFont="1" applyFill="1" applyBorder="1" applyAlignment="1">
      <alignment horizontal="center"/>
    </xf>
    <xf numFmtId="0" fontId="2" fillId="0" borderId="0" xfId="0" applyFont="1" applyFill="1" applyBorder="1" applyAlignment="1">
      <alignment horizontal="center"/>
    </xf>
    <xf numFmtId="0" fontId="2" fillId="4" borderId="0" xfId="0" applyFont="1" applyFill="1" applyBorder="1" applyAlignment="1">
      <alignment horizontal="left"/>
    </xf>
    <xf numFmtId="0" fontId="2" fillId="4" borderId="12" xfId="0" applyFont="1" applyFill="1" applyBorder="1" applyAlignment="1">
      <alignment horizontal="left" vertical="center"/>
    </xf>
    <xf numFmtId="174" fontId="2" fillId="8" borderId="0" xfId="0" applyNumberFormat="1" applyFont="1" applyFill="1" applyBorder="1" applyAlignment="1">
      <alignment horizontal="center" vertical="center"/>
    </xf>
    <xf numFmtId="10" fontId="2" fillId="0" borderId="0" xfId="0" applyNumberFormat="1" applyFont="1" applyFill="1" applyBorder="1" applyAlignment="1">
      <alignment horizontal="center" vertical="center"/>
    </xf>
    <xf numFmtId="174" fontId="2" fillId="8" borderId="11" xfId="0" applyNumberFormat="1" applyFont="1" applyFill="1" applyBorder="1" applyAlignment="1">
      <alignment horizontal="center" vertical="center"/>
    </xf>
    <xf numFmtId="0" fontId="3" fillId="4" borderId="7" xfId="0" applyFont="1" applyFill="1" applyBorder="1"/>
    <xf numFmtId="174" fontId="3" fillId="8" borderId="3" xfId="0" applyNumberFormat="1" applyFont="1" applyFill="1" applyBorder="1" applyAlignment="1">
      <alignment horizontal="center" vertical="center"/>
    </xf>
    <xf numFmtId="10" fontId="3" fillId="8" borderId="3" xfId="0" applyNumberFormat="1" applyFont="1" applyFill="1" applyBorder="1" applyAlignment="1">
      <alignment horizontal="center" vertical="center"/>
    </xf>
    <xf numFmtId="174" fontId="3" fillId="8" borderId="6" xfId="0" applyNumberFormat="1" applyFont="1" applyFill="1" applyBorder="1" applyAlignment="1">
      <alignment horizontal="center" vertical="center"/>
    </xf>
    <xf numFmtId="16" fontId="2" fillId="4" borderId="7" xfId="0" quotePrefix="1" applyNumberFormat="1" applyFont="1" applyFill="1" applyBorder="1" applyAlignment="1">
      <alignment horizontal="left" vertical="center"/>
    </xf>
    <xf numFmtId="0" fontId="2" fillId="4" borderId="7" xfId="0" applyFont="1" applyFill="1" applyBorder="1" applyAlignment="1">
      <alignment horizontal="left" vertical="center"/>
    </xf>
    <xf numFmtId="1" fontId="2" fillId="4" borderId="3" xfId="0" applyNumberFormat="1" applyFont="1" applyFill="1" applyBorder="1" applyAlignment="1">
      <alignment horizontal="center" vertical="center"/>
    </xf>
    <xf numFmtId="174" fontId="2" fillId="8" borderId="6" xfId="0" applyNumberFormat="1" applyFont="1" applyFill="1" applyBorder="1" applyAlignment="1">
      <alignment horizontal="center" vertical="center"/>
    </xf>
    <xf numFmtId="1" fontId="2" fillId="4" borderId="0" xfId="0" applyNumberFormat="1" applyFont="1" applyFill="1" applyBorder="1" applyAlignment="1">
      <alignment horizontal="center" vertical="center"/>
    </xf>
    <xf numFmtId="174" fontId="2" fillId="4" borderId="3" xfId="0" applyNumberFormat="1" applyFont="1" applyFill="1" applyBorder="1" applyAlignment="1">
      <alignment horizontal="center" vertical="center"/>
    </xf>
    <xf numFmtId="0" fontId="3" fillId="4" borderId="12" xfId="0" applyFont="1" applyFill="1" applyBorder="1" applyAlignment="1">
      <alignment horizontal="right"/>
    </xf>
    <xf numFmtId="1" fontId="2" fillId="8" borderId="3" xfId="0" applyNumberFormat="1" applyFont="1" applyFill="1" applyBorder="1" applyAlignment="1">
      <alignment horizontal="center" vertical="center"/>
    </xf>
    <xf numFmtId="165" fontId="2" fillId="12" borderId="11" xfId="0" applyNumberFormat="1" applyFont="1" applyFill="1" applyBorder="1" applyAlignment="1">
      <alignment horizontal="center"/>
    </xf>
    <xf numFmtId="165" fontId="3" fillId="8" borderId="1" xfId="0" applyNumberFormat="1" applyFont="1" applyFill="1" applyBorder="1" applyAlignment="1">
      <alignment horizontal="center"/>
    </xf>
    <xf numFmtId="0" fontId="0" fillId="11" borderId="25" xfId="0" applyFill="1" applyBorder="1"/>
    <xf numFmtId="0" fontId="0" fillId="0" borderId="25" xfId="0" applyBorder="1"/>
    <xf numFmtId="0" fontId="0" fillId="11" borderId="13" xfId="0" applyFill="1" applyBorder="1"/>
    <xf numFmtId="0" fontId="0" fillId="11" borderId="1" xfId="0" applyFill="1" applyBorder="1"/>
    <xf numFmtId="1" fontId="0" fillId="11" borderId="1" xfId="0" applyNumberFormat="1" applyFill="1" applyBorder="1"/>
    <xf numFmtId="0" fontId="0" fillId="11" borderId="1" xfId="0" applyNumberFormat="1" applyFill="1" applyBorder="1"/>
    <xf numFmtId="0" fontId="0" fillId="15" borderId="25" xfId="0" applyFill="1" applyBorder="1"/>
    <xf numFmtId="0" fontId="0" fillId="15" borderId="13" xfId="0" applyFill="1" applyBorder="1"/>
    <xf numFmtId="0" fontId="0" fillId="0" borderId="36" xfId="0" applyBorder="1"/>
    <xf numFmtId="0" fontId="0" fillId="0" borderId="37" xfId="0" applyBorder="1"/>
    <xf numFmtId="0" fontId="0" fillId="0" borderId="38" xfId="0" applyBorder="1"/>
    <xf numFmtId="0" fontId="0" fillId="0" borderId="39" xfId="0" applyBorder="1"/>
    <xf numFmtId="0" fontId="0" fillId="0" borderId="40" xfId="0" applyBorder="1"/>
    <xf numFmtId="0" fontId="19" fillId="0" borderId="0" xfId="0" applyFont="1" applyBorder="1"/>
    <xf numFmtId="0" fontId="0" fillId="0" borderId="41" xfId="0" applyBorder="1"/>
    <xf numFmtId="0" fontId="0" fillId="0" borderId="42" xfId="0" applyBorder="1"/>
    <xf numFmtId="0" fontId="0" fillId="0" borderId="43" xfId="0" applyBorder="1"/>
    <xf numFmtId="0" fontId="6" fillId="0" borderId="0" xfId="0" applyFont="1" applyBorder="1"/>
    <xf numFmtId="0" fontId="0" fillId="16" borderId="44" xfId="0" applyFill="1" applyBorder="1"/>
    <xf numFmtId="14" fontId="0" fillId="16" borderId="45" xfId="0" applyNumberFormat="1" applyFill="1" applyBorder="1"/>
    <xf numFmtId="0" fontId="0" fillId="16" borderId="45" xfId="0" applyFill="1" applyBorder="1"/>
    <xf numFmtId="0" fontId="0" fillId="16" borderId="46" xfId="0" applyFill="1" applyBorder="1"/>
    <xf numFmtId="0" fontId="0" fillId="16" borderId="47" xfId="0" applyFill="1" applyBorder="1"/>
    <xf numFmtId="0" fontId="0" fillId="16" borderId="48" xfId="0" applyFill="1" applyBorder="1"/>
    <xf numFmtId="0" fontId="0" fillId="16" borderId="49" xfId="0" applyFill="1" applyBorder="1"/>
    <xf numFmtId="49" fontId="18" fillId="0" borderId="0" xfId="0" applyNumberFormat="1" applyFont="1" applyBorder="1"/>
    <xf numFmtId="171" fontId="0" fillId="0" borderId="0" xfId="0" applyNumberFormat="1" applyBorder="1"/>
    <xf numFmtId="49" fontId="0" fillId="0" borderId="0" xfId="0" applyNumberFormat="1" applyBorder="1"/>
    <xf numFmtId="10" fontId="0" fillId="0" borderId="0" xfId="0" applyNumberFormat="1" applyBorder="1"/>
    <xf numFmtId="17" fontId="0" fillId="0" borderId="0" xfId="0" applyNumberFormat="1" applyBorder="1"/>
    <xf numFmtId="0" fontId="18" fillId="0" borderId="0" xfId="0" applyFont="1" applyBorder="1"/>
    <xf numFmtId="0" fontId="0" fillId="0" borderId="0" xfId="0" applyBorder="1" applyAlignment="1">
      <alignment horizontal="left" wrapText="1"/>
    </xf>
    <xf numFmtId="0" fontId="18" fillId="0" borderId="0" xfId="0" applyFont="1" applyBorder="1" applyAlignment="1">
      <alignment horizontal="left" wrapText="1"/>
    </xf>
    <xf numFmtId="0" fontId="17" fillId="9" borderId="0" xfId="0" applyFont="1" applyFill="1" applyBorder="1"/>
    <xf numFmtId="0" fontId="17" fillId="9" borderId="52" xfId="0" applyFont="1" applyFill="1" applyBorder="1"/>
    <xf numFmtId="0" fontId="0" fillId="17" borderId="53" xfId="0" applyFont="1" applyFill="1" applyBorder="1"/>
    <xf numFmtId="0" fontId="0" fillId="17" borderId="51" xfId="0" applyFont="1" applyFill="1" applyBorder="1"/>
    <xf numFmtId="0" fontId="0" fillId="17" borderId="33" xfId="0" applyFont="1" applyFill="1" applyBorder="1"/>
    <xf numFmtId="0" fontId="0" fillId="18" borderId="50" xfId="0" applyFont="1" applyFill="1" applyBorder="1"/>
    <xf numFmtId="0" fontId="0" fillId="18" borderId="33" xfId="0" applyFont="1" applyFill="1" applyBorder="1"/>
    <xf numFmtId="0" fontId="0" fillId="17" borderId="50" xfId="0" applyFont="1" applyFill="1" applyBorder="1"/>
    <xf numFmtId="0" fontId="0" fillId="17" borderId="32" xfId="0" applyFont="1" applyFill="1" applyBorder="1"/>
    <xf numFmtId="0" fontId="0" fillId="18" borderId="18" xfId="0" applyFont="1" applyFill="1" applyBorder="1"/>
    <xf numFmtId="0" fontId="0" fillId="18" borderId="19" xfId="0" applyFont="1" applyFill="1" applyBorder="1"/>
    <xf numFmtId="0" fontId="0" fillId="18" borderId="32" xfId="0" applyFont="1" applyFill="1" applyBorder="1"/>
    <xf numFmtId="0" fontId="0" fillId="17" borderId="18" xfId="0" applyFont="1" applyFill="1" applyBorder="1"/>
    <xf numFmtId="0" fontId="0" fillId="17" borderId="19" xfId="0" applyFont="1" applyFill="1" applyBorder="1"/>
    <xf numFmtId="0" fontId="0" fillId="18" borderId="20" xfId="0" applyFont="1" applyFill="1" applyBorder="1"/>
    <xf numFmtId="0" fontId="0" fillId="18" borderId="21" xfId="0" applyFont="1" applyFill="1" applyBorder="1"/>
    <xf numFmtId="0" fontId="0" fillId="17" borderId="21" xfId="0" applyFont="1" applyFill="1" applyBorder="1"/>
    <xf numFmtId="0" fontId="0" fillId="15" borderId="0" xfId="0" applyFill="1" applyBorder="1"/>
    <xf numFmtId="0" fontId="0" fillId="17" borderId="0" xfId="0" applyFont="1" applyFill="1" applyBorder="1"/>
    <xf numFmtId="0" fontId="0" fillId="17" borderId="20" xfId="0" applyFont="1" applyFill="1" applyBorder="1"/>
    <xf numFmtId="0" fontId="0" fillId="15" borderId="19" xfId="0" applyFill="1" applyBorder="1"/>
    <xf numFmtId="0" fontId="0" fillId="15" borderId="21" xfId="0" applyFill="1" applyBorder="1"/>
    <xf numFmtId="0" fontId="0" fillId="15" borderId="0" xfId="0" applyFill="1"/>
    <xf numFmtId="0" fontId="22" fillId="0" borderId="0" xfId="0" applyFont="1" applyFill="1" applyAlignment="1">
      <alignment horizontal="left" vertical="center"/>
    </xf>
    <xf numFmtId="165" fontId="2" fillId="8" borderId="12" xfId="0" applyNumberFormat="1" applyFont="1" applyFill="1" applyBorder="1" applyAlignment="1">
      <alignment horizontal="center"/>
    </xf>
    <xf numFmtId="165" fontId="2" fillId="8" borderId="1" xfId="0" applyNumberFormat="1" applyFont="1" applyFill="1" applyBorder="1" applyAlignment="1">
      <alignment horizontal="center"/>
    </xf>
    <xf numFmtId="165" fontId="2" fillId="4" borderId="12" xfId="0" applyNumberFormat="1" applyFont="1" applyFill="1" applyBorder="1" applyAlignment="1">
      <alignment horizontal="center"/>
    </xf>
    <xf numFmtId="0" fontId="14" fillId="4" borderId="4" xfId="0" applyFont="1" applyFill="1" applyBorder="1" applyAlignment="1">
      <alignment horizontal="center"/>
    </xf>
    <xf numFmtId="176" fontId="2" fillId="8" borderId="11" xfId="0" applyNumberFormat="1" applyFont="1" applyFill="1" applyBorder="1" applyAlignment="1">
      <alignment horizontal="right"/>
    </xf>
    <xf numFmtId="0" fontId="0" fillId="19" borderId="0" xfId="0" applyFill="1"/>
    <xf numFmtId="0" fontId="27" fillId="12" borderId="0" xfId="0" applyFont="1" applyFill="1" applyAlignment="1">
      <alignment horizontal="left" vertical="top" wrapText="1"/>
    </xf>
    <xf numFmtId="0" fontId="24" fillId="12" borderId="65" xfId="0" applyFont="1" applyFill="1" applyBorder="1" applyAlignment="1">
      <alignment horizontal="left" vertical="top" wrapText="1"/>
    </xf>
    <xf numFmtId="0" fontId="24" fillId="12" borderId="77" xfId="0" applyFont="1" applyFill="1" applyBorder="1" applyAlignment="1">
      <alignment horizontal="left" vertical="top" wrapText="1"/>
    </xf>
    <xf numFmtId="0" fontId="25" fillId="0" borderId="62" xfId="0" applyFont="1" applyBorder="1" applyAlignment="1">
      <alignment vertical="center" wrapText="1"/>
    </xf>
    <xf numFmtId="0" fontId="27" fillId="0" borderId="89" xfId="0" applyFont="1" applyBorder="1" applyAlignment="1">
      <alignment horizontal="center" vertical="center" wrapText="1"/>
    </xf>
    <xf numFmtId="0" fontId="0" fillId="0" borderId="89" xfId="0" applyBorder="1"/>
    <xf numFmtId="178" fontId="24" fillId="0" borderId="65" xfId="0" applyNumberFormat="1" applyFont="1" applyBorder="1" applyAlignment="1">
      <alignment horizontal="center" vertical="center" wrapText="1"/>
    </xf>
    <xf numFmtId="178" fontId="24" fillId="0" borderId="62" xfId="0" applyNumberFormat="1" applyFont="1" applyBorder="1" applyAlignment="1">
      <alignment horizontal="center" vertical="center" wrapText="1"/>
    </xf>
    <xf numFmtId="0" fontId="2" fillId="0" borderId="0" xfId="0" applyFont="1" applyFill="1" applyBorder="1" applyAlignment="1">
      <alignment horizontal="center"/>
    </xf>
    <xf numFmtId="179" fontId="24" fillId="0" borderId="66" xfId="0" applyNumberFormat="1" applyFont="1" applyBorder="1" applyAlignment="1">
      <alignment horizontal="center" vertical="center" wrapText="1"/>
    </xf>
    <xf numFmtId="165" fontId="3" fillId="2" borderId="8" xfId="0" applyNumberFormat="1" applyFont="1" applyFill="1" applyBorder="1" applyAlignment="1">
      <alignment horizontal="center"/>
    </xf>
    <xf numFmtId="0" fontId="18" fillId="0" borderId="89" xfId="0" applyFont="1" applyBorder="1" applyAlignment="1">
      <alignment horizontal="center" vertical="center" wrapText="1"/>
    </xf>
    <xf numFmtId="0" fontId="2" fillId="2" borderId="3" xfId="0" applyFont="1" applyFill="1" applyBorder="1" applyAlignment="1">
      <alignment horizontal="left"/>
    </xf>
    <xf numFmtId="0" fontId="2" fillId="2" borderId="0" xfId="0" applyFont="1" applyFill="1" applyBorder="1" applyAlignment="1">
      <alignment horizontal="left"/>
    </xf>
    <xf numFmtId="0" fontId="2" fillId="8" borderId="0" xfId="0" applyFont="1" applyFill="1" applyBorder="1" applyAlignment="1">
      <alignment horizontal="center"/>
    </xf>
    <xf numFmtId="0" fontId="2" fillId="12" borderId="97" xfId="0" applyFont="1" applyFill="1" applyBorder="1" applyAlignment="1">
      <alignment horizontal="left"/>
    </xf>
    <xf numFmtId="0" fontId="2" fillId="12" borderId="98" xfId="0" applyFont="1" applyFill="1" applyBorder="1" applyAlignment="1">
      <alignment horizontal="left"/>
    </xf>
    <xf numFmtId="0" fontId="2" fillId="12" borderId="99" xfId="0" applyFont="1" applyFill="1" applyBorder="1" applyAlignment="1">
      <alignment horizontal="left"/>
    </xf>
    <xf numFmtId="0" fontId="2" fillId="12" borderId="100" xfId="0" applyFont="1" applyFill="1" applyBorder="1" applyAlignment="1">
      <alignment horizontal="left"/>
    </xf>
    <xf numFmtId="0" fontId="2" fillId="12" borderId="102" xfId="0" applyFont="1" applyFill="1" applyBorder="1" applyAlignment="1">
      <alignment horizontal="left"/>
    </xf>
    <xf numFmtId="0" fontId="2" fillId="12" borderId="103" xfId="0" applyFont="1" applyFill="1" applyBorder="1" applyAlignment="1">
      <alignment horizontal="left"/>
    </xf>
    <xf numFmtId="0" fontId="2" fillId="12" borderId="104" xfId="0" applyFont="1" applyFill="1" applyBorder="1" applyAlignment="1">
      <alignment horizontal="left"/>
    </xf>
    <xf numFmtId="173" fontId="2" fillId="8" borderId="12" xfId="0" applyNumberFormat="1" applyFont="1" applyFill="1" applyBorder="1" applyAlignment="1">
      <alignment horizontal="center"/>
    </xf>
    <xf numFmtId="173" fontId="2" fillId="8" borderId="11" xfId="0" applyNumberFormat="1" applyFont="1" applyFill="1" applyBorder="1" applyAlignment="1">
      <alignment horizontal="center"/>
    </xf>
    <xf numFmtId="173" fontId="2" fillId="8" borderId="7" xfId="0" applyNumberFormat="1" applyFont="1" applyFill="1" applyBorder="1" applyAlignment="1">
      <alignment horizontal="center"/>
    </xf>
    <xf numFmtId="173" fontId="2" fillId="8" borderId="6" xfId="0" applyNumberFormat="1" applyFont="1" applyFill="1" applyBorder="1" applyAlignment="1">
      <alignment horizontal="center"/>
    </xf>
    <xf numFmtId="0" fontId="2" fillId="2" borderId="2" xfId="0" applyFont="1" applyFill="1" applyBorder="1" applyAlignment="1">
      <alignment horizontal="center"/>
    </xf>
    <xf numFmtId="0" fontId="3" fillId="2" borderId="4" xfId="0" applyFont="1" applyFill="1" applyBorder="1" applyAlignment="1">
      <alignment horizontal="center"/>
    </xf>
    <xf numFmtId="0" fontId="2" fillId="2" borderId="8" xfId="0" applyFont="1" applyFill="1" applyBorder="1" applyAlignment="1">
      <alignment horizontal="left"/>
    </xf>
    <xf numFmtId="0" fontId="2" fillId="2" borderId="9" xfId="0" applyFont="1" applyFill="1" applyBorder="1" applyAlignment="1">
      <alignment horizontal="left"/>
    </xf>
    <xf numFmtId="9" fontId="2" fillId="2" borderId="9" xfId="0" applyNumberFormat="1" applyFont="1" applyFill="1" applyBorder="1" applyAlignment="1">
      <alignment horizontal="center"/>
    </xf>
    <xf numFmtId="165" fontId="2" fillId="2" borderId="10" xfId="0" applyNumberFormat="1" applyFont="1" applyFill="1" applyBorder="1" applyAlignment="1">
      <alignment horizontal="center"/>
    </xf>
    <xf numFmtId="0" fontId="2" fillId="4" borderId="12" xfId="0" applyFont="1" applyFill="1" applyBorder="1" applyAlignment="1">
      <alignment horizontal="left"/>
    </xf>
    <xf numFmtId="173" fontId="2" fillId="4" borderId="25" xfId="0" applyNumberFormat="1" applyFont="1" applyFill="1" applyBorder="1" applyAlignment="1">
      <alignment horizontal="center" vertical="center"/>
    </xf>
    <xf numFmtId="0" fontId="31" fillId="17" borderId="19" xfId="0" applyFont="1" applyFill="1" applyBorder="1"/>
    <xf numFmtId="0" fontId="31" fillId="17" borderId="32" xfId="0" applyFont="1" applyFill="1" applyBorder="1"/>
    <xf numFmtId="0" fontId="31" fillId="0" borderId="1" xfId="0" applyFont="1" applyBorder="1"/>
    <xf numFmtId="0" fontId="0" fillId="0" borderId="1" xfId="0" applyBorder="1"/>
    <xf numFmtId="0" fontId="32" fillId="0" borderId="1" xfId="0" applyFont="1" applyBorder="1"/>
    <xf numFmtId="0" fontId="32" fillId="18" borderId="19" xfId="0" applyFont="1" applyFill="1" applyBorder="1"/>
    <xf numFmtId="0" fontId="32" fillId="17" borderId="19" xfId="0" applyFont="1" applyFill="1" applyBorder="1"/>
    <xf numFmtId="0" fontId="24" fillId="12" borderId="65" xfId="0" applyFont="1" applyFill="1" applyBorder="1" applyAlignment="1">
      <alignment horizontal="left" vertical="top" wrapText="1"/>
    </xf>
    <xf numFmtId="0" fontId="24" fillId="12" borderId="62" xfId="0" applyFont="1" applyFill="1" applyBorder="1" applyAlignment="1">
      <alignment horizontal="left" vertical="top" wrapText="1"/>
    </xf>
    <xf numFmtId="179" fontId="24" fillId="0" borderId="63" xfId="0" applyNumberFormat="1" applyFont="1" applyBorder="1" applyAlignment="1">
      <alignment horizontal="center" vertical="center" wrapText="1"/>
    </xf>
    <xf numFmtId="179" fontId="24" fillId="0" borderId="78" xfId="0" applyNumberFormat="1" applyFont="1" applyBorder="1" applyAlignment="1">
      <alignment horizontal="center" vertical="center" wrapText="1"/>
    </xf>
    <xf numFmtId="0" fontId="33" fillId="15" borderId="0" xfId="0" applyFont="1" applyFill="1" applyBorder="1"/>
    <xf numFmtId="0" fontId="33" fillId="15" borderId="0" xfId="0" applyNumberFormat="1" applyFont="1" applyFill="1" applyBorder="1"/>
    <xf numFmtId="0" fontId="33" fillId="17" borderId="19" xfId="0" applyFont="1" applyFill="1" applyBorder="1"/>
    <xf numFmtId="0" fontId="33" fillId="18" borderId="19" xfId="0" applyFont="1" applyFill="1" applyBorder="1"/>
    <xf numFmtId="0" fontId="33" fillId="0" borderId="0" xfId="0" applyFont="1" applyFill="1" applyAlignment="1">
      <alignment horizontal="right"/>
    </xf>
    <xf numFmtId="0" fontId="33" fillId="18" borderId="21" xfId="0" applyFont="1" applyFill="1" applyBorder="1"/>
    <xf numFmtId="0" fontId="33" fillId="17" borderId="32" xfId="0" applyFont="1" applyFill="1" applyBorder="1"/>
    <xf numFmtId="0" fontId="33" fillId="18" borderId="32" xfId="0" applyFont="1" applyFill="1" applyBorder="1"/>
    <xf numFmtId="0" fontId="33" fillId="17" borderId="21" xfId="0" applyFont="1" applyFill="1" applyBorder="1"/>
    <xf numFmtId="0" fontId="33" fillId="17" borderId="33" xfId="0" applyFont="1" applyFill="1" applyBorder="1"/>
    <xf numFmtId="0" fontId="33" fillId="18" borderId="33" xfId="0" applyFont="1" applyFill="1" applyBorder="1"/>
    <xf numFmtId="0" fontId="35" fillId="0" borderId="0" xfId="0" applyFont="1"/>
    <xf numFmtId="0" fontId="36" fillId="0" borderId="0" xfId="0" applyFont="1"/>
    <xf numFmtId="0" fontId="40" fillId="0" borderId="65" xfId="0" applyFont="1" applyBorder="1" applyAlignment="1">
      <alignment wrapText="1"/>
    </xf>
    <xf numFmtId="177" fontId="39" fillId="0" borderId="66" xfId="0" applyNumberFormat="1" applyFont="1" applyBorder="1" applyAlignment="1">
      <alignment horizontal="center" vertical="center" wrapText="1"/>
    </xf>
    <xf numFmtId="0" fontId="40" fillId="0" borderId="62" xfId="0" applyFont="1" applyBorder="1" applyAlignment="1">
      <alignment wrapText="1"/>
    </xf>
    <xf numFmtId="177" fontId="39" fillId="0" borderId="63" xfId="0" applyNumberFormat="1" applyFont="1" applyBorder="1" applyAlignment="1">
      <alignment horizontal="center" vertical="center" wrapText="1"/>
    </xf>
    <xf numFmtId="177" fontId="39" fillId="0" borderId="69" xfId="0" applyNumberFormat="1" applyFont="1" applyBorder="1" applyAlignment="1">
      <alignment horizontal="center" vertical="center" wrapText="1"/>
    </xf>
    <xf numFmtId="0" fontId="35" fillId="0" borderId="89" xfId="0" applyFont="1" applyBorder="1"/>
    <xf numFmtId="0" fontId="35" fillId="0" borderId="89" xfId="0" applyFont="1" applyBorder="1" applyAlignment="1">
      <alignment wrapText="1"/>
    </xf>
    <xf numFmtId="0" fontId="36" fillId="0" borderId="89" xfId="0" applyFont="1" applyBorder="1" applyAlignment="1">
      <alignment horizontal="center" vertical="center" wrapText="1"/>
    </xf>
    <xf numFmtId="0" fontId="39" fillId="12" borderId="62" xfId="0" applyFont="1" applyFill="1" applyBorder="1" applyAlignment="1">
      <alignment horizontal="left" vertical="top" wrapText="1"/>
    </xf>
    <xf numFmtId="0" fontId="39" fillId="0" borderId="63" xfId="0" applyFont="1" applyBorder="1" applyAlignment="1">
      <alignment horizontal="center" vertical="center" wrapText="1"/>
    </xf>
    <xf numFmtId="0" fontId="40" fillId="0" borderId="62" xfId="0" applyFont="1" applyBorder="1" applyAlignment="1">
      <alignment vertical="center" wrapText="1"/>
    </xf>
    <xf numFmtId="0" fontId="42" fillId="0" borderId="0" xfId="0" applyFont="1" applyAlignment="1">
      <alignment horizontal="center" vertical="center" wrapText="1"/>
    </xf>
    <xf numFmtId="0" fontId="39" fillId="12" borderId="65" xfId="0" applyFont="1" applyFill="1" applyBorder="1" applyAlignment="1">
      <alignment horizontal="left" vertical="top" wrapText="1"/>
    </xf>
    <xf numFmtId="0" fontId="39" fillId="0" borderId="66" xfId="0" applyFont="1" applyBorder="1" applyAlignment="1">
      <alignment horizontal="center" vertical="center" wrapText="1"/>
    </xf>
    <xf numFmtId="0" fontId="39" fillId="12" borderId="77" xfId="0" applyFont="1" applyFill="1" applyBorder="1" applyAlignment="1">
      <alignment horizontal="left" vertical="top" wrapText="1"/>
    </xf>
    <xf numFmtId="0" fontId="39" fillId="0" borderId="78" xfId="0" applyFont="1" applyBorder="1" applyAlignment="1">
      <alignment horizontal="center" vertical="center" wrapText="1"/>
    </xf>
    <xf numFmtId="0" fontId="45" fillId="17" borderId="19" xfId="0" applyFont="1" applyFill="1" applyBorder="1"/>
    <xf numFmtId="0" fontId="0" fillId="0" borderId="0" xfId="0" applyFont="1" applyAlignment="1">
      <alignment horizontal="center"/>
    </xf>
    <xf numFmtId="1" fontId="2" fillId="12" borderId="11" xfId="0" applyNumberFormat="1" applyFont="1" applyFill="1" applyBorder="1" applyAlignment="1">
      <alignment horizontal="center"/>
    </xf>
    <xf numFmtId="1" fontId="2" fillId="12" borderId="6" xfId="0" applyNumberFormat="1" applyFont="1" applyFill="1" applyBorder="1" applyAlignment="1">
      <alignment horizontal="center"/>
    </xf>
    <xf numFmtId="165" fontId="2" fillId="12" borderId="0" xfId="0" applyNumberFormat="1" applyFont="1" applyFill="1" applyBorder="1" applyAlignment="1">
      <alignment horizontal="right"/>
    </xf>
    <xf numFmtId="0" fontId="30" fillId="0" borderId="0" xfId="0" applyFont="1" applyBorder="1" applyAlignment="1">
      <alignment horizontal="center" vertical="top"/>
    </xf>
    <xf numFmtId="0" fontId="44" fillId="0" borderId="55" xfId="0" applyFont="1" applyFill="1" applyBorder="1" applyAlignment="1">
      <alignment horizontal="center" vertical="top"/>
    </xf>
    <xf numFmtId="0" fontId="40" fillId="0" borderId="65" xfId="0" applyFont="1" applyBorder="1" applyAlignment="1">
      <alignment vertical="center" wrapText="1"/>
    </xf>
    <xf numFmtId="0" fontId="40" fillId="0" borderId="77" xfId="0" applyFont="1" applyBorder="1" applyAlignment="1">
      <alignment vertical="center" wrapText="1"/>
    </xf>
    <xf numFmtId="0" fontId="25" fillId="0" borderId="65" xfId="0" applyFont="1" applyBorder="1" applyAlignment="1">
      <alignment vertical="center" wrapText="1"/>
    </xf>
    <xf numFmtId="0" fontId="25" fillId="0" borderId="77" xfId="0" applyFont="1" applyBorder="1" applyAlignment="1">
      <alignment vertical="center" wrapText="1"/>
    </xf>
    <xf numFmtId="0" fontId="28" fillId="0" borderId="0" xfId="0" applyFont="1" applyAlignment="1">
      <alignment vertical="center" wrapText="1"/>
    </xf>
    <xf numFmtId="0" fontId="25" fillId="0" borderId="87" xfId="0" applyFont="1" applyBorder="1" applyAlignment="1">
      <alignment vertical="center" wrapText="1"/>
    </xf>
    <xf numFmtId="0" fontId="2" fillId="4" borderId="12" xfId="0" applyFont="1" applyFill="1" applyBorder="1" applyAlignment="1">
      <alignment horizontal="left"/>
    </xf>
    <xf numFmtId="0" fontId="2" fillId="4" borderId="7" xfId="0" applyFont="1" applyFill="1" applyBorder="1" applyAlignment="1">
      <alignment horizontal="left"/>
    </xf>
    <xf numFmtId="166" fontId="3" fillId="8" borderId="5" xfId="0" applyNumberFormat="1" applyFont="1" applyFill="1" applyBorder="1" applyAlignment="1">
      <alignment horizontal="center"/>
    </xf>
    <xf numFmtId="165" fontId="3" fillId="8" borderId="0" xfId="0" applyNumberFormat="1" applyFont="1" applyFill="1" applyBorder="1" applyAlignment="1">
      <alignment horizontal="center"/>
    </xf>
    <xf numFmtId="165" fontId="3" fillId="8" borderId="3" xfId="0" applyNumberFormat="1" applyFont="1" applyFill="1" applyBorder="1" applyAlignment="1">
      <alignment horizontal="center"/>
    </xf>
    <xf numFmtId="0" fontId="2" fillId="4" borderId="12" xfId="0" applyFont="1" applyFill="1" applyBorder="1" applyAlignment="1">
      <alignment horizontal="left"/>
    </xf>
    <xf numFmtId="174" fontId="0" fillId="4" borderId="11" xfId="0" applyNumberFormat="1" applyFill="1" applyBorder="1" applyAlignment="1">
      <alignment horizontal="center" vertical="center"/>
    </xf>
    <xf numFmtId="0" fontId="45" fillId="15" borderId="0" xfId="0" applyFont="1" applyFill="1" applyBorder="1"/>
    <xf numFmtId="0" fontId="0" fillId="18" borderId="0" xfId="0" applyFont="1" applyFill="1" applyBorder="1"/>
    <xf numFmtId="0" fontId="45" fillId="18" borderId="19" xfId="0" applyFont="1" applyFill="1" applyBorder="1"/>
    <xf numFmtId="0" fontId="0" fillId="4" borderId="11" xfId="0" applyNumberFormat="1" applyFill="1" applyBorder="1" applyAlignment="1">
      <alignment horizontal="center" vertical="center"/>
    </xf>
    <xf numFmtId="0" fontId="0" fillId="4" borderId="6" xfId="0" applyNumberFormat="1" applyFill="1" applyBorder="1" applyAlignment="1">
      <alignment horizontal="center" vertical="center"/>
    </xf>
    <xf numFmtId="0" fontId="33" fillId="15" borderId="52" xfId="0" applyFont="1" applyFill="1" applyBorder="1"/>
    <xf numFmtId="9" fontId="35" fillId="0" borderId="0" xfId="0" applyNumberFormat="1" applyFont="1"/>
    <xf numFmtId="9" fontId="39" fillId="0" borderId="63" xfId="0" applyNumberFormat="1" applyFont="1" applyBorder="1" applyAlignment="1">
      <alignment horizontal="center" vertical="center" wrapText="1"/>
    </xf>
    <xf numFmtId="3" fontId="2" fillId="4" borderId="26" xfId="0" applyNumberFormat="1" applyFont="1" applyFill="1" applyBorder="1" applyAlignment="1">
      <alignment horizontal="center"/>
    </xf>
    <xf numFmtId="0" fontId="2" fillId="4" borderId="12" xfId="0" applyFont="1" applyFill="1" applyBorder="1" applyAlignment="1">
      <alignment horizontal="left"/>
    </xf>
    <xf numFmtId="0" fontId="2" fillId="4" borderId="0" xfId="0" applyFont="1" applyFill="1" applyBorder="1" applyAlignment="1">
      <alignment horizontal="left"/>
    </xf>
    <xf numFmtId="0" fontId="2" fillId="4" borderId="7" xfId="0" applyFont="1" applyFill="1" applyBorder="1" applyAlignment="1">
      <alignment horizontal="left"/>
    </xf>
    <xf numFmtId="165" fontId="3" fillId="2" borderId="8" xfId="0" applyNumberFormat="1" applyFont="1" applyFill="1" applyBorder="1" applyAlignment="1">
      <alignment horizontal="center"/>
    </xf>
    <xf numFmtId="0" fontId="3" fillId="2" borderId="4" xfId="0" applyFont="1" applyFill="1" applyBorder="1" applyAlignment="1">
      <alignment horizontal="center"/>
    </xf>
    <xf numFmtId="0" fontId="2" fillId="0" borderId="0" xfId="0" applyFont="1" applyFill="1" applyBorder="1" applyAlignment="1">
      <alignment horizontal="center"/>
    </xf>
    <xf numFmtId="165" fontId="2" fillId="4" borderId="114" xfId="0" applyNumberFormat="1" applyFont="1" applyFill="1" applyBorder="1" applyAlignment="1">
      <alignment horizontal="center"/>
    </xf>
    <xf numFmtId="165" fontId="2" fillId="4" borderId="115" xfId="0" applyNumberFormat="1" applyFont="1" applyFill="1" applyBorder="1" applyAlignment="1">
      <alignment horizontal="center"/>
    </xf>
    <xf numFmtId="0" fontId="1" fillId="0" borderId="0" xfId="0" applyFont="1"/>
    <xf numFmtId="0" fontId="39" fillId="12" borderId="62" xfId="0" applyFont="1" applyFill="1" applyBorder="1" applyAlignment="1">
      <alignment horizontal="left" vertical="top" wrapText="1"/>
    </xf>
    <xf numFmtId="0" fontId="39" fillId="12" borderId="77" xfId="0" applyFont="1" applyFill="1" applyBorder="1" applyAlignment="1">
      <alignment horizontal="left" vertical="top" wrapText="1"/>
    </xf>
    <xf numFmtId="0" fontId="39" fillId="12" borderId="65" xfId="0" applyFont="1" applyFill="1" applyBorder="1" applyAlignment="1">
      <alignment horizontal="left" vertical="top" wrapText="1"/>
    </xf>
    <xf numFmtId="0" fontId="39" fillId="0" borderId="66" xfId="0" applyFont="1" applyBorder="1" applyAlignment="1">
      <alignment horizontal="center" vertical="center" wrapText="1"/>
    </xf>
    <xf numFmtId="0" fontId="39" fillId="0" borderId="63" xfId="0" applyFont="1" applyBorder="1" applyAlignment="1">
      <alignment horizontal="center" vertical="center" wrapText="1"/>
    </xf>
    <xf numFmtId="9" fontId="0" fillId="0" borderId="0" xfId="0" applyNumberFormat="1"/>
    <xf numFmtId="169" fontId="0" fillId="15" borderId="0" xfId="0" applyNumberFormat="1" applyFill="1"/>
    <xf numFmtId="177" fontId="39" fillId="0" borderId="78" xfId="0" applyNumberFormat="1" applyFont="1" applyBorder="1" applyAlignment="1">
      <alignment horizontal="center" vertical="center" wrapText="1"/>
    </xf>
    <xf numFmtId="0" fontId="2" fillId="8" borderId="11" xfId="0" applyNumberFormat="1" applyFont="1" applyFill="1" applyBorder="1" applyAlignment="1">
      <alignment horizontal="right"/>
    </xf>
    <xf numFmtId="0" fontId="0" fillId="17" borderId="0" xfId="0" applyFont="1" applyFill="1"/>
    <xf numFmtId="0" fontId="6" fillId="0" borderId="0" xfId="0" applyFont="1" applyAlignment="1"/>
    <xf numFmtId="0" fontId="19" fillId="0" borderId="0" xfId="0" applyFont="1" applyAlignment="1"/>
    <xf numFmtId="0" fontId="3" fillId="2" borderId="1" xfId="0" applyFont="1" applyFill="1" applyBorder="1"/>
    <xf numFmtId="176" fontId="2" fillId="0" borderId="1" xfId="0" applyNumberFormat="1" applyFont="1" applyBorder="1" applyAlignment="1">
      <alignment horizontal="center"/>
    </xf>
    <xf numFmtId="0" fontId="25" fillId="0" borderId="83" xfId="0" applyFont="1" applyBorder="1" applyAlignment="1">
      <alignment horizontal="left" vertical="center" wrapText="1"/>
    </xf>
    <xf numFmtId="2" fontId="2" fillId="0" borderId="0" xfId="0" applyNumberFormat="1" applyFont="1"/>
    <xf numFmtId="0" fontId="6" fillId="0" borderId="0" xfId="0" applyFont="1"/>
    <xf numFmtId="49" fontId="0" fillId="24" borderId="1" xfId="0" applyNumberFormat="1" applyFill="1" applyBorder="1" applyAlignment="1">
      <alignment horizontal="center"/>
    </xf>
    <xf numFmtId="0" fontId="0" fillId="24" borderId="1" xfId="0" applyFill="1" applyBorder="1" applyAlignment="1">
      <alignment horizontal="center"/>
    </xf>
    <xf numFmtId="1" fontId="0" fillId="4" borderId="1" xfId="0" applyNumberFormat="1" applyFill="1" applyBorder="1" applyAlignment="1">
      <alignment horizontal="center"/>
    </xf>
    <xf numFmtId="0" fontId="0" fillId="4" borderId="1" xfId="0" applyFill="1" applyBorder="1" applyAlignment="1">
      <alignment horizontal="center"/>
    </xf>
    <xf numFmtId="0" fontId="0" fillId="24" borderId="2" xfId="0" applyFill="1" applyBorder="1" applyAlignment="1">
      <alignment horizontal="center"/>
    </xf>
    <xf numFmtId="0" fontId="0" fillId="4" borderId="2" xfId="0" applyFill="1" applyBorder="1" applyAlignment="1">
      <alignment horizontal="center"/>
    </xf>
    <xf numFmtId="0" fontId="0" fillId="24" borderId="4" xfId="0" applyFill="1" applyBorder="1" applyAlignment="1">
      <alignment horizontal="center"/>
    </xf>
    <xf numFmtId="0" fontId="0" fillId="4" borderId="4" xfId="0" applyFill="1" applyBorder="1" applyAlignment="1">
      <alignment horizontal="center"/>
    </xf>
    <xf numFmtId="0" fontId="0" fillId="4" borderId="10" xfId="0" applyFill="1" applyBorder="1" applyAlignment="1">
      <alignment horizontal="center"/>
    </xf>
    <xf numFmtId="0" fontId="0" fillId="4" borderId="5" xfId="0" applyFill="1" applyBorder="1" applyAlignment="1">
      <alignment horizontal="center"/>
    </xf>
    <xf numFmtId="0" fontId="0" fillId="4" borderId="8" xfId="0" applyFill="1" applyBorder="1" applyAlignment="1">
      <alignment horizontal="center"/>
    </xf>
    <xf numFmtId="0" fontId="50" fillId="23" borderId="6" xfId="0" applyFont="1" applyFill="1" applyBorder="1" applyAlignment="1">
      <alignment horizontal="center"/>
    </xf>
    <xf numFmtId="0" fontId="50" fillId="11" borderId="13" xfId="0" applyFont="1" applyFill="1" applyBorder="1" applyAlignment="1">
      <alignment horizontal="center"/>
    </xf>
    <xf numFmtId="0" fontId="50" fillId="23" borderId="13" xfId="0" applyFont="1" applyFill="1" applyBorder="1" applyAlignment="1">
      <alignment horizontal="center"/>
    </xf>
    <xf numFmtId="0" fontId="50" fillId="11" borderId="7" xfId="0" applyFont="1" applyFill="1" applyBorder="1" applyAlignment="1">
      <alignment horizontal="center"/>
    </xf>
    <xf numFmtId="0" fontId="2" fillId="6" borderId="9" xfId="0" applyFont="1" applyFill="1" applyBorder="1" applyAlignment="1"/>
    <xf numFmtId="0" fontId="2" fillId="6" borderId="10" xfId="0" applyFont="1" applyFill="1" applyBorder="1" applyAlignment="1"/>
    <xf numFmtId="165" fontId="2" fillId="12" borderId="11" xfId="0" applyNumberFormat="1" applyFont="1" applyFill="1" applyBorder="1" applyAlignment="1">
      <alignment horizontal="right"/>
    </xf>
    <xf numFmtId="165" fontId="2" fillId="12" borderId="10" xfId="0" applyNumberFormat="1" applyFont="1" applyFill="1" applyBorder="1" applyAlignment="1">
      <alignment horizontal="right"/>
    </xf>
    <xf numFmtId="0" fontId="31" fillId="0" borderId="19" xfId="0" applyFont="1" applyBorder="1"/>
    <xf numFmtId="0" fontId="33" fillId="0" borderId="19" xfId="0" applyFont="1" applyFill="1" applyBorder="1" applyAlignment="1">
      <alignment horizontal="right"/>
    </xf>
    <xf numFmtId="0" fontId="31" fillId="17" borderId="0" xfId="0" applyFont="1" applyFill="1" applyBorder="1"/>
    <xf numFmtId="0" fontId="31" fillId="17" borderId="21" xfId="0" applyFont="1" applyFill="1" applyBorder="1"/>
    <xf numFmtId="0" fontId="33" fillId="17" borderId="0" xfId="0" applyFont="1" applyFill="1" applyBorder="1"/>
    <xf numFmtId="0" fontId="33" fillId="0" borderId="21" xfId="0" applyFont="1" applyFill="1" applyBorder="1" applyAlignment="1">
      <alignment horizontal="right"/>
    </xf>
    <xf numFmtId="0" fontId="31" fillId="0" borderId="19" xfId="0" applyFont="1" applyFill="1" applyBorder="1" applyAlignment="1">
      <alignment horizontal="right"/>
    </xf>
    <xf numFmtId="0" fontId="0" fillId="19" borderId="19" xfId="0" applyFill="1" applyBorder="1"/>
    <xf numFmtId="0" fontId="0" fillId="0" borderId="19" xfId="0" applyFill="1" applyBorder="1" applyAlignment="1">
      <alignment horizontal="right"/>
    </xf>
    <xf numFmtId="0" fontId="33" fillId="0" borderId="32" xfId="0" applyFont="1" applyFill="1" applyBorder="1" applyAlignment="1">
      <alignment horizontal="right"/>
    </xf>
    <xf numFmtId="0" fontId="31" fillId="17" borderId="33" xfId="0" applyFont="1" applyFill="1" applyBorder="1"/>
    <xf numFmtId="0" fontId="33" fillId="0" borderId="33" xfId="0" applyFont="1" applyFill="1" applyBorder="1" applyAlignment="1">
      <alignment horizontal="right"/>
    </xf>
    <xf numFmtId="0" fontId="51" fillId="0" borderId="0" xfId="0" applyFont="1" applyAlignment="1">
      <alignment horizontal="left" wrapText="1"/>
    </xf>
    <xf numFmtId="0" fontId="52" fillId="0" borderId="0" xfId="0" applyFont="1" applyFill="1" applyAlignment="1">
      <alignment horizontal="left" wrapText="1"/>
    </xf>
    <xf numFmtId="0" fontId="52" fillId="0" borderId="0" xfId="0" applyFont="1" applyAlignment="1">
      <alignment horizontal="left" wrapText="1"/>
    </xf>
    <xf numFmtId="0" fontId="52" fillId="0" borderId="0" xfId="0" applyFont="1"/>
    <xf numFmtId="0" fontId="52" fillId="13" borderId="1" xfId="0" applyFont="1" applyFill="1" applyBorder="1"/>
    <xf numFmtId="0" fontId="52" fillId="13" borderId="1" xfId="0" applyFont="1" applyFill="1" applyBorder="1" applyAlignment="1">
      <alignment wrapText="1"/>
    </xf>
    <xf numFmtId="0" fontId="52" fillId="0" borderId="0" xfId="0" applyFont="1" applyBorder="1" applyAlignment="1">
      <alignment horizontal="center" vertical="center" wrapText="1"/>
    </xf>
    <xf numFmtId="0" fontId="52" fillId="0" borderId="1" xfId="0" applyFont="1" applyBorder="1"/>
    <xf numFmtId="0" fontId="53" fillId="4" borderId="1" xfId="0" applyFont="1" applyFill="1" applyBorder="1"/>
    <xf numFmtId="0" fontId="52" fillId="13" borderId="1" xfId="0" applyFont="1" applyFill="1" applyBorder="1" applyAlignment="1">
      <alignment horizontal="left" wrapText="1"/>
    </xf>
    <xf numFmtId="0" fontId="52" fillId="0" borderId="1" xfId="0" applyFont="1" applyFill="1" applyBorder="1" applyAlignment="1">
      <alignment horizontal="left" wrapText="1"/>
    </xf>
    <xf numFmtId="0" fontId="52" fillId="0" borderId="1" xfId="0" applyFont="1" applyBorder="1" applyAlignment="1">
      <alignment horizontal="left" wrapText="1"/>
    </xf>
    <xf numFmtId="0" fontId="52" fillId="0" borderId="11" xfId="0" applyFont="1" applyFill="1" applyBorder="1" applyAlignment="1">
      <alignment horizontal="left" wrapText="1"/>
    </xf>
    <xf numFmtId="14" fontId="54" fillId="0" borderId="1" xfId="0" applyNumberFormat="1" applyFont="1" applyFill="1" applyBorder="1" applyAlignment="1">
      <alignment horizontal="left" vertical="center" wrapText="1"/>
    </xf>
    <xf numFmtId="0" fontId="52" fillId="21" borderId="0" xfId="0" applyFont="1" applyFill="1" applyAlignment="1">
      <alignment horizontal="center" vertical="center"/>
    </xf>
    <xf numFmtId="167" fontId="54" fillId="12" borderId="1" xfId="0" applyNumberFormat="1" applyFont="1" applyFill="1" applyBorder="1" applyAlignment="1">
      <alignment horizontal="center"/>
    </xf>
    <xf numFmtId="0" fontId="2" fillId="0" borderId="0" xfId="0" applyFont="1" applyFill="1" applyBorder="1" applyAlignment="1">
      <alignment horizontal="center"/>
    </xf>
    <xf numFmtId="0" fontId="55" fillId="0" borderId="0" xfId="0" applyFont="1" applyAlignment="1">
      <alignment horizontal="left"/>
    </xf>
    <xf numFmtId="0" fontId="56" fillId="0" borderId="0" xfId="0" applyFont="1" applyFill="1" applyAlignment="1">
      <alignment horizontal="left"/>
    </xf>
    <xf numFmtId="14" fontId="57" fillId="0" borderId="0" xfId="0" applyNumberFormat="1" applyFont="1" applyFill="1" applyAlignment="1">
      <alignment horizontal="left"/>
    </xf>
    <xf numFmtId="0" fontId="56" fillId="0" borderId="0" xfId="0" applyFont="1" applyFill="1" applyBorder="1" applyAlignment="1">
      <alignment horizontal="left"/>
    </xf>
    <xf numFmtId="0" fontId="56" fillId="0" borderId="0" xfId="0" applyFont="1" applyAlignment="1">
      <alignment horizontal="center"/>
    </xf>
    <xf numFmtId="0" fontId="56" fillId="0" borderId="0" xfId="0" applyFont="1" applyAlignment="1">
      <alignment horizontal="left"/>
    </xf>
    <xf numFmtId="0" fontId="58" fillId="0" borderId="0" xfId="0" applyFont="1" applyFill="1" applyAlignment="1">
      <alignment horizontal="left" vertical="center"/>
    </xf>
    <xf numFmtId="0" fontId="56" fillId="0" borderId="0" xfId="0" applyFont="1" applyFill="1" applyAlignment="1">
      <alignment horizontal="center"/>
    </xf>
    <xf numFmtId="0" fontId="59" fillId="0" borderId="0" xfId="0" applyFont="1"/>
    <xf numFmtId="0" fontId="60" fillId="0" borderId="0" xfId="0" applyFont="1" applyFill="1" applyAlignment="1">
      <alignment horizontal="center"/>
    </xf>
    <xf numFmtId="0" fontId="60" fillId="0" borderId="0" xfId="0" applyFont="1" applyFill="1" applyBorder="1" applyAlignment="1">
      <alignment horizontal="center"/>
    </xf>
    <xf numFmtId="0" fontId="60" fillId="0" borderId="0" xfId="0" applyFont="1" applyAlignment="1">
      <alignment horizontal="center"/>
    </xf>
    <xf numFmtId="0" fontId="60" fillId="0" borderId="0" xfId="0" applyFont="1"/>
    <xf numFmtId="0" fontId="60" fillId="0" borderId="0" xfId="0" applyFont="1" applyFill="1"/>
    <xf numFmtId="0" fontId="61" fillId="0" borderId="0" xfId="0" applyFont="1"/>
    <xf numFmtId="0" fontId="60" fillId="0" borderId="0" xfId="0" applyFont="1" applyFill="1" applyAlignment="1"/>
    <xf numFmtId="0" fontId="60" fillId="4" borderId="11" xfId="0" applyFont="1" applyFill="1" applyBorder="1" applyAlignment="1">
      <alignment horizontal="center"/>
    </xf>
    <xf numFmtId="0" fontId="60" fillId="4" borderId="12" xfId="0" applyFont="1" applyFill="1" applyBorder="1"/>
    <xf numFmtId="165" fontId="60" fillId="8" borderId="11" xfId="0" applyNumberFormat="1" applyFont="1" applyFill="1" applyBorder="1" applyAlignment="1">
      <alignment horizontal="right"/>
    </xf>
    <xf numFmtId="165" fontId="60" fillId="8" borderId="0" xfId="0" applyNumberFormat="1" applyFont="1" applyFill="1" applyBorder="1" applyAlignment="1">
      <alignment horizontal="right"/>
    </xf>
    <xf numFmtId="170" fontId="62" fillId="12" borderId="5" xfId="0" applyNumberFormat="1" applyFont="1" applyFill="1" applyBorder="1" applyAlignment="1">
      <alignment horizontal="center"/>
    </xf>
    <xf numFmtId="0" fontId="60" fillId="4" borderId="11" xfId="0" applyFont="1" applyFill="1" applyBorder="1" applyAlignment="1">
      <alignment horizontal="center" wrapText="1"/>
    </xf>
    <xf numFmtId="0" fontId="61" fillId="4" borderId="12" xfId="0" applyFont="1" applyFill="1" applyBorder="1"/>
    <xf numFmtId="165" fontId="60" fillId="4" borderId="0" xfId="0" applyNumberFormat="1" applyFont="1" applyFill="1" applyBorder="1" applyAlignment="1">
      <alignment horizontal="right"/>
    </xf>
    <xf numFmtId="165" fontId="62" fillId="12" borderId="25" xfId="0" applyNumberFormat="1" applyFont="1" applyFill="1" applyBorder="1" applyAlignment="1">
      <alignment horizontal="center"/>
    </xf>
    <xf numFmtId="0" fontId="60" fillId="10" borderId="1" xfId="0" applyFont="1" applyFill="1" applyBorder="1" applyAlignment="1">
      <alignment horizontal="center"/>
    </xf>
    <xf numFmtId="0" fontId="60" fillId="10" borderId="1" xfId="0" applyFont="1" applyFill="1" applyBorder="1"/>
    <xf numFmtId="0" fontId="60" fillId="0" borderId="0" xfId="0" applyFont="1" applyFill="1" applyBorder="1"/>
    <xf numFmtId="175" fontId="62" fillId="12" borderId="13" xfId="0" applyNumberFormat="1" applyFont="1" applyFill="1" applyBorder="1" applyAlignment="1">
      <alignment horizontal="center"/>
    </xf>
    <xf numFmtId="0" fontId="60" fillId="4" borderId="25" xfId="0" applyFont="1" applyFill="1" applyBorder="1" applyAlignment="1">
      <alignment horizontal="left" vertical="center"/>
    </xf>
    <xf numFmtId="10" fontId="60" fillId="8" borderId="12" xfId="0" applyNumberFormat="1" applyFont="1" applyFill="1" applyBorder="1" applyAlignment="1">
      <alignment horizontal="center" vertical="center"/>
    </xf>
    <xf numFmtId="10" fontId="60" fillId="8" borderId="25" xfId="0" applyNumberFormat="1" applyFont="1" applyFill="1" applyBorder="1" applyAlignment="1">
      <alignment horizontal="center" vertical="center"/>
    </xf>
    <xf numFmtId="165" fontId="59" fillId="4" borderId="25" xfId="0" applyNumberFormat="1" applyFont="1" applyFill="1" applyBorder="1" applyAlignment="1">
      <alignment horizontal="center"/>
    </xf>
    <xf numFmtId="169" fontId="60" fillId="4" borderId="25" xfId="0" applyNumberFormat="1" applyFont="1" applyFill="1" applyBorder="1" applyAlignment="1">
      <alignment horizontal="center" vertical="center"/>
    </xf>
    <xf numFmtId="173" fontId="60" fillId="8" borderId="25" xfId="0" applyNumberFormat="1" applyFont="1" applyFill="1" applyBorder="1" applyAlignment="1">
      <alignment horizontal="center" vertical="center"/>
    </xf>
    <xf numFmtId="0" fontId="60" fillId="0" borderId="0" xfId="0" applyNumberFormat="1" applyFont="1"/>
    <xf numFmtId="0" fontId="60" fillId="4" borderId="12" xfId="0" applyFont="1" applyFill="1" applyBorder="1" applyAlignment="1"/>
    <xf numFmtId="0" fontId="60" fillId="6" borderId="9" xfId="0" applyFont="1" applyFill="1" applyBorder="1" applyAlignment="1"/>
    <xf numFmtId="0" fontId="60" fillId="6" borderId="10" xfId="0" applyFont="1" applyFill="1" applyBorder="1" applyAlignment="1"/>
    <xf numFmtId="0" fontId="60" fillId="4" borderId="25" xfId="0" applyFont="1" applyFill="1" applyBorder="1" applyAlignment="1">
      <alignment horizontal="left"/>
    </xf>
    <xf numFmtId="169" fontId="60" fillId="4" borderId="25" xfId="0" applyNumberFormat="1" applyFont="1" applyFill="1" applyBorder="1" applyAlignment="1">
      <alignment horizontal="center"/>
    </xf>
    <xf numFmtId="0" fontId="59" fillId="0" borderId="0" xfId="0" applyFont="1" applyAlignment="1">
      <alignment horizontal="center"/>
    </xf>
    <xf numFmtId="165" fontId="62" fillId="8" borderId="1" xfId="0" applyNumberFormat="1" applyFont="1" applyFill="1" applyBorder="1" applyAlignment="1">
      <alignment horizontal="center"/>
    </xf>
    <xf numFmtId="0" fontId="60" fillId="4" borderId="25" xfId="0" applyFont="1" applyFill="1" applyBorder="1"/>
    <xf numFmtId="10" fontId="60" fillId="14" borderId="12" xfId="0" applyNumberFormat="1" applyFont="1" applyFill="1" applyBorder="1" applyAlignment="1">
      <alignment horizontal="center" vertical="center"/>
    </xf>
    <xf numFmtId="10" fontId="60" fillId="14" borderId="25" xfId="0" applyNumberFormat="1" applyFont="1" applyFill="1" applyBorder="1" applyAlignment="1">
      <alignment horizontal="center" vertical="center"/>
    </xf>
    <xf numFmtId="165" fontId="59" fillId="14" borderId="25" xfId="0" applyNumberFormat="1" applyFont="1" applyFill="1" applyBorder="1" applyAlignment="1">
      <alignment horizontal="center"/>
    </xf>
    <xf numFmtId="169" fontId="60" fillId="14" borderId="25" xfId="0" applyNumberFormat="1" applyFont="1" applyFill="1" applyBorder="1" applyAlignment="1">
      <alignment horizontal="center"/>
    </xf>
    <xf numFmtId="173" fontId="60" fillId="14" borderId="25" xfId="0" applyNumberFormat="1" applyFont="1" applyFill="1" applyBorder="1" applyAlignment="1">
      <alignment horizontal="center" vertical="center"/>
    </xf>
    <xf numFmtId="0" fontId="61" fillId="14" borderId="0" xfId="0" applyFont="1" applyFill="1" applyAlignment="1">
      <alignment horizontal="center"/>
    </xf>
    <xf numFmtId="0" fontId="61" fillId="14" borderId="0" xfId="0" applyFont="1" applyFill="1"/>
    <xf numFmtId="0" fontId="61" fillId="14" borderId="0" xfId="0" applyNumberFormat="1" applyFont="1" applyFill="1"/>
    <xf numFmtId="165" fontId="62" fillId="4" borderId="1" xfId="0" applyNumberFormat="1" applyFont="1" applyFill="1" applyBorder="1" applyAlignment="1">
      <alignment horizontal="center"/>
    </xf>
    <xf numFmtId="165" fontId="60" fillId="0" borderId="0" xfId="0" applyNumberFormat="1" applyFont="1" applyFill="1" applyBorder="1" applyAlignment="1">
      <alignment horizontal="center"/>
    </xf>
    <xf numFmtId="0" fontId="60" fillId="4" borderId="0" xfId="0" applyFont="1" applyFill="1" applyBorder="1"/>
    <xf numFmtId="165" fontId="60" fillId="4" borderId="11" xfId="0" applyNumberFormat="1" applyFont="1" applyFill="1" applyBorder="1" applyAlignment="1">
      <alignment horizontal="right"/>
    </xf>
    <xf numFmtId="169" fontId="60" fillId="12" borderId="34" xfId="0" applyNumberFormat="1" applyFont="1" applyFill="1" applyBorder="1" applyAlignment="1">
      <alignment horizontal="center"/>
    </xf>
    <xf numFmtId="0" fontId="62" fillId="4" borderId="12" xfId="0" applyFont="1" applyFill="1" applyBorder="1"/>
    <xf numFmtId="165" fontId="62" fillId="8" borderId="11" xfId="0" applyNumberFormat="1" applyFont="1" applyFill="1" applyBorder="1" applyAlignment="1">
      <alignment horizontal="right"/>
    </xf>
    <xf numFmtId="165" fontId="60" fillId="12" borderId="0" xfId="0" applyNumberFormat="1" applyFont="1" applyFill="1" applyBorder="1" applyAlignment="1">
      <alignment horizontal="right"/>
    </xf>
    <xf numFmtId="165" fontId="60" fillId="12" borderId="10" xfId="0" applyNumberFormat="1" applyFont="1" applyFill="1" applyBorder="1" applyAlignment="1">
      <alignment horizontal="right"/>
    </xf>
    <xf numFmtId="169" fontId="60" fillId="12" borderId="29" xfId="0" applyNumberFormat="1" applyFont="1" applyFill="1" applyBorder="1" applyAlignment="1">
      <alignment horizontal="center"/>
    </xf>
    <xf numFmtId="1" fontId="60" fillId="4" borderId="11" xfId="0" applyNumberFormat="1" applyFont="1" applyFill="1" applyBorder="1" applyAlignment="1">
      <alignment horizontal="center"/>
    </xf>
    <xf numFmtId="1" fontId="60" fillId="0" borderId="0" xfId="0" applyNumberFormat="1" applyFont="1" applyFill="1" applyBorder="1" applyAlignment="1">
      <alignment horizontal="center"/>
    </xf>
    <xf numFmtId="165" fontId="60" fillId="12" borderId="11" xfId="0" applyNumberFormat="1" applyFont="1" applyFill="1" applyBorder="1" applyAlignment="1">
      <alignment horizontal="right"/>
    </xf>
    <xf numFmtId="3" fontId="59" fillId="4" borderId="11" xfId="0" applyNumberFormat="1" applyFont="1" applyFill="1" applyBorder="1" applyAlignment="1">
      <alignment horizontal="center"/>
    </xf>
    <xf numFmtId="165" fontId="60" fillId="4" borderId="15" xfId="0" applyNumberFormat="1" applyFont="1" applyFill="1" applyBorder="1" applyAlignment="1">
      <alignment horizontal="right"/>
    </xf>
    <xf numFmtId="9" fontId="60" fillId="0" borderId="0" xfId="0" applyNumberFormat="1" applyFont="1" applyFill="1" applyBorder="1" applyAlignment="1">
      <alignment horizontal="center"/>
    </xf>
    <xf numFmtId="169" fontId="60" fillId="4" borderId="35" xfId="0" applyNumberFormat="1" applyFont="1" applyFill="1" applyBorder="1" applyAlignment="1">
      <alignment horizontal="center"/>
    </xf>
    <xf numFmtId="0" fontId="60" fillId="4" borderId="7" xfId="0" applyFont="1" applyFill="1" applyBorder="1"/>
    <xf numFmtId="0" fontId="60" fillId="4" borderId="3" xfId="0" applyFont="1" applyFill="1" applyBorder="1"/>
    <xf numFmtId="165" fontId="60" fillId="4" borderId="6" xfId="0" applyNumberFormat="1" applyFont="1" applyFill="1" applyBorder="1" applyAlignment="1">
      <alignment horizontal="center"/>
    </xf>
    <xf numFmtId="168" fontId="60" fillId="8" borderId="11" xfId="0" applyNumberFormat="1" applyFont="1" applyFill="1" applyBorder="1" applyAlignment="1">
      <alignment horizontal="right"/>
    </xf>
    <xf numFmtId="165" fontId="62" fillId="8" borderId="0" xfId="0" applyNumberFormat="1" applyFont="1" applyFill="1" applyBorder="1" applyAlignment="1">
      <alignment horizontal="right"/>
    </xf>
    <xf numFmtId="0" fontId="60" fillId="4" borderId="13" xfId="0" applyFont="1" applyFill="1" applyBorder="1" applyAlignment="1">
      <alignment horizontal="left"/>
    </xf>
    <xf numFmtId="0" fontId="60" fillId="4" borderId="7" xfId="0" applyFont="1" applyFill="1" applyBorder="1" applyAlignment="1">
      <alignment horizontal="left"/>
    </xf>
    <xf numFmtId="10" fontId="60" fillId="4" borderId="13" xfId="0" applyNumberFormat="1" applyFont="1" applyFill="1" applyBorder="1" applyAlignment="1">
      <alignment horizontal="center"/>
    </xf>
    <xf numFmtId="165" fontId="60" fillId="4" borderId="13" xfId="0" applyNumberFormat="1" applyFont="1" applyFill="1" applyBorder="1" applyAlignment="1">
      <alignment horizontal="center"/>
    </xf>
    <xf numFmtId="169" fontId="60" fillId="4" borderId="13" xfId="0" applyNumberFormat="1" applyFont="1" applyFill="1" applyBorder="1" applyAlignment="1">
      <alignment horizontal="center"/>
    </xf>
    <xf numFmtId="173" fontId="60" fillId="8" borderId="13" xfId="0" applyNumberFormat="1" applyFont="1" applyFill="1" applyBorder="1" applyAlignment="1">
      <alignment horizontal="center" vertical="center"/>
    </xf>
    <xf numFmtId="0" fontId="60" fillId="4" borderId="12" xfId="0" applyFont="1" applyFill="1" applyBorder="1" applyAlignment="1">
      <alignment horizontal="left"/>
    </xf>
    <xf numFmtId="166" fontId="60" fillId="8" borderId="11" xfId="0" applyNumberFormat="1" applyFont="1" applyFill="1" applyBorder="1" applyAlignment="1">
      <alignment horizontal="right"/>
    </xf>
    <xf numFmtId="166" fontId="62" fillId="8" borderId="1" xfId="0" applyNumberFormat="1" applyFont="1" applyFill="1" applyBorder="1" applyAlignment="1">
      <alignment horizontal="center"/>
    </xf>
    <xf numFmtId="0" fontId="60" fillId="0" borderId="0" xfId="0" applyFont="1" applyFill="1" applyBorder="1" applyAlignment="1">
      <alignment horizontal="left"/>
    </xf>
    <xf numFmtId="10" fontId="60" fillId="0" borderId="0" xfId="0" applyNumberFormat="1" applyFont="1" applyFill="1" applyBorder="1" applyAlignment="1">
      <alignment horizontal="center"/>
    </xf>
    <xf numFmtId="165" fontId="60" fillId="0" borderId="0" xfId="0" applyNumberFormat="1" applyFont="1" applyBorder="1" applyAlignment="1">
      <alignment horizontal="center"/>
    </xf>
    <xf numFmtId="169" fontId="63" fillId="0" borderId="0" xfId="0" applyNumberFormat="1" applyFont="1" applyFill="1" applyBorder="1" applyAlignment="1">
      <alignment horizontal="center"/>
    </xf>
    <xf numFmtId="3" fontId="60" fillId="4" borderId="26" xfId="0" applyNumberFormat="1" applyFont="1" applyFill="1" applyBorder="1" applyAlignment="1">
      <alignment horizontal="center"/>
    </xf>
    <xf numFmtId="0" fontId="60" fillId="4" borderId="12" xfId="0" applyFont="1" applyFill="1" applyBorder="1" applyAlignment="1">
      <alignment horizontal="center"/>
    </xf>
    <xf numFmtId="165" fontId="60" fillId="4" borderId="11" xfId="0" applyNumberFormat="1" applyFont="1" applyFill="1" applyBorder="1" applyAlignment="1">
      <alignment horizontal="center"/>
    </xf>
    <xf numFmtId="165" fontId="60" fillId="4" borderId="12" xfId="0" applyNumberFormat="1" applyFont="1" applyFill="1" applyBorder="1" applyAlignment="1">
      <alignment horizontal="left"/>
    </xf>
    <xf numFmtId="0" fontId="60" fillId="4" borderId="11" xfId="0" applyFont="1" applyFill="1" applyBorder="1"/>
    <xf numFmtId="167" fontId="60" fillId="4" borderId="27" xfId="0" applyNumberFormat="1" applyFont="1" applyFill="1" applyBorder="1" applyAlignment="1">
      <alignment horizontal="center"/>
    </xf>
    <xf numFmtId="0" fontId="64" fillId="4" borderId="12" xfId="0" applyFont="1" applyFill="1" applyBorder="1" applyAlignment="1">
      <alignment horizontal="left"/>
    </xf>
    <xf numFmtId="165" fontId="64" fillId="4" borderId="11" xfId="0" applyNumberFormat="1" applyFont="1" applyFill="1" applyBorder="1" applyAlignment="1">
      <alignment horizontal="right"/>
    </xf>
    <xf numFmtId="3" fontId="60" fillId="4" borderId="11" xfId="0" applyNumberFormat="1" applyFont="1" applyFill="1" applyBorder="1" applyAlignment="1">
      <alignment horizontal="center"/>
    </xf>
    <xf numFmtId="0" fontId="65" fillId="4" borderId="8" xfId="0" applyFont="1" applyFill="1" applyBorder="1" applyAlignment="1">
      <alignment horizontal="left"/>
    </xf>
    <xf numFmtId="165" fontId="65" fillId="4" borderId="10" xfId="0" applyNumberFormat="1" applyFont="1" applyFill="1" applyBorder="1" applyAlignment="1">
      <alignment horizontal="left"/>
    </xf>
    <xf numFmtId="0" fontId="60" fillId="4" borderId="0" xfId="0" applyFont="1" applyFill="1" applyBorder="1" applyAlignment="1">
      <alignment horizontal="right"/>
    </xf>
    <xf numFmtId="165" fontId="61" fillId="8" borderId="25" xfId="0" applyNumberFormat="1" applyFont="1" applyFill="1" applyBorder="1" applyAlignment="1">
      <alignment horizontal="center"/>
    </xf>
    <xf numFmtId="0" fontId="60" fillId="0" borderId="0" xfId="0" applyFont="1" applyBorder="1" applyAlignment="1">
      <alignment horizontal="center"/>
    </xf>
    <xf numFmtId="165" fontId="60" fillId="0" borderId="0" xfId="0" applyNumberFormat="1" applyFont="1" applyAlignment="1">
      <alignment horizontal="center"/>
    </xf>
    <xf numFmtId="3" fontId="60" fillId="4" borderId="11" xfId="1" applyNumberFormat="1" applyFont="1" applyFill="1" applyBorder="1" applyAlignment="1">
      <alignment horizontal="center" vertical="center"/>
    </xf>
    <xf numFmtId="165" fontId="61" fillId="8" borderId="7" xfId="0" applyNumberFormat="1" applyFont="1" applyFill="1" applyBorder="1" applyAlignment="1">
      <alignment horizontal="left"/>
    </xf>
    <xf numFmtId="165" fontId="61" fillId="8" borderId="6" xfId="0" applyNumberFormat="1" applyFont="1" applyFill="1" applyBorder="1" applyAlignment="1">
      <alignment horizontal="right"/>
    </xf>
    <xf numFmtId="165" fontId="60" fillId="8" borderId="25" xfId="0" applyNumberFormat="1" applyFont="1" applyFill="1" applyBorder="1" applyAlignment="1">
      <alignment horizontal="center"/>
    </xf>
    <xf numFmtId="0" fontId="62" fillId="4" borderId="1" xfId="0" applyFont="1" applyFill="1" applyBorder="1" applyAlignment="1">
      <alignment horizontal="right"/>
    </xf>
    <xf numFmtId="165" fontId="60" fillId="4" borderId="1" xfId="0" applyNumberFormat="1" applyFont="1" applyFill="1" applyBorder="1" applyAlignment="1">
      <alignment horizontal="right"/>
    </xf>
    <xf numFmtId="1" fontId="62" fillId="0" borderId="0" xfId="0" applyNumberFormat="1" applyFont="1" applyAlignment="1">
      <alignment horizontal="center"/>
    </xf>
    <xf numFmtId="165" fontId="62" fillId="0" borderId="0" xfId="0" applyNumberFormat="1" applyFont="1" applyFill="1" applyBorder="1" applyAlignment="1">
      <alignment horizontal="center"/>
    </xf>
    <xf numFmtId="0" fontId="62" fillId="0" borderId="0" xfId="0" applyFont="1" applyFill="1" applyBorder="1" applyAlignment="1">
      <alignment horizontal="center"/>
    </xf>
    <xf numFmtId="0" fontId="62" fillId="0" borderId="0" xfId="0" applyFont="1" applyFill="1" applyBorder="1" applyAlignment="1"/>
    <xf numFmtId="14" fontId="62" fillId="4" borderId="11" xfId="0" applyNumberFormat="1" applyFont="1" applyFill="1" applyBorder="1" applyAlignment="1">
      <alignment horizontal="center" vertical="center"/>
    </xf>
    <xf numFmtId="0" fontId="62" fillId="4" borderId="12" xfId="0" applyFont="1" applyFill="1" applyBorder="1" applyAlignment="1">
      <alignment horizontal="right"/>
    </xf>
    <xf numFmtId="165" fontId="62" fillId="0" borderId="0" xfId="0" applyNumberFormat="1" applyFont="1" applyAlignment="1">
      <alignment horizontal="left"/>
    </xf>
    <xf numFmtId="165" fontId="60" fillId="0" borderId="0" xfId="0" applyNumberFormat="1" applyFont="1" applyFill="1" applyBorder="1" applyAlignment="1"/>
    <xf numFmtId="14" fontId="60" fillId="4" borderId="11" xfId="0" applyNumberFormat="1" applyFont="1" applyFill="1" applyBorder="1" applyAlignment="1">
      <alignment horizontal="center" vertical="center" wrapText="1"/>
    </xf>
    <xf numFmtId="0" fontId="60" fillId="4" borderId="0" xfId="0" applyFont="1" applyFill="1" applyBorder="1" applyAlignment="1">
      <alignment horizontal="center"/>
    </xf>
    <xf numFmtId="1" fontId="62" fillId="8" borderId="11" xfId="0" applyNumberFormat="1" applyFont="1" applyFill="1" applyBorder="1" applyAlignment="1">
      <alignment horizontal="center"/>
    </xf>
    <xf numFmtId="165" fontId="62" fillId="8" borderId="0" xfId="0" applyNumberFormat="1" applyFont="1" applyFill="1" applyBorder="1" applyAlignment="1">
      <alignment horizontal="center"/>
    </xf>
    <xf numFmtId="166" fontId="62" fillId="8" borderId="5" xfId="0" applyNumberFormat="1" applyFont="1" applyFill="1" applyBorder="1" applyAlignment="1">
      <alignment horizontal="center"/>
    </xf>
    <xf numFmtId="165" fontId="63" fillId="0" borderId="0" xfId="0" applyNumberFormat="1" applyFont="1" applyFill="1" applyBorder="1" applyAlignment="1">
      <alignment horizontal="center"/>
    </xf>
    <xf numFmtId="1" fontId="60" fillId="4" borderId="11" xfId="0" applyNumberFormat="1" applyFont="1" applyFill="1" applyBorder="1" applyAlignment="1">
      <alignment horizontal="center" vertical="center" wrapText="1"/>
    </xf>
    <xf numFmtId="165" fontId="62" fillId="8" borderId="3" xfId="0" applyNumberFormat="1" applyFont="1" applyFill="1" applyBorder="1" applyAlignment="1">
      <alignment horizontal="center"/>
    </xf>
    <xf numFmtId="0" fontId="63" fillId="0" borderId="0" xfId="0" applyFont="1" applyFill="1" applyBorder="1" applyAlignment="1">
      <alignment horizontal="center"/>
    </xf>
    <xf numFmtId="1" fontId="60" fillId="4" borderId="6" xfId="0" applyNumberFormat="1" applyFont="1" applyFill="1" applyBorder="1" applyAlignment="1">
      <alignment horizontal="center"/>
    </xf>
    <xf numFmtId="0" fontId="60" fillId="4" borderId="7" xfId="0" applyFont="1" applyFill="1" applyBorder="1" applyAlignment="1">
      <alignment horizontal="center"/>
    </xf>
    <xf numFmtId="0" fontId="60" fillId="4" borderId="6" xfId="0" applyFont="1" applyFill="1" applyBorder="1" applyAlignment="1">
      <alignment horizontal="center"/>
    </xf>
    <xf numFmtId="169" fontId="60" fillId="0" borderId="0" xfId="0" applyNumberFormat="1" applyFont="1" applyFill="1" applyBorder="1" applyAlignment="1">
      <alignment horizontal="center"/>
    </xf>
    <xf numFmtId="0" fontId="60" fillId="4" borderId="13" xfId="0" applyFont="1" applyFill="1" applyBorder="1"/>
    <xf numFmtId="165" fontId="62" fillId="8" borderId="13" xfId="0" applyNumberFormat="1" applyFont="1" applyFill="1" applyBorder="1" applyAlignment="1">
      <alignment horizontal="center"/>
    </xf>
    <xf numFmtId="0" fontId="60" fillId="2" borderId="4" xfId="0" applyFont="1" applyFill="1" applyBorder="1" applyAlignment="1">
      <alignment horizontal="left"/>
    </xf>
    <xf numFmtId="0" fontId="60" fillId="2" borderId="22" xfId="0" applyFont="1" applyFill="1" applyBorder="1" applyAlignment="1">
      <alignment horizontal="left"/>
    </xf>
    <xf numFmtId="0" fontId="60" fillId="2" borderId="2" xfId="0" applyFont="1" applyFill="1" applyBorder="1" applyAlignment="1">
      <alignment horizontal="left"/>
    </xf>
    <xf numFmtId="0" fontId="60" fillId="0" borderId="0" xfId="0" applyFont="1" applyBorder="1"/>
    <xf numFmtId="165" fontId="62" fillId="0" borderId="0" xfId="0" applyNumberFormat="1" applyFont="1" applyBorder="1" applyAlignment="1">
      <alignment horizontal="center"/>
    </xf>
    <xf numFmtId="0" fontId="60" fillId="2" borderId="7" xfId="0" applyFont="1" applyFill="1" applyBorder="1" applyAlignment="1">
      <alignment horizontal="left"/>
    </xf>
    <xf numFmtId="0" fontId="60" fillId="2" borderId="3" xfId="0" applyFont="1" applyFill="1" applyBorder="1" applyAlignment="1">
      <alignment horizontal="left"/>
    </xf>
    <xf numFmtId="0" fontId="60" fillId="2" borderId="3" xfId="0" applyFont="1" applyFill="1" applyBorder="1" applyAlignment="1">
      <alignment horizontal="center"/>
    </xf>
    <xf numFmtId="0" fontId="60" fillId="2" borderId="6" xfId="0" applyFont="1" applyFill="1" applyBorder="1" applyAlignment="1">
      <alignment horizontal="center"/>
    </xf>
    <xf numFmtId="0" fontId="62" fillId="5" borderId="1" xfId="0" applyFont="1" applyFill="1" applyBorder="1" applyAlignment="1">
      <alignment horizontal="left"/>
    </xf>
    <xf numFmtId="0" fontId="60" fillId="8" borderId="0" xfId="0" applyFont="1" applyFill="1" applyBorder="1" applyAlignment="1">
      <alignment horizontal="center"/>
    </xf>
    <xf numFmtId="0" fontId="62" fillId="5" borderId="8" xfId="0" applyFont="1" applyFill="1" applyBorder="1" applyAlignment="1">
      <alignment horizontal="left"/>
    </xf>
    <xf numFmtId="0" fontId="62" fillId="5" borderId="10" xfId="0" applyFont="1" applyFill="1" applyBorder="1" applyAlignment="1">
      <alignment horizontal="left"/>
    </xf>
    <xf numFmtId="0" fontId="60" fillId="4" borderId="8" xfId="0" applyFont="1" applyFill="1" applyBorder="1"/>
    <xf numFmtId="165" fontId="60" fillId="0" borderId="0" xfId="0" applyNumberFormat="1" applyFont="1" applyFill="1" applyAlignment="1">
      <alignment horizontal="center"/>
    </xf>
    <xf numFmtId="165" fontId="60" fillId="12" borderId="11" xfId="0" applyNumberFormat="1" applyFont="1" applyFill="1" applyBorder="1" applyAlignment="1">
      <alignment horizontal="center"/>
    </xf>
    <xf numFmtId="165" fontId="60" fillId="8" borderId="11" xfId="0" applyNumberFormat="1" applyFont="1" applyFill="1" applyBorder="1" applyAlignment="1">
      <alignment horizontal="center"/>
    </xf>
    <xf numFmtId="165" fontId="60" fillId="8" borderId="6" xfId="0" applyNumberFormat="1" applyFont="1" applyFill="1" applyBorder="1" applyAlignment="1">
      <alignment horizontal="center"/>
    </xf>
    <xf numFmtId="0" fontId="60" fillId="7" borderId="13" xfId="0" applyFont="1" applyFill="1" applyBorder="1"/>
    <xf numFmtId="166" fontId="62" fillId="8" borderId="13" xfId="0" applyNumberFormat="1" applyFont="1" applyFill="1" applyBorder="1" applyAlignment="1">
      <alignment horizontal="center"/>
    </xf>
    <xf numFmtId="0" fontId="60" fillId="4" borderId="0" xfId="0" applyFont="1" applyFill="1" applyBorder="1" applyAlignment="1">
      <alignment horizontal="left"/>
    </xf>
    <xf numFmtId="165" fontId="60" fillId="4" borderId="0" xfId="0" applyNumberFormat="1" applyFont="1" applyFill="1" applyBorder="1" applyAlignment="1">
      <alignment horizontal="center"/>
    </xf>
    <xf numFmtId="0" fontId="60" fillId="2" borderId="12" xfId="0" applyFont="1" applyFill="1" applyBorder="1" applyAlignment="1">
      <alignment horizontal="left"/>
    </xf>
    <xf numFmtId="0" fontId="60" fillId="2" borderId="0" xfId="0" applyFont="1" applyFill="1" applyBorder="1" applyAlignment="1">
      <alignment horizontal="left"/>
    </xf>
    <xf numFmtId="9" fontId="60" fillId="2" borderId="0" xfId="0" applyNumberFormat="1" applyFont="1" applyFill="1" applyBorder="1" applyAlignment="1">
      <alignment horizontal="center"/>
    </xf>
    <xf numFmtId="165" fontId="60" fillId="2" borderId="11" xfId="0" applyNumberFormat="1" applyFont="1" applyFill="1" applyBorder="1" applyAlignment="1">
      <alignment horizontal="center"/>
    </xf>
    <xf numFmtId="165" fontId="60" fillId="8" borderId="12" xfId="0" applyNumberFormat="1" applyFont="1" applyFill="1" applyBorder="1" applyAlignment="1">
      <alignment horizontal="center"/>
    </xf>
    <xf numFmtId="165" fontId="60" fillId="8" borderId="0" xfId="0" applyNumberFormat="1" applyFont="1" applyFill="1" applyBorder="1" applyAlignment="1">
      <alignment horizontal="center"/>
    </xf>
    <xf numFmtId="167" fontId="60" fillId="8" borderId="0" xfId="0" applyNumberFormat="1" applyFont="1" applyFill="1" applyBorder="1" applyAlignment="1">
      <alignment horizontal="center"/>
    </xf>
    <xf numFmtId="9" fontId="60" fillId="0" borderId="11" xfId="0" applyNumberFormat="1" applyFont="1" applyFill="1" applyBorder="1" applyAlignment="1">
      <alignment horizontal="center"/>
    </xf>
    <xf numFmtId="1" fontId="60" fillId="12" borderId="11" xfId="0" applyNumberFormat="1" applyFont="1" applyFill="1" applyBorder="1" applyAlignment="1">
      <alignment horizontal="center"/>
    </xf>
    <xf numFmtId="165" fontId="60" fillId="4" borderId="12" xfId="0" applyNumberFormat="1" applyFont="1" applyFill="1" applyBorder="1" applyAlignment="1">
      <alignment horizontal="center"/>
    </xf>
    <xf numFmtId="0" fontId="62" fillId="2" borderId="8" xfId="0" applyFont="1" applyFill="1" applyBorder="1" applyAlignment="1">
      <alignment horizontal="left"/>
    </xf>
    <xf numFmtId="0" fontId="62" fillId="2" borderId="9" xfId="0" applyFont="1" applyFill="1" applyBorder="1" applyAlignment="1">
      <alignment horizontal="left"/>
    </xf>
    <xf numFmtId="0" fontId="62" fillId="2" borderId="10" xfId="0" applyFont="1" applyFill="1" applyBorder="1" applyAlignment="1">
      <alignment horizontal="left"/>
    </xf>
    <xf numFmtId="0" fontId="66" fillId="4" borderId="4" xfId="0" applyFont="1" applyFill="1" applyBorder="1" applyAlignment="1">
      <alignment horizontal="center"/>
    </xf>
    <xf numFmtId="165" fontId="60" fillId="8" borderId="1" xfId="0" applyNumberFormat="1" applyFont="1" applyFill="1" applyBorder="1" applyAlignment="1">
      <alignment horizontal="center"/>
    </xf>
    <xf numFmtId="0" fontId="61" fillId="0" borderId="12" xfId="0" applyFont="1" applyBorder="1" applyAlignment="1">
      <alignment horizontal="left"/>
    </xf>
    <xf numFmtId="0" fontId="61" fillId="0" borderId="0" xfId="0" applyFont="1" applyBorder="1" applyAlignment="1">
      <alignment horizontal="left"/>
    </xf>
    <xf numFmtId="0" fontId="61" fillId="0" borderId="11" xfId="0" applyFont="1" applyBorder="1" applyAlignment="1">
      <alignment horizontal="left"/>
    </xf>
    <xf numFmtId="1" fontId="60" fillId="12" borderId="6" xfId="0" applyNumberFormat="1" applyFont="1" applyFill="1" applyBorder="1" applyAlignment="1">
      <alignment horizontal="center"/>
    </xf>
    <xf numFmtId="0" fontId="60" fillId="0" borderId="12" xfId="0" applyFont="1" applyBorder="1" applyAlignment="1">
      <alignment horizontal="left"/>
    </xf>
    <xf numFmtId="0" fontId="60" fillId="0" borderId="0" xfId="0" applyFont="1" applyBorder="1" applyAlignment="1">
      <alignment horizontal="left"/>
    </xf>
    <xf numFmtId="0" fontId="60" fillId="0" borderId="11" xfId="0" applyFont="1" applyBorder="1" applyAlignment="1">
      <alignment horizontal="left"/>
    </xf>
    <xf numFmtId="0" fontId="60" fillId="0" borderId="0" xfId="0" applyFont="1" applyBorder="1" applyAlignment="1">
      <alignment horizontal="center" textRotation="90"/>
    </xf>
    <xf numFmtId="0" fontId="64" fillId="0" borderId="12" xfId="0" applyFont="1" applyFill="1" applyBorder="1" applyAlignment="1"/>
    <xf numFmtId="0" fontId="64" fillId="0" borderId="0" xfId="0" applyFont="1" applyFill="1" applyBorder="1" applyAlignment="1"/>
    <xf numFmtId="0" fontId="64" fillId="0" borderId="11" xfId="0" applyFont="1" applyFill="1" applyBorder="1" applyAlignment="1"/>
    <xf numFmtId="165" fontId="62" fillId="12" borderId="5" xfId="0" applyNumberFormat="1" applyFont="1" applyFill="1" applyBorder="1" applyAlignment="1"/>
    <xf numFmtId="0" fontId="60" fillId="13" borderId="25" xfId="0" applyFont="1" applyFill="1" applyBorder="1" applyAlignment="1">
      <alignment horizontal="center"/>
    </xf>
    <xf numFmtId="174" fontId="60" fillId="8" borderId="0" xfId="0" applyNumberFormat="1" applyFont="1" applyFill="1" applyBorder="1" applyAlignment="1">
      <alignment horizontal="center" vertical="center"/>
    </xf>
    <xf numFmtId="10" fontId="60" fillId="0" borderId="0" xfId="0" applyNumberFormat="1" applyFont="1" applyFill="1" applyBorder="1" applyAlignment="1">
      <alignment horizontal="center" vertical="center"/>
    </xf>
    <xf numFmtId="174" fontId="60" fillId="8" borderId="11" xfId="0" applyNumberFormat="1" applyFont="1" applyFill="1" applyBorder="1" applyAlignment="1">
      <alignment horizontal="center" vertical="center"/>
    </xf>
    <xf numFmtId="0" fontId="60" fillId="8" borderId="13" xfId="0" applyFont="1" applyFill="1" applyBorder="1"/>
    <xf numFmtId="0" fontId="60" fillId="0" borderId="12" xfId="0" applyFont="1" applyFill="1" applyBorder="1" applyAlignment="1"/>
    <xf numFmtId="0" fontId="60" fillId="0" borderId="0" xfId="0" applyFont="1" applyFill="1" applyBorder="1" applyAlignment="1"/>
    <xf numFmtId="0" fontId="60" fillId="0" borderId="11" xfId="0" applyFont="1" applyFill="1" applyBorder="1" applyAlignment="1"/>
    <xf numFmtId="0" fontId="60" fillId="0" borderId="7" xfId="0" applyFont="1" applyFill="1" applyBorder="1" applyAlignment="1"/>
    <xf numFmtId="0" fontId="60" fillId="0" borderId="3" xfId="0" applyFont="1" applyFill="1" applyBorder="1" applyAlignment="1"/>
    <xf numFmtId="0" fontId="60" fillId="0" borderId="6" xfId="0" applyFont="1" applyFill="1" applyBorder="1" applyAlignment="1"/>
    <xf numFmtId="0" fontId="62" fillId="4" borderId="7" xfId="0" applyFont="1" applyFill="1" applyBorder="1"/>
    <xf numFmtId="174" fontId="62" fillId="8" borderId="3" xfId="0" applyNumberFormat="1" applyFont="1" applyFill="1" applyBorder="1" applyAlignment="1">
      <alignment horizontal="center" vertical="center"/>
    </xf>
    <xf numFmtId="10" fontId="62" fillId="8" borderId="3" xfId="0" applyNumberFormat="1" applyFont="1" applyFill="1" applyBorder="1" applyAlignment="1">
      <alignment horizontal="center" vertical="center"/>
    </xf>
    <xf numFmtId="174" fontId="62" fillId="8" borderId="6" xfId="0" applyNumberFormat="1" applyFont="1" applyFill="1" applyBorder="1" applyAlignment="1">
      <alignment horizontal="center" vertical="center"/>
    </xf>
    <xf numFmtId="0" fontId="62" fillId="0" borderId="0" xfId="0" applyFont="1" applyBorder="1"/>
    <xf numFmtId="0" fontId="68" fillId="0" borderId="0" xfId="0" applyFont="1"/>
    <xf numFmtId="0" fontId="69" fillId="0" borderId="0" xfId="0" applyFont="1"/>
    <xf numFmtId="0" fontId="68" fillId="0" borderId="0" xfId="0" pivotButton="1" applyFont="1"/>
    <xf numFmtId="0" fontId="68" fillId="0" borderId="0" xfId="0" applyFont="1" applyAlignment="1">
      <alignment horizontal="left"/>
    </xf>
    <xf numFmtId="173" fontId="68" fillId="0" borderId="0" xfId="0" applyNumberFormat="1" applyFont="1"/>
    <xf numFmtId="0" fontId="68" fillId="0" borderId="0" xfId="0" applyNumberFormat="1" applyFont="1"/>
    <xf numFmtId="0" fontId="68" fillId="0" borderId="0" xfId="0" applyFont="1" applyAlignment="1">
      <alignment horizontal="left" indent="1"/>
    </xf>
    <xf numFmtId="0" fontId="2" fillId="12" borderId="97" xfId="0" applyFont="1" applyFill="1" applyBorder="1" applyAlignment="1">
      <alignment horizontal="center"/>
    </xf>
    <xf numFmtId="0" fontId="2" fillId="12" borderId="98" xfId="0" applyFont="1" applyFill="1" applyBorder="1" applyAlignment="1">
      <alignment horizontal="center"/>
    </xf>
    <xf numFmtId="2" fontId="2" fillId="0" borderId="25" xfId="0" applyNumberFormat="1" applyFont="1" applyFill="1" applyBorder="1" applyAlignment="1">
      <alignment horizontal="center" vertical="center"/>
    </xf>
    <xf numFmtId="2" fontId="2" fillId="0" borderId="25" xfId="0" applyNumberFormat="1" applyFont="1" applyFill="1" applyBorder="1" applyAlignment="1">
      <alignment horizontal="center"/>
    </xf>
    <xf numFmtId="0" fontId="39" fillId="12" borderId="62" xfId="0" applyFont="1" applyFill="1" applyBorder="1" applyAlignment="1">
      <alignment horizontal="left" vertical="top" wrapText="1"/>
    </xf>
    <xf numFmtId="0" fontId="39" fillId="12" borderId="77" xfId="0" applyFont="1" applyFill="1" applyBorder="1" applyAlignment="1">
      <alignment horizontal="left" vertical="top" wrapText="1"/>
    </xf>
    <xf numFmtId="0" fontId="39" fillId="12" borderId="65" xfId="0" applyFont="1" applyFill="1" applyBorder="1" applyAlignment="1">
      <alignment horizontal="left" vertical="top" wrapText="1"/>
    </xf>
    <xf numFmtId="0" fontId="39" fillId="0" borderId="66" xfId="0" applyFont="1" applyBorder="1" applyAlignment="1">
      <alignment horizontal="center" vertical="center" wrapText="1"/>
    </xf>
    <xf numFmtId="0" fontId="39" fillId="0" borderId="63" xfId="0" applyFont="1" applyBorder="1" applyAlignment="1">
      <alignment horizontal="center" vertical="center" wrapText="1"/>
    </xf>
    <xf numFmtId="182" fontId="70" fillId="0" borderId="0" xfId="0" applyNumberFormat="1" applyFont="1" applyBorder="1" applyAlignment="1">
      <alignment horizontal="center" vertical="center"/>
    </xf>
    <xf numFmtId="0" fontId="1" fillId="0" borderId="0" xfId="0" applyFont="1" applyBorder="1"/>
    <xf numFmtId="0" fontId="70" fillId="0" borderId="0" xfId="0" applyFont="1" applyBorder="1" applyAlignment="1">
      <alignment horizontal="center" wrapText="1"/>
    </xf>
    <xf numFmtId="0" fontId="70" fillId="0" borderId="0" xfId="0" applyFont="1" applyBorder="1" applyAlignment="1">
      <alignment horizontal="right"/>
    </xf>
    <xf numFmtId="0" fontId="1" fillId="13" borderId="1" xfId="0" applyFont="1" applyFill="1" applyBorder="1"/>
    <xf numFmtId="10" fontId="1" fillId="0" borderId="1" xfId="0" applyNumberFormat="1" applyFont="1" applyBorder="1"/>
    <xf numFmtId="0" fontId="1" fillId="0" borderId="1" xfId="0" applyFont="1" applyBorder="1"/>
    <xf numFmtId="0" fontId="1" fillId="13" borderId="1" xfId="0" applyFont="1" applyFill="1" applyBorder="1" applyAlignment="1">
      <alignment wrapText="1"/>
    </xf>
    <xf numFmtId="0" fontId="18" fillId="4" borderId="1" xfId="0" applyFont="1" applyFill="1" applyBorder="1"/>
    <xf numFmtId="0" fontId="1" fillId="13" borderId="1" xfId="0" applyFont="1" applyFill="1" applyBorder="1" applyAlignment="1">
      <alignment horizontal="left" wrapText="1"/>
    </xf>
    <xf numFmtId="0" fontId="1" fillId="0" borderId="1" xfId="0" applyFont="1" applyFill="1" applyBorder="1" applyAlignment="1">
      <alignment horizontal="left" wrapText="1"/>
    </xf>
    <xf numFmtId="0" fontId="1" fillId="0" borderId="1" xfId="0" applyFont="1" applyBorder="1" applyAlignment="1">
      <alignment horizontal="left" wrapText="1"/>
    </xf>
    <xf numFmtId="44" fontId="0" fillId="0" borderId="0" xfId="5" applyFont="1"/>
    <xf numFmtId="44" fontId="0" fillId="0" borderId="0" xfId="5" applyFont="1" applyAlignment="1">
      <alignment horizontal="right"/>
    </xf>
    <xf numFmtId="0" fontId="29" fillId="20" borderId="64" xfId="0" applyFont="1" applyFill="1" applyBorder="1" applyAlignment="1">
      <alignment horizontal="center" vertical="center" textRotation="90"/>
    </xf>
    <xf numFmtId="49" fontId="0" fillId="0" borderId="1" xfId="0" quotePrefix="1" applyNumberFormat="1" applyFont="1" applyBorder="1" applyAlignment="1">
      <alignment horizontal="center"/>
    </xf>
    <xf numFmtId="14" fontId="2" fillId="5" borderId="11" xfId="0" applyNumberFormat="1" applyFont="1" applyFill="1" applyBorder="1" applyAlignment="1">
      <alignment horizontal="center" vertical="center"/>
    </xf>
    <xf numFmtId="0" fontId="1" fillId="5" borderId="1" xfId="0" applyFont="1" applyFill="1" applyBorder="1"/>
    <xf numFmtId="0" fontId="0" fillId="5" borderId="1" xfId="0" applyFont="1" applyFill="1" applyBorder="1" applyAlignment="1">
      <alignment horizontal="left" wrapText="1"/>
    </xf>
    <xf numFmtId="0" fontId="1" fillId="5" borderId="1" xfId="0" applyFont="1" applyFill="1" applyBorder="1" applyAlignment="1">
      <alignment horizontal="left" wrapText="1"/>
    </xf>
    <xf numFmtId="0" fontId="0" fillId="5" borderId="11" xfId="0" applyFont="1" applyFill="1" applyBorder="1" applyAlignment="1">
      <alignment horizontal="left" wrapText="1"/>
    </xf>
    <xf numFmtId="14" fontId="2" fillId="5" borderId="1" xfId="0" applyNumberFormat="1" applyFont="1" applyFill="1" applyBorder="1" applyAlignment="1">
      <alignment horizontal="left" vertical="center" wrapText="1"/>
    </xf>
    <xf numFmtId="0" fontId="18" fillId="0" borderId="0" xfId="0" applyFont="1" applyBorder="1" applyAlignment="1">
      <alignment horizontal="center" vertical="center" wrapText="1"/>
    </xf>
    <xf numFmtId="0" fontId="2" fillId="12" borderId="96" xfId="0" applyFont="1" applyFill="1" applyBorder="1" applyAlignment="1">
      <alignment horizontal="center"/>
    </xf>
    <xf numFmtId="0" fontId="2" fillId="12" borderId="99" xfId="0" applyFont="1" applyFill="1" applyBorder="1" applyAlignment="1">
      <alignment horizontal="center"/>
    </xf>
    <xf numFmtId="0" fontId="2" fillId="12" borderId="100" xfId="0" applyFont="1" applyFill="1" applyBorder="1" applyAlignment="1">
      <alignment horizontal="center"/>
    </xf>
    <xf numFmtId="0" fontId="2" fillId="12" borderId="102" xfId="0" applyFont="1" applyFill="1" applyBorder="1" applyAlignment="1">
      <alignment horizontal="center"/>
    </xf>
    <xf numFmtId="0" fontId="2" fillId="12" borderId="103" xfId="0" applyFont="1" applyFill="1" applyBorder="1" applyAlignment="1">
      <alignment horizontal="center"/>
    </xf>
    <xf numFmtId="0" fontId="2" fillId="12" borderId="104" xfId="0" applyFont="1" applyFill="1" applyBorder="1" applyAlignment="1">
      <alignment horizontal="center"/>
    </xf>
    <xf numFmtId="0" fontId="60" fillId="12" borderId="102" xfId="0" applyFont="1" applyFill="1" applyBorder="1" applyAlignment="1">
      <alignment horizontal="center"/>
    </xf>
    <xf numFmtId="0" fontId="60" fillId="12" borderId="97" xfId="0" applyFont="1" applyFill="1" applyBorder="1" applyAlignment="1">
      <alignment horizontal="center"/>
    </xf>
    <xf numFmtId="0" fontId="60" fillId="12" borderId="98" xfId="0" applyFont="1" applyFill="1" applyBorder="1" applyAlignment="1">
      <alignment horizontal="center"/>
    </xf>
    <xf numFmtId="0" fontId="60" fillId="12" borderId="99" xfId="0" applyFont="1" applyFill="1" applyBorder="1" applyAlignment="1">
      <alignment horizontal="center"/>
    </xf>
    <xf numFmtId="0" fontId="60" fillId="12" borderId="100" xfId="0" applyFont="1" applyFill="1" applyBorder="1" applyAlignment="1">
      <alignment horizontal="center"/>
    </xf>
    <xf numFmtId="0" fontId="60" fillId="12" borderId="101" xfId="0" applyFont="1" applyFill="1" applyBorder="1" applyAlignment="1">
      <alignment horizontal="center"/>
    </xf>
    <xf numFmtId="0" fontId="2" fillId="4" borderId="12" xfId="0" applyFont="1" applyFill="1" applyBorder="1" applyAlignment="1">
      <alignment horizontal="left"/>
    </xf>
    <xf numFmtId="0" fontId="2" fillId="4" borderId="7" xfId="0" applyFont="1" applyFill="1" applyBorder="1" applyAlignment="1">
      <alignment horizontal="left"/>
    </xf>
    <xf numFmtId="0" fontId="1" fillId="12" borderId="1" xfId="0" applyFont="1" applyFill="1" applyBorder="1"/>
    <xf numFmtId="0" fontId="0" fillId="12" borderId="1" xfId="0" applyFont="1" applyFill="1" applyBorder="1" applyAlignment="1">
      <alignment horizontal="left" wrapText="1"/>
    </xf>
    <xf numFmtId="0" fontId="1" fillId="12" borderId="1" xfId="0" applyFont="1" applyFill="1" applyBorder="1" applyAlignment="1">
      <alignment horizontal="left" wrapText="1"/>
    </xf>
    <xf numFmtId="0" fontId="0" fillId="12" borderId="11" xfId="0" applyFont="1" applyFill="1" applyBorder="1" applyAlignment="1">
      <alignment horizontal="left" wrapText="1"/>
    </xf>
    <xf numFmtId="14" fontId="2" fillId="12" borderId="1" xfId="0" applyNumberFormat="1" applyFont="1" applyFill="1" applyBorder="1" applyAlignment="1">
      <alignment horizontal="left" vertical="center" wrapText="1"/>
    </xf>
    <xf numFmtId="0" fontId="0" fillId="13" borderId="1" xfId="0" applyFont="1" applyFill="1" applyBorder="1" applyAlignment="1">
      <alignment horizontal="left" wrapText="1"/>
    </xf>
    <xf numFmtId="168" fontId="2" fillId="4" borderId="27" xfId="0" applyNumberFormat="1" applyFont="1" applyFill="1" applyBorder="1" applyAlignment="1">
      <alignment horizontal="center"/>
    </xf>
    <xf numFmtId="0" fontId="0" fillId="13" borderId="1" xfId="0" applyFont="1" applyFill="1" applyBorder="1"/>
    <xf numFmtId="0" fontId="52" fillId="5" borderId="8" xfId="0" applyFont="1" applyFill="1" applyBorder="1" applyAlignment="1">
      <alignment horizontal="center" vertical="center" wrapText="1"/>
    </xf>
    <xf numFmtId="0" fontId="52" fillId="25" borderId="7" xfId="0" applyFont="1" applyFill="1" applyBorder="1" applyAlignment="1">
      <alignment horizontal="center" vertical="center" wrapText="1"/>
    </xf>
    <xf numFmtId="0" fontId="1" fillId="25" borderId="1" xfId="0" applyFont="1" applyFill="1" applyBorder="1" applyAlignment="1">
      <alignment horizontal="center"/>
    </xf>
    <xf numFmtId="180" fontId="1" fillId="25" borderId="1" xfId="1" applyNumberFormat="1" applyFont="1" applyFill="1" applyBorder="1" applyAlignment="1">
      <alignment horizontal="left" wrapText="1"/>
    </xf>
    <xf numFmtId="180" fontId="52" fillId="25" borderId="1" xfId="1" applyNumberFormat="1" applyFont="1" applyFill="1" applyBorder="1" applyAlignment="1">
      <alignment horizontal="left" wrapText="1"/>
    </xf>
    <xf numFmtId="180" fontId="1" fillId="25" borderId="1" xfId="0" applyNumberFormat="1" applyFont="1" applyFill="1" applyBorder="1" applyAlignment="1">
      <alignment horizontal="left" wrapText="1"/>
    </xf>
    <xf numFmtId="181" fontId="52" fillId="25" borderId="1" xfId="0" applyNumberFormat="1" applyFont="1" applyFill="1" applyBorder="1" applyAlignment="1">
      <alignment horizontal="left" wrapText="1"/>
    </xf>
    <xf numFmtId="180" fontId="52" fillId="25" borderId="1" xfId="0" applyNumberFormat="1" applyFont="1" applyFill="1" applyBorder="1" applyAlignment="1">
      <alignment horizontal="left" wrapText="1"/>
    </xf>
    <xf numFmtId="167" fontId="54" fillId="25" borderId="1" xfId="0" applyNumberFormat="1" applyFont="1" applyFill="1" applyBorder="1" applyAlignment="1">
      <alignment horizontal="center"/>
    </xf>
    <xf numFmtId="0" fontId="52" fillId="25" borderId="1" xfId="0" applyFont="1" applyFill="1" applyBorder="1" applyAlignment="1">
      <alignment horizontal="left" wrapText="1"/>
    </xf>
    <xf numFmtId="169" fontId="2" fillId="0" borderId="0" xfId="0" applyNumberFormat="1" applyFont="1"/>
    <xf numFmtId="0" fontId="3" fillId="8" borderId="0" xfId="0" applyNumberFormat="1" applyFont="1" applyFill="1" applyBorder="1" applyAlignment="1">
      <alignment horizontal="center"/>
    </xf>
    <xf numFmtId="0" fontId="3" fillId="8" borderId="3" xfId="0" applyNumberFormat="1" applyFont="1" applyFill="1" applyBorder="1" applyAlignment="1">
      <alignment horizontal="center"/>
    </xf>
    <xf numFmtId="9" fontId="2" fillId="4" borderId="10" xfId="0" applyNumberFormat="1" applyFont="1" applyFill="1" applyBorder="1" applyAlignment="1">
      <alignment horizontal="center"/>
    </xf>
    <xf numFmtId="9" fontId="60" fillId="4" borderId="10" xfId="0" applyNumberFormat="1" applyFont="1" applyFill="1" applyBorder="1" applyAlignment="1">
      <alignment horizontal="center"/>
    </xf>
    <xf numFmtId="1" fontId="2" fillId="4" borderId="0" xfId="0" applyNumberFormat="1" applyFont="1" applyFill="1" applyBorder="1" applyAlignment="1">
      <alignment horizontal="center"/>
    </xf>
    <xf numFmtId="0" fontId="2" fillId="4" borderId="101" xfId="0" applyFont="1" applyFill="1" applyBorder="1" applyAlignment="1">
      <alignment horizontal="left"/>
    </xf>
    <xf numFmtId="1" fontId="2" fillId="4" borderId="95" xfId="0" applyNumberFormat="1" applyFont="1" applyFill="1" applyBorder="1" applyAlignment="1">
      <alignment horizontal="center"/>
    </xf>
    <xf numFmtId="0" fontId="2" fillId="4" borderId="101" xfId="0" applyFont="1" applyFill="1" applyBorder="1" applyAlignment="1">
      <alignment horizontal="center"/>
    </xf>
    <xf numFmtId="1" fontId="60" fillId="4" borderId="101" xfId="0" applyNumberFormat="1" applyFont="1" applyFill="1" applyBorder="1" applyAlignment="1">
      <alignment horizontal="center"/>
    </xf>
    <xf numFmtId="0" fontId="60" fillId="4" borderId="101" xfId="0" applyFont="1" applyFill="1" applyBorder="1" applyAlignment="1">
      <alignment horizontal="center"/>
    </xf>
    <xf numFmtId="0" fontId="1" fillId="0" borderId="1" xfId="0" applyFont="1" applyBorder="1" applyAlignment="1">
      <alignment horizontal="left"/>
    </xf>
    <xf numFmtId="0" fontId="0" fillId="25" borderId="1" xfId="0" applyFont="1" applyFill="1" applyBorder="1" applyAlignment="1">
      <alignment horizontal="left"/>
    </xf>
    <xf numFmtId="0" fontId="52" fillId="25" borderId="1" xfId="0" applyFont="1" applyFill="1" applyBorder="1" applyAlignment="1">
      <alignment horizontal="left"/>
    </xf>
    <xf numFmtId="0" fontId="52" fillId="4" borderId="1" xfId="0" applyFont="1" applyFill="1" applyBorder="1" applyAlignment="1">
      <alignment horizontal="center" wrapText="1"/>
    </xf>
    <xf numFmtId="0" fontId="52" fillId="13" borderId="5" xfId="0" applyFont="1" applyFill="1" applyBorder="1" applyAlignment="1">
      <alignment horizontal="left" vertical="top" wrapText="1"/>
    </xf>
    <xf numFmtId="0" fontId="52" fillId="13" borderId="13" xfId="0" applyFont="1" applyFill="1" applyBorder="1" applyAlignment="1">
      <alignment horizontal="left" vertical="top" wrapText="1"/>
    </xf>
    <xf numFmtId="0" fontId="0" fillId="0" borderId="1" xfId="0" applyFont="1" applyBorder="1" applyAlignment="1">
      <alignment horizontal="left"/>
    </xf>
    <xf numFmtId="0" fontId="18" fillId="4" borderId="1" xfId="0" applyFont="1" applyFill="1" applyBorder="1" applyAlignment="1">
      <alignment horizontal="left"/>
    </xf>
    <xf numFmtId="0" fontId="1" fillId="0" borderId="4" xfId="0" applyFont="1" applyBorder="1" applyAlignment="1">
      <alignment horizontal="center"/>
    </xf>
    <xf numFmtId="0" fontId="1" fillId="0" borderId="22" xfId="0" applyFont="1" applyBorder="1" applyAlignment="1">
      <alignment horizontal="center"/>
    </xf>
    <xf numFmtId="0" fontId="1" fillId="0" borderId="2" xfId="0" applyFont="1" applyBorder="1" applyAlignment="1">
      <alignment horizontal="center"/>
    </xf>
    <xf numFmtId="0" fontId="0" fillId="0" borderId="3" xfId="0" applyFont="1" applyBorder="1" applyAlignment="1">
      <alignment horizontal="center" vertical="center" wrapText="1"/>
    </xf>
    <xf numFmtId="0" fontId="52" fillId="0" borderId="3" xfId="0" applyFont="1" applyBorder="1" applyAlignment="1">
      <alignment horizontal="center" vertical="center" wrapText="1"/>
    </xf>
    <xf numFmtId="0" fontId="52" fillId="0" borderId="6" xfId="0" applyFont="1" applyBorder="1" applyAlignment="1">
      <alignment horizontal="center" vertical="center" wrapText="1"/>
    </xf>
    <xf numFmtId="0" fontId="0" fillId="0" borderId="9" xfId="0" applyFont="1" applyBorder="1" applyAlignment="1">
      <alignment horizontal="center" vertical="center" wrapText="1"/>
    </xf>
    <xf numFmtId="0" fontId="0" fillId="0" borderId="10" xfId="0" applyFont="1" applyBorder="1" applyAlignment="1">
      <alignment horizontal="center" vertical="center" wrapText="1"/>
    </xf>
    <xf numFmtId="0" fontId="0" fillId="0" borderId="8" xfId="0" applyFont="1" applyBorder="1" applyAlignment="1">
      <alignment horizontal="left" wrapText="1"/>
    </xf>
    <xf numFmtId="0" fontId="52" fillId="0" borderId="9" xfId="0" applyFont="1" applyBorder="1" applyAlignment="1">
      <alignment horizontal="left"/>
    </xf>
    <xf numFmtId="0" fontId="52" fillId="0" borderId="10" xfId="0" applyFont="1" applyBorder="1" applyAlignment="1">
      <alignment horizontal="left"/>
    </xf>
    <xf numFmtId="0" fontId="52" fillId="0" borderId="7" xfId="0" applyFont="1" applyBorder="1" applyAlignment="1">
      <alignment horizontal="left"/>
    </xf>
    <xf numFmtId="0" fontId="52" fillId="0" borderId="3" xfId="0" applyFont="1" applyBorder="1" applyAlignment="1">
      <alignment horizontal="left"/>
    </xf>
    <xf numFmtId="0" fontId="52" fillId="0" borderId="6" xfId="0" applyFont="1" applyBorder="1" applyAlignment="1">
      <alignment horizontal="left"/>
    </xf>
    <xf numFmtId="0" fontId="52" fillId="0" borderId="8" xfId="0" applyFont="1" applyBorder="1" applyAlignment="1">
      <alignment horizontal="center" vertical="center" wrapText="1"/>
    </xf>
    <xf numFmtId="0" fontId="52" fillId="0" borderId="9" xfId="0" applyFont="1" applyBorder="1" applyAlignment="1">
      <alignment horizontal="center" vertical="center" wrapText="1"/>
    </xf>
    <xf numFmtId="0" fontId="52" fillId="0" borderId="10" xfId="0" applyFont="1" applyBorder="1" applyAlignment="1">
      <alignment horizontal="center" vertical="center" wrapText="1"/>
    </xf>
    <xf numFmtId="0" fontId="52" fillId="0" borderId="12" xfId="0" applyFont="1" applyBorder="1" applyAlignment="1">
      <alignment horizontal="center" vertical="center" wrapText="1"/>
    </xf>
    <xf numFmtId="0" fontId="52" fillId="0" borderId="0" xfId="0" applyFont="1" applyBorder="1" applyAlignment="1">
      <alignment horizontal="center" vertical="center" wrapText="1"/>
    </xf>
    <xf numFmtId="0" fontId="52" fillId="0" borderId="11" xfId="0" applyFont="1" applyBorder="1" applyAlignment="1">
      <alignment horizontal="center" vertical="center" wrapText="1"/>
    </xf>
    <xf numFmtId="0" fontId="52" fillId="0" borderId="7" xfId="0" applyFont="1" applyBorder="1" applyAlignment="1">
      <alignment horizontal="center" vertical="center" wrapText="1"/>
    </xf>
    <xf numFmtId="0" fontId="53" fillId="4" borderId="4" xfId="0" applyFont="1" applyFill="1" applyBorder="1" applyAlignment="1">
      <alignment horizontal="left"/>
    </xf>
    <xf numFmtId="0" fontId="53" fillId="4" borderId="22" xfId="0" applyFont="1" applyFill="1" applyBorder="1" applyAlignment="1">
      <alignment horizontal="left"/>
    </xf>
    <xf numFmtId="0" fontId="53" fillId="4" borderId="2" xfId="0" applyFont="1" applyFill="1" applyBorder="1" applyAlignment="1">
      <alignment horizontal="left"/>
    </xf>
    <xf numFmtId="0" fontId="52" fillId="0" borderId="1" xfId="0" applyFont="1" applyBorder="1" applyAlignment="1">
      <alignment horizontal="left"/>
    </xf>
    <xf numFmtId="0" fontId="0" fillId="25" borderId="4" xfId="0" applyFont="1" applyFill="1" applyBorder="1" applyAlignment="1">
      <alignment horizontal="left"/>
    </xf>
    <xf numFmtId="0" fontId="1" fillId="25" borderId="22" xfId="0" applyFont="1" applyFill="1" applyBorder="1" applyAlignment="1">
      <alignment horizontal="left"/>
    </xf>
    <xf numFmtId="0" fontId="1" fillId="25" borderId="2" xfId="0" applyFont="1" applyFill="1" applyBorder="1" applyAlignment="1">
      <alignment horizontal="left"/>
    </xf>
    <xf numFmtId="49" fontId="22" fillId="12" borderId="4" xfId="0" applyNumberFormat="1" applyFont="1" applyFill="1" applyBorder="1" applyAlignment="1">
      <alignment horizontal="left" wrapText="1"/>
    </xf>
    <xf numFmtId="49" fontId="22" fillId="12" borderId="22" xfId="0" applyNumberFormat="1" applyFont="1" applyFill="1" applyBorder="1" applyAlignment="1">
      <alignment horizontal="left"/>
    </xf>
    <xf numFmtId="49" fontId="22" fillId="12" borderId="2" xfId="0" applyNumberFormat="1" applyFont="1" applyFill="1" applyBorder="1" applyAlignment="1">
      <alignment horizontal="left"/>
    </xf>
    <xf numFmtId="0" fontId="1" fillId="0" borderId="4" xfId="0" applyFont="1" applyBorder="1" applyAlignment="1">
      <alignment horizontal="left"/>
    </xf>
    <xf numFmtId="0" fontId="1" fillId="0" borderId="22" xfId="0" applyFont="1" applyBorder="1" applyAlignment="1">
      <alignment horizontal="left"/>
    </xf>
    <xf numFmtId="0" fontId="1" fillId="0" borderId="2" xfId="0" applyFont="1" applyBorder="1" applyAlignment="1">
      <alignment horizontal="left"/>
    </xf>
    <xf numFmtId="0" fontId="1" fillId="5" borderId="4" xfId="0" applyFont="1" applyFill="1" applyBorder="1" applyAlignment="1">
      <alignment horizontal="left"/>
    </xf>
    <xf numFmtId="0" fontId="1" fillId="5" borderId="22" xfId="0" applyFont="1" applyFill="1" applyBorder="1" applyAlignment="1">
      <alignment horizontal="left"/>
    </xf>
    <xf numFmtId="0" fontId="1" fillId="5" borderId="2" xfId="0" applyFont="1" applyFill="1" applyBorder="1" applyAlignment="1">
      <alignment horizontal="left"/>
    </xf>
    <xf numFmtId="0" fontId="46" fillId="0" borderId="4" xfId="4" applyBorder="1" applyAlignment="1" applyProtection="1">
      <alignment horizontal="center"/>
    </xf>
    <xf numFmtId="0" fontId="52" fillId="0" borderId="2" xfId="0" applyFont="1" applyBorder="1" applyAlignment="1">
      <alignment horizontal="center"/>
    </xf>
    <xf numFmtId="0" fontId="8" fillId="4" borderId="12" xfId="0" applyFont="1" applyFill="1" applyBorder="1" applyAlignment="1">
      <alignment horizontal="left" vertical="center"/>
    </xf>
    <xf numFmtId="0" fontId="8" fillId="4" borderId="0" xfId="0" applyFont="1" applyFill="1" applyBorder="1" applyAlignment="1">
      <alignment horizontal="left" vertical="center"/>
    </xf>
    <xf numFmtId="0" fontId="2" fillId="4" borderId="12" xfId="0" applyFont="1" applyFill="1" applyBorder="1" applyAlignment="1">
      <alignment horizontal="left" vertical="center" wrapText="1"/>
    </xf>
    <xf numFmtId="0" fontId="2" fillId="4" borderId="0" xfId="0" applyFont="1" applyFill="1" applyBorder="1" applyAlignment="1">
      <alignment horizontal="left" vertical="center" wrapText="1"/>
    </xf>
    <xf numFmtId="0" fontId="2" fillId="4" borderId="12" xfId="0" applyFont="1" applyFill="1" applyBorder="1" applyAlignment="1">
      <alignment horizontal="left"/>
    </xf>
    <xf numFmtId="0" fontId="2" fillId="4" borderId="0" xfId="0" applyFont="1" applyFill="1" applyBorder="1" applyAlignment="1">
      <alignment horizontal="left"/>
    </xf>
    <xf numFmtId="0" fontId="2" fillId="4" borderId="7" xfId="0" applyFont="1" applyFill="1" applyBorder="1" applyAlignment="1">
      <alignment horizontal="left"/>
    </xf>
    <xf numFmtId="0" fontId="2" fillId="4" borderId="3" xfId="0" applyFont="1" applyFill="1" applyBorder="1" applyAlignment="1">
      <alignment horizontal="left"/>
    </xf>
    <xf numFmtId="165" fontId="3" fillId="2" borderId="8" xfId="0" applyNumberFormat="1" applyFont="1" applyFill="1" applyBorder="1" applyAlignment="1">
      <alignment horizontal="center"/>
    </xf>
    <xf numFmtId="165" fontId="3" fillId="2" borderId="10" xfId="0" applyNumberFormat="1" applyFont="1" applyFill="1" applyBorder="1" applyAlignment="1">
      <alignment horizontal="center"/>
    </xf>
    <xf numFmtId="0" fontId="3" fillId="2" borderId="4" xfId="0" applyFont="1" applyFill="1" applyBorder="1" applyAlignment="1">
      <alignment horizontal="left"/>
    </xf>
    <xf numFmtId="0" fontId="3" fillId="2" borderId="22" xfId="0" applyFont="1" applyFill="1" applyBorder="1" applyAlignment="1">
      <alignment horizontal="left"/>
    </xf>
    <xf numFmtId="0" fontId="3" fillId="2" borderId="2" xfId="0" applyFont="1" applyFill="1" applyBorder="1" applyAlignment="1">
      <alignment horizontal="left"/>
    </xf>
    <xf numFmtId="174" fontId="2" fillId="4" borderId="0" xfId="0" applyNumberFormat="1" applyFont="1" applyFill="1" applyBorder="1" applyAlignment="1">
      <alignment horizontal="center" vertical="center"/>
    </xf>
    <xf numFmtId="174" fontId="0" fillId="4" borderId="3" xfId="0" applyNumberFormat="1" applyFont="1" applyFill="1" applyBorder="1" applyAlignment="1">
      <alignment horizontal="center" vertical="center"/>
    </xf>
    <xf numFmtId="174" fontId="0" fillId="4" borderId="6" xfId="0" applyNumberFormat="1" applyFont="1" applyFill="1" applyBorder="1" applyAlignment="1">
      <alignment horizontal="center" vertical="center"/>
    </xf>
    <xf numFmtId="0" fontId="3" fillId="5" borderId="8" xfId="0" applyFont="1" applyFill="1" applyBorder="1" applyAlignment="1">
      <alignment vertical="center"/>
    </xf>
    <xf numFmtId="0" fontId="3" fillId="5" borderId="12" xfId="0" applyFont="1" applyFill="1" applyBorder="1" applyAlignment="1">
      <alignment vertical="center"/>
    </xf>
    <xf numFmtId="0" fontId="3" fillId="5" borderId="9" xfId="0" applyFont="1" applyFill="1" applyBorder="1" applyAlignment="1">
      <alignment horizontal="center" vertical="center"/>
    </xf>
    <xf numFmtId="0" fontId="3" fillId="5" borderId="0" xfId="0" applyFont="1" applyFill="1" applyBorder="1" applyAlignment="1">
      <alignment horizontal="center" vertical="center"/>
    </xf>
    <xf numFmtId="165" fontId="3" fillId="5" borderId="9" xfId="0" applyNumberFormat="1" applyFont="1" applyFill="1" applyBorder="1" applyAlignment="1">
      <alignment horizontal="center" vertical="center"/>
    </xf>
    <xf numFmtId="165" fontId="3" fillId="5" borderId="0" xfId="0" applyNumberFormat="1" applyFont="1" applyFill="1" applyBorder="1" applyAlignment="1">
      <alignment horizontal="center" vertical="center"/>
    </xf>
    <xf numFmtId="165" fontId="3" fillId="5" borderId="10" xfId="0" applyNumberFormat="1" applyFont="1" applyFill="1" applyBorder="1" applyAlignment="1">
      <alignment horizontal="center" vertical="center" wrapText="1"/>
    </xf>
    <xf numFmtId="165" fontId="3" fillId="5" borderId="11" xfId="0" applyNumberFormat="1" applyFont="1" applyFill="1" applyBorder="1" applyAlignment="1">
      <alignment horizontal="center" vertical="center" wrapText="1"/>
    </xf>
    <xf numFmtId="0" fontId="3" fillId="3" borderId="8" xfId="0" applyFont="1" applyFill="1" applyBorder="1" applyAlignment="1">
      <alignment horizontal="center"/>
    </xf>
    <xf numFmtId="0" fontId="3" fillId="3" borderId="9" xfId="0" applyFont="1" applyFill="1" applyBorder="1" applyAlignment="1">
      <alignment horizontal="center"/>
    </xf>
    <xf numFmtId="0" fontId="3" fillId="3" borderId="10" xfId="0"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2" fillId="6" borderId="8" xfId="0" applyFont="1" applyFill="1" applyBorder="1" applyAlignment="1">
      <alignment horizontal="center"/>
    </xf>
    <xf numFmtId="0" fontId="2" fillId="6" borderId="9" xfId="0" applyFont="1" applyFill="1" applyBorder="1" applyAlignment="1">
      <alignment horizontal="center"/>
    </xf>
    <xf numFmtId="0" fontId="2" fillId="6" borderId="10" xfId="0" applyFont="1" applyFill="1" applyBorder="1" applyAlignment="1">
      <alignment horizontal="center"/>
    </xf>
    <xf numFmtId="174" fontId="0" fillId="4" borderId="3" xfId="0" applyNumberFormat="1" applyFill="1" applyBorder="1" applyAlignment="1">
      <alignment horizontal="center" vertical="center"/>
    </xf>
    <xf numFmtId="174" fontId="0" fillId="4" borderId="6" xfId="0" applyNumberFormat="1" applyFill="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174" fontId="2" fillId="4" borderId="3" xfId="0" applyNumberFormat="1" applyFont="1" applyFill="1" applyBorder="1" applyAlignment="1">
      <alignment horizontal="center" vertical="center"/>
    </xf>
    <xf numFmtId="0" fontId="3" fillId="5" borderId="10" xfId="0" applyFont="1" applyFill="1" applyBorder="1" applyAlignment="1">
      <alignment horizontal="center" vertical="center" wrapText="1"/>
    </xf>
    <xf numFmtId="0" fontId="3" fillId="5" borderId="11" xfId="0" applyFont="1" applyFill="1" applyBorder="1" applyAlignment="1">
      <alignment horizontal="center" vertical="center" wrapText="1"/>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174" fontId="2" fillId="4" borderId="6" xfId="0" applyNumberFormat="1" applyFont="1" applyFill="1" applyBorder="1" applyAlignment="1">
      <alignment horizontal="center" vertical="center"/>
    </xf>
    <xf numFmtId="0" fontId="2" fillId="6" borderId="4" xfId="0" applyFont="1" applyFill="1" applyBorder="1" applyAlignment="1">
      <alignment horizontal="center"/>
    </xf>
    <xf numFmtId="0" fontId="2" fillId="6" borderId="2" xfId="0" applyFont="1" applyFill="1" applyBorder="1" applyAlignment="1">
      <alignment horizontal="center"/>
    </xf>
    <xf numFmtId="0" fontId="3" fillId="5" borderId="4" xfId="0" applyFont="1" applyFill="1" applyBorder="1" applyAlignment="1">
      <alignment horizontal="left"/>
    </xf>
    <xf numFmtId="0" fontId="3" fillId="5" borderId="2" xfId="0" applyFont="1" applyFill="1" applyBorder="1" applyAlignment="1">
      <alignment horizontal="left"/>
    </xf>
    <xf numFmtId="165" fontId="3" fillId="5" borderId="5" xfId="0" applyNumberFormat="1" applyFont="1" applyFill="1" applyBorder="1" applyAlignment="1">
      <alignment horizontal="center" vertical="center" wrapText="1"/>
    </xf>
    <xf numFmtId="165" fontId="3" fillId="5" borderId="25" xfId="0" applyNumberFormat="1" applyFont="1" applyFill="1" applyBorder="1" applyAlignment="1">
      <alignment horizontal="center" vertical="center" wrapText="1"/>
    </xf>
    <xf numFmtId="0" fontId="3" fillId="5" borderId="5" xfId="0" applyFont="1" applyFill="1" applyBorder="1" applyAlignment="1">
      <alignment horizontal="center" vertical="center" wrapText="1"/>
    </xf>
    <xf numFmtId="0" fontId="3" fillId="5" borderId="25" xfId="0" applyFont="1" applyFill="1" applyBorder="1" applyAlignment="1">
      <alignment horizontal="center" vertical="center"/>
    </xf>
    <xf numFmtId="0" fontId="2" fillId="0" borderId="7" xfId="0" applyFont="1" applyBorder="1" applyAlignment="1">
      <alignment horizontal="center"/>
    </xf>
    <xf numFmtId="0" fontId="2" fillId="0" borderId="6" xfId="0" applyFont="1" applyBorder="1" applyAlignment="1">
      <alignment horizontal="center"/>
    </xf>
    <xf numFmtId="0" fontId="2" fillId="0" borderId="8" xfId="0" applyFont="1" applyBorder="1" applyAlignment="1">
      <alignment horizontal="center"/>
    </xf>
    <xf numFmtId="0" fontId="2" fillId="0" borderId="10" xfId="0" applyFont="1" applyBorder="1" applyAlignment="1">
      <alignment horizontal="center"/>
    </xf>
    <xf numFmtId="0" fontId="2" fillId="0" borderId="12" xfId="0" applyFont="1" applyBorder="1" applyAlignment="1">
      <alignment horizontal="center"/>
    </xf>
    <xf numFmtId="0" fontId="2" fillId="0" borderId="11" xfId="0" applyFont="1" applyBorder="1" applyAlignment="1">
      <alignment horizontal="center"/>
    </xf>
    <xf numFmtId="0" fontId="3" fillId="5" borderId="25" xfId="0" applyFont="1" applyFill="1" applyBorder="1" applyAlignment="1">
      <alignment horizontal="center" vertical="center" wrapText="1"/>
    </xf>
    <xf numFmtId="0" fontId="3" fillId="5" borderId="5" xfId="0" applyFont="1" applyFill="1" applyBorder="1" applyAlignment="1">
      <alignment horizontal="center" vertical="center"/>
    </xf>
    <xf numFmtId="165" fontId="3" fillId="5" borderId="25" xfId="0" applyNumberFormat="1" applyFont="1" applyFill="1" applyBorder="1" applyAlignment="1">
      <alignment horizontal="center" vertical="center"/>
    </xf>
    <xf numFmtId="0" fontId="3" fillId="2" borderId="4" xfId="0" applyFont="1" applyFill="1" applyBorder="1" applyAlignment="1">
      <alignment horizontal="center"/>
    </xf>
    <xf numFmtId="0" fontId="3" fillId="2" borderId="2" xfId="0" applyFont="1" applyFill="1" applyBorder="1" applyAlignment="1">
      <alignment horizontal="center"/>
    </xf>
    <xf numFmtId="0" fontId="2" fillId="0" borderId="0" xfId="0" applyFont="1" applyAlignment="1">
      <alignment horizontal="center"/>
    </xf>
    <xf numFmtId="0" fontId="2" fillId="0" borderId="0" xfId="0" applyFont="1" applyFill="1" applyBorder="1" applyAlignment="1">
      <alignment horizontal="center"/>
    </xf>
    <xf numFmtId="0" fontId="3" fillId="5" borderId="8" xfId="0" applyFont="1" applyFill="1" applyBorder="1" applyAlignment="1">
      <alignment horizontal="left" vertical="center"/>
    </xf>
    <xf numFmtId="0" fontId="3" fillId="5" borderId="12" xfId="0" applyFont="1" applyFill="1" applyBorder="1" applyAlignment="1">
      <alignment horizontal="left" vertical="center"/>
    </xf>
    <xf numFmtId="0" fontId="60" fillId="4" borderId="7" xfId="0" applyFont="1" applyFill="1" applyBorder="1" applyAlignment="1">
      <alignment horizontal="left"/>
    </xf>
    <xf numFmtId="0" fontId="60" fillId="4" borderId="3" xfId="0" applyFont="1" applyFill="1" applyBorder="1" applyAlignment="1">
      <alignment horizontal="left"/>
    </xf>
    <xf numFmtId="0" fontId="62" fillId="2" borderId="4" xfId="0" applyFont="1" applyFill="1" applyBorder="1" applyAlignment="1">
      <alignment horizontal="left"/>
    </xf>
    <xf numFmtId="0" fontId="62" fillId="2" borderId="22" xfId="0" applyFont="1" applyFill="1" applyBorder="1" applyAlignment="1">
      <alignment horizontal="left"/>
    </xf>
    <xf numFmtId="0" fontId="62" fillId="2" borderId="2" xfId="0" applyFont="1" applyFill="1" applyBorder="1" applyAlignment="1">
      <alignment horizontal="left"/>
    </xf>
    <xf numFmtId="0" fontId="60" fillId="4" borderId="12" xfId="0" applyFont="1" applyFill="1" applyBorder="1" applyAlignment="1">
      <alignment horizontal="left"/>
    </xf>
    <xf numFmtId="0" fontId="60" fillId="4" borderId="0" xfId="0" applyFont="1" applyFill="1" applyBorder="1" applyAlignment="1">
      <alignment horizontal="left"/>
    </xf>
    <xf numFmtId="0" fontId="61" fillId="4" borderId="12" xfId="0" applyFont="1" applyFill="1" applyBorder="1" applyAlignment="1">
      <alignment horizontal="left" vertical="center"/>
    </xf>
    <xf numFmtId="0" fontId="61" fillId="4" borderId="0" xfId="0" applyFont="1" applyFill="1" applyBorder="1" applyAlignment="1">
      <alignment horizontal="left" vertical="center"/>
    </xf>
    <xf numFmtId="0" fontId="60" fillId="4" borderId="12" xfId="0" applyFont="1" applyFill="1" applyBorder="1" applyAlignment="1">
      <alignment horizontal="left" vertical="center" wrapText="1"/>
    </xf>
    <xf numFmtId="0" fontId="60" fillId="4" borderId="0" xfId="0" applyFont="1" applyFill="1" applyBorder="1" applyAlignment="1">
      <alignment horizontal="left" vertical="center" wrapText="1"/>
    </xf>
    <xf numFmtId="165" fontId="62" fillId="5" borderId="5" xfId="0" applyNumberFormat="1" applyFont="1" applyFill="1" applyBorder="1" applyAlignment="1">
      <alignment horizontal="center" vertical="center" wrapText="1"/>
    </xf>
    <xf numFmtId="165" fontId="62" fillId="5" borderId="25" xfId="0" applyNumberFormat="1" applyFont="1" applyFill="1" applyBorder="1" applyAlignment="1">
      <alignment horizontal="center" vertical="center"/>
    </xf>
    <xf numFmtId="0" fontId="62" fillId="5" borderId="5" xfId="0" applyFont="1" applyFill="1" applyBorder="1" applyAlignment="1">
      <alignment horizontal="center" vertical="center" wrapText="1"/>
    </xf>
    <xf numFmtId="0" fontId="62" fillId="5" borderId="25" xfId="0" applyFont="1" applyFill="1" applyBorder="1" applyAlignment="1">
      <alignment horizontal="center" vertical="center"/>
    </xf>
    <xf numFmtId="0" fontId="62" fillId="3" borderId="8" xfId="0" applyFont="1" applyFill="1" applyBorder="1" applyAlignment="1">
      <alignment horizontal="center"/>
    </xf>
    <xf numFmtId="0" fontId="62" fillId="3" borderId="9" xfId="0" applyFont="1" applyFill="1" applyBorder="1" applyAlignment="1">
      <alignment horizontal="center"/>
    </xf>
    <xf numFmtId="0" fontId="62" fillId="3" borderId="10" xfId="0" applyFont="1" applyFill="1" applyBorder="1" applyAlignment="1">
      <alignment horizontal="center"/>
    </xf>
    <xf numFmtId="0" fontId="62" fillId="2" borderId="8" xfId="0" applyFont="1" applyFill="1" applyBorder="1" applyAlignment="1">
      <alignment horizontal="center"/>
    </xf>
    <xf numFmtId="0" fontId="62" fillId="2" borderId="10" xfId="0" applyFont="1" applyFill="1" applyBorder="1" applyAlignment="1">
      <alignment horizontal="center"/>
    </xf>
    <xf numFmtId="0" fontId="60" fillId="6" borderId="8" xfId="0" applyFont="1" applyFill="1" applyBorder="1" applyAlignment="1">
      <alignment horizontal="center"/>
    </xf>
    <xf numFmtId="0" fontId="60" fillId="6" borderId="9" xfId="0" applyFont="1" applyFill="1" applyBorder="1" applyAlignment="1">
      <alignment horizontal="center"/>
    </xf>
    <xf numFmtId="0" fontId="60" fillId="6" borderId="10" xfId="0" applyFont="1" applyFill="1" applyBorder="1" applyAlignment="1">
      <alignment horizontal="center"/>
    </xf>
    <xf numFmtId="0" fontId="62" fillId="5" borderId="5" xfId="0" applyFont="1" applyFill="1" applyBorder="1" applyAlignment="1">
      <alignment horizontal="center" vertical="center"/>
    </xf>
    <xf numFmtId="0" fontId="60" fillId="0" borderId="7" xfId="0" applyFont="1" applyBorder="1" applyAlignment="1">
      <alignment horizontal="center"/>
    </xf>
    <xf numFmtId="0" fontId="60" fillId="0" borderId="6" xfId="0" applyFont="1" applyBorder="1" applyAlignment="1">
      <alignment horizontal="center"/>
    </xf>
    <xf numFmtId="0" fontId="62" fillId="5" borderId="8" xfId="0" applyFont="1" applyFill="1" applyBorder="1" applyAlignment="1">
      <alignment horizontal="left" vertical="center"/>
    </xf>
    <xf numFmtId="0" fontId="62" fillId="5" borderId="12" xfId="0" applyFont="1" applyFill="1" applyBorder="1" applyAlignment="1">
      <alignment horizontal="left" vertical="center"/>
    </xf>
    <xf numFmtId="0" fontId="62" fillId="5" borderId="9" xfId="0" applyFont="1" applyFill="1" applyBorder="1" applyAlignment="1">
      <alignment horizontal="center" vertical="center"/>
    </xf>
    <xf numFmtId="0" fontId="62" fillId="5" borderId="0" xfId="0" applyFont="1" applyFill="1" applyBorder="1" applyAlignment="1">
      <alignment horizontal="center" vertical="center"/>
    </xf>
    <xf numFmtId="174" fontId="60" fillId="4" borderId="0" xfId="0" applyNumberFormat="1" applyFont="1" applyFill="1" applyBorder="1" applyAlignment="1">
      <alignment horizontal="center" vertical="center"/>
    </xf>
    <xf numFmtId="174" fontId="0" fillId="4" borderId="0" xfId="0" applyNumberFormat="1" applyFont="1" applyFill="1" applyBorder="1" applyAlignment="1">
      <alignment horizontal="center" vertical="center"/>
    </xf>
    <xf numFmtId="0" fontId="62" fillId="5" borderId="8" xfId="0" applyFont="1" applyFill="1" applyBorder="1" applyAlignment="1">
      <alignment vertical="center"/>
    </xf>
    <xf numFmtId="0" fontId="62" fillId="5" borderId="12" xfId="0" applyFont="1" applyFill="1" applyBorder="1" applyAlignment="1">
      <alignment vertical="center"/>
    </xf>
    <xf numFmtId="165" fontId="62" fillId="5" borderId="9" xfId="0" applyNumberFormat="1" applyFont="1" applyFill="1" applyBorder="1" applyAlignment="1">
      <alignment horizontal="center" vertical="center"/>
    </xf>
    <xf numFmtId="165" fontId="62" fillId="5" borderId="0" xfId="0" applyNumberFormat="1" applyFont="1" applyFill="1" applyBorder="1" applyAlignment="1">
      <alignment horizontal="center" vertical="center"/>
    </xf>
    <xf numFmtId="165" fontId="62" fillId="5" borderId="10" xfId="0" applyNumberFormat="1" applyFont="1" applyFill="1" applyBorder="1" applyAlignment="1">
      <alignment horizontal="center" vertical="center" wrapText="1"/>
    </xf>
    <xf numFmtId="165" fontId="62" fillId="5" borderId="11" xfId="0" applyNumberFormat="1" applyFont="1" applyFill="1" applyBorder="1" applyAlignment="1">
      <alignment horizontal="center" vertical="center" wrapText="1"/>
    </xf>
    <xf numFmtId="165" fontId="62" fillId="2" borderId="8" xfId="0" applyNumberFormat="1" applyFont="1" applyFill="1" applyBorder="1" applyAlignment="1">
      <alignment horizontal="center"/>
    </xf>
    <xf numFmtId="165" fontId="62" fillId="2" borderId="10" xfId="0" applyNumberFormat="1" applyFont="1" applyFill="1" applyBorder="1" applyAlignment="1">
      <alignment horizontal="center"/>
    </xf>
    <xf numFmtId="0" fontId="60" fillId="0" borderId="8" xfId="0" applyFont="1" applyBorder="1" applyAlignment="1">
      <alignment horizontal="center"/>
    </xf>
    <xf numFmtId="0" fontId="60" fillId="0" borderId="10" xfId="0" applyFont="1" applyBorder="1" applyAlignment="1">
      <alignment horizontal="center"/>
    </xf>
    <xf numFmtId="0" fontId="60" fillId="0" borderId="12" xfId="0" applyFont="1" applyBorder="1" applyAlignment="1">
      <alignment horizontal="center"/>
    </xf>
    <xf numFmtId="0" fontId="60" fillId="0" borderId="11" xfId="0" applyFont="1" applyBorder="1" applyAlignment="1">
      <alignment horizontal="center"/>
    </xf>
    <xf numFmtId="165" fontId="62" fillId="5" borderId="25" xfId="0" applyNumberFormat="1" applyFont="1" applyFill="1" applyBorder="1" applyAlignment="1">
      <alignment horizontal="center" vertical="center" wrapText="1"/>
    </xf>
    <xf numFmtId="0" fontId="62" fillId="5" borderId="4" xfId="0" applyFont="1" applyFill="1" applyBorder="1" applyAlignment="1">
      <alignment horizontal="left"/>
    </xf>
    <xf numFmtId="0" fontId="62" fillId="5" borderId="2" xfId="0" applyFont="1" applyFill="1" applyBorder="1" applyAlignment="1">
      <alignment horizontal="left"/>
    </xf>
    <xf numFmtId="0" fontId="60" fillId="0" borderId="0" xfId="0" applyFont="1" applyFill="1" applyBorder="1" applyAlignment="1">
      <alignment horizontal="center"/>
    </xf>
    <xf numFmtId="0" fontId="62" fillId="5" borderId="25" xfId="0" applyFont="1" applyFill="1" applyBorder="1" applyAlignment="1">
      <alignment horizontal="center" vertical="center" wrapText="1"/>
    </xf>
    <xf numFmtId="165" fontId="62" fillId="5" borderId="5" xfId="0" applyNumberFormat="1" applyFont="1" applyFill="1" applyBorder="1" applyAlignment="1">
      <alignment horizontal="center" wrapText="1"/>
    </xf>
    <xf numFmtId="165" fontId="62" fillId="5" borderId="25" xfId="0" applyNumberFormat="1" applyFont="1" applyFill="1" applyBorder="1" applyAlignment="1">
      <alignment horizontal="center" wrapText="1"/>
    </xf>
    <xf numFmtId="174" fontId="60" fillId="4" borderId="3" xfId="0" applyNumberFormat="1" applyFont="1" applyFill="1" applyBorder="1" applyAlignment="1">
      <alignment horizontal="center" vertical="center"/>
    </xf>
    <xf numFmtId="0" fontId="62" fillId="5" borderId="10" xfId="0" applyFont="1" applyFill="1" applyBorder="1" applyAlignment="1">
      <alignment horizontal="center" vertical="center"/>
    </xf>
    <xf numFmtId="0" fontId="62" fillId="5" borderId="11" xfId="0" applyFont="1" applyFill="1" applyBorder="1" applyAlignment="1">
      <alignment horizontal="center" vertical="center"/>
    </xf>
    <xf numFmtId="0" fontId="44" fillId="0" borderId="58" xfId="0" applyFont="1" applyFill="1" applyBorder="1" applyAlignment="1">
      <alignment horizontal="center" vertical="top"/>
    </xf>
    <xf numFmtId="0" fontId="44" fillId="0" borderId="59" xfId="0" applyFont="1" applyFill="1" applyBorder="1" applyAlignment="1">
      <alignment horizontal="center" vertical="top"/>
    </xf>
    <xf numFmtId="0" fontId="44" fillId="0" borderId="61" xfId="0" applyFont="1" applyFill="1" applyBorder="1" applyAlignment="1">
      <alignment horizontal="center" vertical="top"/>
    </xf>
    <xf numFmtId="0" fontId="43" fillId="20" borderId="64" xfId="0" applyFont="1" applyFill="1" applyBorder="1" applyAlignment="1">
      <alignment horizontal="center" vertical="center" textRotation="90"/>
    </xf>
    <xf numFmtId="0" fontId="43" fillId="20" borderId="74" xfId="0" applyFont="1" applyFill="1" applyBorder="1" applyAlignment="1">
      <alignment horizontal="center" vertical="center" textRotation="90"/>
    </xf>
    <xf numFmtId="0" fontId="29" fillId="20" borderId="64" xfId="0" applyFont="1" applyFill="1" applyBorder="1" applyAlignment="1">
      <alignment horizontal="center" vertical="center" textRotation="90"/>
    </xf>
    <xf numFmtId="0" fontId="29" fillId="20" borderId="67" xfId="0" applyFont="1" applyFill="1" applyBorder="1" applyAlignment="1">
      <alignment horizontal="center" vertical="center" textRotation="90"/>
    </xf>
    <xf numFmtId="0" fontId="29" fillId="20" borderId="74" xfId="0" applyFont="1" applyFill="1" applyBorder="1" applyAlignment="1">
      <alignment horizontal="center" vertical="center" textRotation="90"/>
    </xf>
    <xf numFmtId="0" fontId="39" fillId="12" borderId="62" xfId="0" applyFont="1" applyFill="1" applyBorder="1" applyAlignment="1">
      <alignment horizontal="left" vertical="top" wrapText="1"/>
    </xf>
    <xf numFmtId="0" fontId="39" fillId="12" borderId="77" xfId="0" applyFont="1" applyFill="1" applyBorder="1" applyAlignment="1">
      <alignment horizontal="left" vertical="top" wrapText="1"/>
    </xf>
    <xf numFmtId="0" fontId="38" fillId="20" borderId="105" xfId="0" applyFont="1" applyFill="1" applyBorder="1" applyAlignment="1">
      <alignment horizontal="center" vertical="center"/>
    </xf>
    <xf numFmtId="0" fontId="38" fillId="20" borderId="106" xfId="0" applyFont="1" applyFill="1" applyBorder="1" applyAlignment="1">
      <alignment horizontal="center" vertical="center"/>
    </xf>
    <xf numFmtId="0" fontId="38" fillId="20" borderId="84" xfId="0" applyFont="1" applyFill="1" applyBorder="1" applyAlignment="1">
      <alignment horizontal="center" vertical="center"/>
    </xf>
    <xf numFmtId="0" fontId="44" fillId="0" borderId="107" xfId="0" applyFont="1" applyFill="1" applyBorder="1" applyAlignment="1">
      <alignment horizontal="center" vertical="top"/>
    </xf>
    <xf numFmtId="0" fontId="44" fillId="0" borderId="108" xfId="0" applyFont="1" applyFill="1" applyBorder="1" applyAlignment="1">
      <alignment horizontal="center" vertical="top"/>
    </xf>
    <xf numFmtId="0" fontId="44" fillId="0" borderId="109" xfId="0" applyFont="1" applyFill="1" applyBorder="1" applyAlignment="1">
      <alignment horizontal="center" vertical="top"/>
    </xf>
    <xf numFmtId="0" fontId="30" fillId="0" borderId="79" xfId="0" applyFont="1" applyFill="1" applyBorder="1" applyAlignment="1">
      <alignment horizontal="center" vertical="top"/>
    </xf>
    <xf numFmtId="0" fontId="44" fillId="0" borderId="0" xfId="0" applyFont="1" applyFill="1" applyBorder="1" applyAlignment="1">
      <alignment horizontal="center" vertical="top"/>
    </xf>
    <xf numFmtId="0" fontId="44" fillId="0" borderId="80" xfId="0" applyFont="1" applyFill="1" applyBorder="1" applyAlignment="1">
      <alignment horizontal="center" vertical="top"/>
    </xf>
    <xf numFmtId="0" fontId="40" fillId="0" borderId="68" xfId="0" applyFont="1" applyBorder="1" applyAlignment="1">
      <alignment horizontal="left" vertical="center" wrapText="1"/>
    </xf>
    <xf numFmtId="0" fontId="40" fillId="0" borderId="71" xfId="0" applyFont="1" applyBorder="1" applyAlignment="1">
      <alignment horizontal="left" vertical="center" wrapText="1"/>
    </xf>
    <xf numFmtId="0" fontId="41" fillId="20" borderId="69" xfId="0" applyFont="1" applyFill="1" applyBorder="1" applyAlignment="1">
      <alignment horizontal="center" vertical="center" wrapText="1"/>
    </xf>
    <xf numFmtId="0" fontId="41" fillId="20" borderId="72" xfId="0" applyFont="1" applyFill="1" applyBorder="1" applyAlignment="1">
      <alignment horizontal="center" vertical="center" wrapText="1"/>
    </xf>
    <xf numFmtId="0" fontId="44" fillId="0" borderId="79" xfId="0" applyFont="1" applyFill="1" applyBorder="1" applyAlignment="1">
      <alignment horizontal="center" vertical="top"/>
    </xf>
    <xf numFmtId="0" fontId="25" fillId="0" borderId="70" xfId="0" applyFont="1" applyBorder="1" applyAlignment="1">
      <alignment horizontal="left" vertical="center" wrapText="1"/>
    </xf>
    <xf numFmtId="0" fontId="25" fillId="0" borderId="71" xfId="0" applyFont="1" applyBorder="1" applyAlignment="1">
      <alignment horizontal="left" vertical="center" wrapText="1"/>
    </xf>
    <xf numFmtId="0" fontId="26" fillId="20" borderId="69" xfId="0" applyFont="1" applyFill="1" applyBorder="1" applyAlignment="1">
      <alignment horizontal="center" vertical="center" wrapText="1"/>
    </xf>
    <xf numFmtId="0" fontId="26" fillId="20" borderId="72" xfId="0" applyFont="1" applyFill="1" applyBorder="1" applyAlignment="1">
      <alignment horizontal="center" vertical="center" wrapText="1"/>
    </xf>
    <xf numFmtId="0" fontId="70" fillId="0" borderId="0" xfId="0" applyFont="1" applyBorder="1" applyAlignment="1">
      <alignment horizontal="left" vertical="center" wrapText="1"/>
    </xf>
    <xf numFmtId="0" fontId="70" fillId="0" borderId="0" xfId="0" applyFont="1" applyBorder="1" applyAlignment="1">
      <alignment horizontal="left" vertical="center"/>
    </xf>
    <xf numFmtId="0" fontId="70" fillId="0" borderId="0" xfId="0" applyFont="1" applyBorder="1" applyAlignment="1">
      <alignment horizontal="left"/>
    </xf>
    <xf numFmtId="0" fontId="0" fillId="0" borderId="0" xfId="0" applyFont="1" applyFill="1" applyBorder="1" applyAlignment="1">
      <alignment horizontal="left" vertical="top" wrapText="1"/>
    </xf>
    <xf numFmtId="0" fontId="38" fillId="20" borderId="64" xfId="0" applyFont="1" applyFill="1" applyBorder="1" applyAlignment="1">
      <alignment horizontal="center" vertical="center" textRotation="90"/>
    </xf>
    <xf numFmtId="0" fontId="38" fillId="20" borderId="67" xfId="0" applyFont="1" applyFill="1" applyBorder="1" applyAlignment="1">
      <alignment horizontal="center" vertical="center" textRotation="90"/>
    </xf>
    <xf numFmtId="0" fontId="38" fillId="20" borderId="73" xfId="0" applyFont="1" applyFill="1" applyBorder="1" applyAlignment="1">
      <alignment horizontal="center" vertical="center" textRotation="90"/>
    </xf>
    <xf numFmtId="0" fontId="38" fillId="20" borderId="74" xfId="0" applyFont="1" applyFill="1" applyBorder="1" applyAlignment="1">
      <alignment horizontal="center" vertical="center" textRotation="90"/>
    </xf>
    <xf numFmtId="0" fontId="39" fillId="12" borderId="65" xfId="0" applyFont="1" applyFill="1" applyBorder="1" applyAlignment="1">
      <alignment horizontal="left" vertical="top" wrapText="1"/>
    </xf>
    <xf numFmtId="0" fontId="39" fillId="0" borderId="66" xfId="0" applyFont="1" applyBorder="1" applyAlignment="1">
      <alignment horizontal="center" vertical="center" wrapText="1"/>
    </xf>
    <xf numFmtId="0" fontId="39" fillId="0" borderId="63" xfId="0" applyFont="1" applyBorder="1" applyAlignment="1">
      <alignment horizontal="center" vertical="center" wrapText="1"/>
    </xf>
    <xf numFmtId="0" fontId="37" fillId="20" borderId="54" xfId="0" applyFont="1" applyFill="1" applyBorder="1" applyAlignment="1">
      <alignment horizontal="left" vertical="top" wrapText="1"/>
    </xf>
    <xf numFmtId="0" fontId="37" fillId="20" borderId="55" xfId="0" applyFont="1" applyFill="1" applyBorder="1" applyAlignment="1">
      <alignment horizontal="left" vertical="top" wrapText="1"/>
    </xf>
    <xf numFmtId="0" fontId="37" fillId="20" borderId="56" xfId="0" applyFont="1" applyFill="1" applyBorder="1" applyAlignment="1">
      <alignment horizontal="left" vertical="top" wrapText="1"/>
    </xf>
    <xf numFmtId="0" fontId="36" fillId="20" borderId="57" xfId="0" applyFont="1" applyFill="1" applyBorder="1" applyAlignment="1">
      <alignment horizontal="center"/>
    </xf>
    <xf numFmtId="0" fontId="36" fillId="20" borderId="61" xfId="0" applyFont="1" applyFill="1" applyBorder="1" applyAlignment="1">
      <alignment horizontal="center"/>
    </xf>
    <xf numFmtId="0" fontId="38" fillId="20" borderId="58" xfId="0" applyFont="1" applyFill="1" applyBorder="1" applyAlignment="1">
      <alignment horizontal="left" vertical="top" wrapText="1"/>
    </xf>
    <xf numFmtId="0" fontId="38" fillId="20" borderId="59" xfId="0" applyFont="1" applyFill="1" applyBorder="1" applyAlignment="1">
      <alignment horizontal="left" vertical="top" wrapText="1"/>
    </xf>
    <xf numFmtId="0" fontId="38" fillId="20" borderId="60" xfId="0" applyFont="1" applyFill="1" applyBorder="1" applyAlignment="1">
      <alignment horizontal="left" vertical="top" wrapText="1"/>
    </xf>
    <xf numFmtId="0" fontId="39" fillId="12" borderId="68" xfId="0" applyFont="1" applyFill="1" applyBorder="1" applyAlignment="1">
      <alignment horizontal="left" vertical="top" wrapText="1"/>
    </xf>
    <xf numFmtId="0" fontId="40" fillId="0" borderId="75" xfId="0" applyFont="1" applyBorder="1" applyAlignment="1">
      <alignment horizontal="left" vertical="center" wrapText="1"/>
    </xf>
    <xf numFmtId="0" fontId="41" fillId="20" borderId="76" xfId="0" applyFont="1" applyFill="1" applyBorder="1" applyAlignment="1">
      <alignment horizontal="center" vertical="center" wrapText="1"/>
    </xf>
    <xf numFmtId="0" fontId="39" fillId="12" borderId="70" xfId="0" applyFont="1" applyFill="1" applyBorder="1" applyAlignment="1">
      <alignment horizontal="left" vertical="top" wrapText="1"/>
    </xf>
    <xf numFmtId="0" fontId="39" fillId="12" borderId="75" xfId="0" applyFont="1" applyFill="1" applyBorder="1" applyAlignment="1">
      <alignment horizontal="left" vertical="top" wrapText="1"/>
    </xf>
    <xf numFmtId="0" fontId="24" fillId="12" borderId="68" xfId="0" applyFont="1" applyFill="1" applyBorder="1" applyAlignment="1">
      <alignment horizontal="left" vertical="top" wrapText="1"/>
    </xf>
    <xf numFmtId="0" fontId="30" fillId="0" borderId="107" xfId="0" applyFont="1" applyFill="1" applyBorder="1" applyAlignment="1">
      <alignment horizontal="center" vertical="top"/>
    </xf>
    <xf numFmtId="0" fontId="23" fillId="20" borderId="105" xfId="0" applyFont="1" applyFill="1" applyBorder="1" applyAlignment="1">
      <alignment horizontal="center" vertical="center"/>
    </xf>
    <xf numFmtId="0" fontId="23" fillId="20" borderId="106" xfId="0" applyFont="1" applyFill="1" applyBorder="1" applyAlignment="1">
      <alignment horizontal="center" vertical="center"/>
    </xf>
    <xf numFmtId="0" fontId="23" fillId="20" borderId="84" xfId="0" applyFont="1" applyFill="1" applyBorder="1" applyAlignment="1">
      <alignment horizontal="center" vertical="center"/>
    </xf>
    <xf numFmtId="0" fontId="30" fillId="0" borderId="79" xfId="0" applyFont="1" applyBorder="1" applyAlignment="1">
      <alignment horizontal="center" vertical="top"/>
    </xf>
    <xf numFmtId="0" fontId="30" fillId="0" borderId="0" xfId="0" applyFont="1" applyBorder="1" applyAlignment="1">
      <alignment horizontal="center" vertical="top"/>
    </xf>
    <xf numFmtId="0" fontId="30" fillId="0" borderId="90" xfId="0" applyFont="1" applyBorder="1" applyAlignment="1">
      <alignment horizontal="center" vertical="top"/>
    </xf>
    <xf numFmtId="0" fontId="25" fillId="0" borderId="68" xfId="0" applyFont="1" applyBorder="1" applyAlignment="1">
      <alignment horizontal="left" vertical="center" wrapText="1"/>
    </xf>
    <xf numFmtId="0" fontId="25" fillId="0" borderId="75" xfId="0" applyFont="1" applyBorder="1" applyAlignment="1">
      <alignment horizontal="left" vertical="center" wrapText="1"/>
    </xf>
    <xf numFmtId="0" fontId="30" fillId="0" borderId="58" xfId="0" applyFont="1" applyBorder="1" applyAlignment="1">
      <alignment horizontal="center" vertical="top"/>
    </xf>
    <xf numFmtId="0" fontId="30" fillId="0" borderId="59" xfId="0" applyFont="1" applyBorder="1" applyAlignment="1">
      <alignment horizontal="center" vertical="top"/>
    </xf>
    <xf numFmtId="0" fontId="30" fillId="0" borderId="113" xfId="0" applyFont="1" applyBorder="1" applyAlignment="1">
      <alignment horizontal="center" vertical="top"/>
    </xf>
    <xf numFmtId="0" fontId="24" fillId="0" borderId="85" xfId="0" applyFont="1" applyBorder="1" applyAlignment="1">
      <alignment horizontal="center" vertical="center" wrapText="1"/>
    </xf>
    <xf numFmtId="0" fontId="24" fillId="0" borderId="86" xfId="0" applyFont="1" applyBorder="1" applyAlignment="1">
      <alignment horizontal="center" vertical="center" wrapText="1"/>
    </xf>
    <xf numFmtId="0" fontId="41" fillId="20" borderId="110" xfId="0" applyFont="1" applyFill="1" applyBorder="1" applyAlignment="1">
      <alignment horizontal="center" vertical="center" wrapText="1"/>
    </xf>
    <xf numFmtId="0" fontId="41" fillId="20" borderId="109" xfId="0" applyFont="1" applyFill="1" applyBorder="1" applyAlignment="1">
      <alignment horizontal="center" vertical="center" wrapText="1"/>
    </xf>
    <xf numFmtId="0" fontId="41" fillId="20" borderId="82" xfId="0" applyFont="1" applyFill="1" applyBorder="1" applyAlignment="1">
      <alignment horizontal="center" vertical="center" wrapText="1"/>
    </xf>
    <xf numFmtId="0" fontId="41" fillId="20" borderId="61" xfId="0" applyFont="1" applyFill="1" applyBorder="1" applyAlignment="1">
      <alignment horizontal="center" vertical="center" wrapText="1"/>
    </xf>
    <xf numFmtId="0" fontId="24" fillId="0" borderId="83" xfId="0" applyFont="1" applyBorder="1" applyAlignment="1">
      <alignment horizontal="center" vertical="center" wrapText="1"/>
    </xf>
    <xf numFmtId="0" fontId="24" fillId="0" borderId="84" xfId="0" applyFont="1" applyBorder="1" applyAlignment="1">
      <alignment horizontal="center" vertical="center" wrapText="1"/>
    </xf>
    <xf numFmtId="0" fontId="24" fillId="0" borderId="87" xfId="0" applyFont="1" applyBorder="1" applyAlignment="1">
      <alignment horizontal="center" vertical="center" wrapText="1"/>
    </xf>
    <xf numFmtId="0" fontId="24" fillId="0" borderId="88" xfId="0" applyFont="1" applyBorder="1" applyAlignment="1">
      <alignment horizontal="center" vertical="center" wrapText="1"/>
    </xf>
    <xf numFmtId="0" fontId="49" fillId="20" borderId="64" xfId="0" applyFont="1" applyFill="1" applyBorder="1" applyAlignment="1">
      <alignment horizontal="center" vertical="center" textRotation="90"/>
    </xf>
    <xf numFmtId="0" fontId="49" fillId="20" borderId="67" xfId="0" applyFont="1" applyFill="1" applyBorder="1" applyAlignment="1">
      <alignment horizontal="center" vertical="center" textRotation="90"/>
    </xf>
    <xf numFmtId="0" fontId="49" fillId="20" borderId="74" xfId="0" applyFont="1" applyFill="1" applyBorder="1" applyAlignment="1">
      <alignment horizontal="center" vertical="center" textRotation="90"/>
    </xf>
    <xf numFmtId="0" fontId="24" fillId="12" borderId="62" xfId="0" applyFont="1" applyFill="1" applyBorder="1" applyAlignment="1">
      <alignment horizontal="left" vertical="top" wrapText="1"/>
    </xf>
    <xf numFmtId="0" fontId="24" fillId="12" borderId="77" xfId="0" applyFont="1" applyFill="1" applyBorder="1" applyAlignment="1">
      <alignment horizontal="left" vertical="top" wrapText="1"/>
    </xf>
    <xf numFmtId="0" fontId="24" fillId="12" borderId="70" xfId="0" applyFont="1" applyFill="1" applyBorder="1" applyAlignment="1">
      <alignment horizontal="left" vertical="top" wrapText="1"/>
    </xf>
    <xf numFmtId="0" fontId="24" fillId="12" borderId="75" xfId="0" applyFont="1" applyFill="1" applyBorder="1" applyAlignment="1">
      <alignment horizontal="left" vertical="top" wrapText="1"/>
    </xf>
    <xf numFmtId="0" fontId="26" fillId="20" borderId="110" xfId="0" applyFont="1" applyFill="1" applyBorder="1" applyAlignment="1">
      <alignment horizontal="center" vertical="center" wrapText="1"/>
    </xf>
    <xf numFmtId="0" fontId="26" fillId="20" borderId="109" xfId="0" applyFont="1" applyFill="1" applyBorder="1" applyAlignment="1">
      <alignment horizontal="center" vertical="center" wrapText="1"/>
    </xf>
    <xf numFmtId="0" fontId="26" fillId="20" borderId="111" xfId="0" applyFont="1" applyFill="1" applyBorder="1" applyAlignment="1">
      <alignment horizontal="center" vertical="center" wrapText="1"/>
    </xf>
    <xf numFmtId="0" fontId="26" fillId="20" borderId="112" xfId="0" applyFont="1" applyFill="1" applyBorder="1" applyAlignment="1">
      <alignment horizontal="center" vertical="center" wrapText="1"/>
    </xf>
    <xf numFmtId="9" fontId="24" fillId="0" borderId="85" xfId="0" applyNumberFormat="1" applyFont="1" applyBorder="1" applyAlignment="1">
      <alignment horizontal="center" vertical="center" wrapText="1"/>
    </xf>
    <xf numFmtId="9" fontId="24" fillId="0" borderId="86" xfId="0" applyNumberFormat="1" applyFont="1" applyBorder="1" applyAlignment="1">
      <alignment horizontal="center" vertical="center" wrapText="1"/>
    </xf>
    <xf numFmtId="0" fontId="41" fillId="20" borderId="111" xfId="0" applyFont="1" applyFill="1" applyBorder="1" applyAlignment="1">
      <alignment horizontal="center" vertical="center" wrapText="1"/>
    </xf>
    <xf numFmtId="0" fontId="41" fillId="20" borderId="112" xfId="0" applyFont="1" applyFill="1" applyBorder="1" applyAlignment="1">
      <alignment horizontal="center" vertical="center" wrapText="1"/>
    </xf>
    <xf numFmtId="0" fontId="70" fillId="0" borderId="0" xfId="0" applyFont="1" applyBorder="1" applyAlignment="1">
      <alignment horizontal="right"/>
    </xf>
    <xf numFmtId="0" fontId="18" fillId="20" borderId="81" xfId="0" applyFont="1" applyFill="1" applyBorder="1" applyAlignment="1">
      <alignment horizontal="center"/>
    </xf>
    <xf numFmtId="0" fontId="18" fillId="20" borderId="57" xfId="0" applyFont="1" applyFill="1" applyBorder="1" applyAlignment="1">
      <alignment horizontal="center"/>
    </xf>
    <xf numFmtId="0" fontId="18" fillId="20" borderId="82" xfId="0" applyFont="1" applyFill="1" applyBorder="1" applyAlignment="1">
      <alignment horizontal="center"/>
    </xf>
    <xf numFmtId="0" fontId="18" fillId="20" borderId="61" xfId="0" applyFont="1" applyFill="1" applyBorder="1" applyAlignment="1">
      <alignment horizontal="center"/>
    </xf>
    <xf numFmtId="0" fontId="23" fillId="20" borderId="64" xfId="0" applyFont="1" applyFill="1" applyBorder="1" applyAlignment="1">
      <alignment horizontal="center" vertical="center" textRotation="90"/>
    </xf>
    <xf numFmtId="0" fontId="23" fillId="20" borderId="67" xfId="0" applyFont="1" applyFill="1" applyBorder="1" applyAlignment="1">
      <alignment horizontal="center" vertical="center" textRotation="90"/>
    </xf>
    <xf numFmtId="0" fontId="23" fillId="20" borderId="73" xfId="0" applyFont="1" applyFill="1" applyBorder="1" applyAlignment="1">
      <alignment horizontal="center" vertical="center" textRotation="90"/>
    </xf>
    <xf numFmtId="0" fontId="23" fillId="20" borderId="74" xfId="0" applyFont="1" applyFill="1" applyBorder="1" applyAlignment="1">
      <alignment horizontal="center" vertical="center" textRotation="90"/>
    </xf>
    <xf numFmtId="0" fontId="24" fillId="12" borderId="65" xfId="0" applyFont="1" applyFill="1" applyBorder="1" applyAlignment="1">
      <alignment horizontal="left" vertical="top" wrapText="1"/>
    </xf>
    <xf numFmtId="0" fontId="34" fillId="20" borderId="54" xfId="0" applyFont="1" applyFill="1" applyBorder="1" applyAlignment="1">
      <alignment horizontal="left" vertical="top" wrapText="1"/>
    </xf>
    <xf numFmtId="0" fontId="34" fillId="20" borderId="55" xfId="0" applyFont="1" applyFill="1" applyBorder="1" applyAlignment="1">
      <alignment horizontal="left" vertical="top" wrapText="1"/>
    </xf>
    <xf numFmtId="0" fontId="34" fillId="20" borderId="56" xfId="0" applyFont="1" applyFill="1" applyBorder="1" applyAlignment="1">
      <alignment horizontal="left" vertical="top" wrapText="1"/>
    </xf>
    <xf numFmtId="0" fontId="23" fillId="20" borderId="58" xfId="0" applyFont="1" applyFill="1" applyBorder="1" applyAlignment="1">
      <alignment horizontal="left" vertical="top" wrapText="1"/>
    </xf>
    <xf numFmtId="0" fontId="23" fillId="20" borderId="59" xfId="0" applyFont="1" applyFill="1" applyBorder="1" applyAlignment="1">
      <alignment horizontal="left" vertical="top" wrapText="1"/>
    </xf>
    <xf numFmtId="0" fontId="23" fillId="20" borderId="60" xfId="0" applyFont="1" applyFill="1" applyBorder="1" applyAlignment="1">
      <alignment horizontal="left" vertical="top" wrapText="1"/>
    </xf>
    <xf numFmtId="0" fontId="23" fillId="20" borderId="92" xfId="0" applyFont="1" applyFill="1" applyBorder="1" applyAlignment="1">
      <alignment horizontal="center" vertical="center" textRotation="90"/>
    </xf>
    <xf numFmtId="0" fontId="23" fillId="20" borderId="93" xfId="0" applyFont="1" applyFill="1" applyBorder="1" applyAlignment="1">
      <alignment horizontal="center" vertical="center" textRotation="90"/>
    </xf>
    <xf numFmtId="0" fontId="23" fillId="20" borderId="94" xfId="0" applyFont="1" applyFill="1" applyBorder="1" applyAlignment="1">
      <alignment horizontal="center" vertical="center" textRotation="90"/>
    </xf>
    <xf numFmtId="0" fontId="24" fillId="12" borderId="91" xfId="0" applyFont="1" applyFill="1" applyBorder="1" applyAlignment="1">
      <alignment horizontal="left" vertical="top" wrapText="1"/>
    </xf>
    <xf numFmtId="0" fontId="30" fillId="0" borderId="107" xfId="0" applyFont="1" applyFill="1" applyBorder="1" applyAlignment="1">
      <alignment horizontal="center" vertical="top" wrapText="1"/>
    </xf>
    <xf numFmtId="0" fontId="30" fillId="0" borderId="108" xfId="0" applyFont="1" applyFill="1" applyBorder="1" applyAlignment="1">
      <alignment horizontal="center" vertical="top" wrapText="1"/>
    </xf>
    <xf numFmtId="0" fontId="30" fillId="0" borderId="109" xfId="0" applyFont="1" applyFill="1" applyBorder="1" applyAlignment="1">
      <alignment horizontal="center" vertical="top" wrapText="1"/>
    </xf>
    <xf numFmtId="0" fontId="30" fillId="0" borderId="79" xfId="0" applyFont="1" applyFill="1" applyBorder="1" applyAlignment="1">
      <alignment horizontal="center" vertical="top" wrapText="1"/>
    </xf>
    <xf numFmtId="0" fontId="30" fillId="0" borderId="0" xfId="0" applyFont="1" applyFill="1" applyBorder="1" applyAlignment="1">
      <alignment horizontal="center" vertical="top" wrapText="1"/>
    </xf>
    <xf numFmtId="0" fontId="30" fillId="0" borderId="80" xfId="0" applyFont="1" applyFill="1" applyBorder="1" applyAlignment="1">
      <alignment horizontal="center" vertical="top" wrapText="1"/>
    </xf>
    <xf numFmtId="0" fontId="30" fillId="0" borderId="58" xfId="0" applyFont="1" applyFill="1" applyBorder="1" applyAlignment="1">
      <alignment horizontal="center" vertical="top" wrapText="1"/>
    </xf>
    <xf numFmtId="0" fontId="30" fillId="0" borderId="59" xfId="0" applyFont="1" applyFill="1" applyBorder="1" applyAlignment="1">
      <alignment horizontal="center" vertical="top" wrapText="1"/>
    </xf>
    <xf numFmtId="0" fontId="30" fillId="0" borderId="61" xfId="0" applyFont="1" applyFill="1" applyBorder="1" applyAlignment="1">
      <alignment horizontal="center" vertical="top" wrapText="1"/>
    </xf>
    <xf numFmtId="0" fontId="68" fillId="0" borderId="0" xfId="0" applyFont="1" applyAlignment="1">
      <alignment horizontal="center"/>
    </xf>
    <xf numFmtId="0" fontId="67" fillId="0" borderId="0" xfId="0" applyFont="1" applyAlignment="1">
      <alignment horizontal="center"/>
    </xf>
    <xf numFmtId="0" fontId="0" fillId="0" borderId="0" xfId="0" applyBorder="1" applyAlignment="1">
      <alignment horizontal="left" wrapText="1"/>
    </xf>
    <xf numFmtId="0" fontId="0" fillId="0" borderId="0" xfId="0" applyBorder="1" applyAlignment="1">
      <alignment horizontal="center" wrapText="1"/>
    </xf>
    <xf numFmtId="0" fontId="0" fillId="0" borderId="1" xfId="0" applyBorder="1" applyAlignment="1">
      <alignment horizontal="center"/>
    </xf>
    <xf numFmtId="0" fontId="0" fillId="0" borderId="0" xfId="0" applyBorder="1" applyAlignment="1">
      <alignment horizontal="center" vertical="top" wrapText="1"/>
    </xf>
    <xf numFmtId="0" fontId="17" fillId="22" borderId="1" xfId="0" applyFont="1" applyFill="1" applyBorder="1" applyAlignment="1">
      <alignment horizontal="center" vertical="center" wrapText="1"/>
    </xf>
    <xf numFmtId="0" fontId="17" fillId="22" borderId="1" xfId="0" applyFont="1" applyFill="1" applyBorder="1" applyAlignment="1">
      <alignment horizontal="center"/>
    </xf>
    <xf numFmtId="0" fontId="6" fillId="0" borderId="0" xfId="0" applyFont="1" applyAlignment="1">
      <alignment horizontal="center"/>
    </xf>
  </cellXfs>
  <cellStyles count="6">
    <cellStyle name="0,0_x000d__x000a_NA_x000d__x000a_" xfId="3" xr:uid="{00000000-0005-0000-0000-000000000000}"/>
    <cellStyle name="Komma" xfId="1" builtinId="3"/>
    <cellStyle name="Link" xfId="4" builtinId="8"/>
    <cellStyle name="Standard" xfId="0" builtinId="0"/>
    <cellStyle name="Standard 11" xfId="2" xr:uid="{00000000-0005-0000-0000-000004000000}"/>
    <cellStyle name="Währung" xfId="5" builtinId="4"/>
  </cellStyles>
  <dxfs count="269">
    <dxf>
      <font>
        <b val="0"/>
        <i val="0"/>
        <strike val="0"/>
        <condense val="0"/>
        <extend val="0"/>
        <outline val="0"/>
        <shadow val="0"/>
        <u val="none"/>
        <vertAlign val="baseline"/>
        <sz val="11"/>
        <color theme="1"/>
        <name val="Calibri"/>
        <family val="2"/>
        <scheme val="minor"/>
      </font>
      <fill>
        <patternFill patternType="solid">
          <fgColor theme="4" tint="0.79998168889431442"/>
          <bgColor theme="0" tint="-4.9989318521683403E-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0" tint="-4.9989318521683403E-2"/>
        </patternFill>
      </fill>
      <border diagonalUp="0" diagonalDown="0">
        <left/>
        <right style="thin">
          <color theme="0"/>
        </right>
        <top style="thin">
          <color theme="0"/>
        </top>
        <bottom style="thin">
          <color theme="0"/>
        </bottom>
        <vertical/>
        <horizontal/>
      </border>
    </dxf>
    <dxf>
      <border outline="0">
        <right style="thin">
          <color theme="0"/>
        </right>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0" tint="-4.9989318521683403E-2"/>
        </patternFill>
      </fill>
    </dxf>
    <dxf>
      <border outline="0">
        <bottom style="thick">
          <color theme="0"/>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border diagonalUp="0" diagonalDown="0" outline="0">
        <left style="thin">
          <color theme="0"/>
        </left>
        <right style="thin">
          <color theme="0"/>
        </right>
        <top/>
        <bottom/>
      </border>
    </dxf>
    <dxf>
      <fill>
        <patternFill>
          <bgColor theme="3" tint="0.59996337778862885"/>
        </patternFill>
      </fill>
    </dxf>
    <dxf>
      <fill>
        <patternFill>
          <bgColor theme="3" tint="0.59996337778862885"/>
        </patternFill>
      </fill>
    </dxf>
    <dxf>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tint="-0.14999847407452621"/>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tint="-0.14999847407452621"/>
        </patternFill>
      </fill>
      <alignment horizontal="center" vertical="bottom"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theme="3" tint="0.5999938962981048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left style="thin">
          <color theme="0"/>
        </left>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rgb="FFFF0000"/>
        <name val="Calibri"/>
        <family val="2"/>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rgb="FFFF0000"/>
        <name val="Calibri"/>
        <family val="2"/>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left/>
        <right style="thin">
          <color theme="0"/>
        </right>
        <top style="thin">
          <color theme="0"/>
        </top>
        <bottom style="thin">
          <color theme="0"/>
        </bottom>
      </border>
    </dxf>
    <dxf>
      <border outline="0">
        <top style="thin">
          <color theme="0"/>
        </top>
      </border>
    </dxf>
    <dxf>
      <border outline="0">
        <right style="thin">
          <color theme="0"/>
        </right>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right/>
        <top style="thin">
          <color theme="0"/>
        </top>
        <bottom/>
      </border>
    </dxf>
    <dxf>
      <border outline="0">
        <right style="thin">
          <color theme="0"/>
        </right>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right style="thin">
          <color theme="0"/>
        </right>
        <top style="thin">
          <color theme="0"/>
        </top>
        <bottom style="thin">
          <color theme="0"/>
        </bottom>
      </border>
    </dxf>
    <dxf>
      <border outline="0">
        <top style="thin">
          <color theme="0"/>
        </top>
      </border>
    </dxf>
    <dxf>
      <border outline="0">
        <right style="thin">
          <color theme="0"/>
        </right>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ill>
        <patternFill>
          <bgColor theme="0" tint="-4.9989318521683403E-2"/>
        </patternFill>
      </fill>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ill>
        <patternFill>
          <bgColor theme="0" tint="-4.9989318521683403E-2"/>
        </patternFill>
      </fill>
      <border outline="0">
        <left style="thin">
          <color theme="0"/>
        </left>
      </border>
    </dxf>
    <dxf>
      <font>
        <b val="0"/>
        <i val="0"/>
        <strike val="0"/>
        <condense val="0"/>
        <extend val="0"/>
        <outline val="0"/>
        <shadow val="0"/>
        <u val="none"/>
        <vertAlign val="baseline"/>
        <sz val="11"/>
        <color rgb="FFFF0000"/>
        <name val="Calibri"/>
        <family val="2"/>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rgb="FFFF0000"/>
        <name val="Calibri"/>
        <family val="2"/>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rgb="FFFF0000"/>
        <name val="Calibri"/>
        <family val="2"/>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0"/>
        </left>
        <right style="thin">
          <color theme="0"/>
        </right>
        <top/>
        <bottom/>
      </border>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ont>
        <strike val="0"/>
        <outline val="0"/>
        <shadow val="0"/>
        <u val="none"/>
        <vertAlign val="baseline"/>
        <sz val="11"/>
        <color rgb="FFFF0000"/>
        <name val="Calibri"/>
        <family val="2"/>
        <scheme val="minor"/>
      </font>
      <numFmt numFmtId="0" formatCode="General"/>
      <fill>
        <patternFill>
          <bgColor theme="0" tint="-4.9989318521683403E-2"/>
        </patternFill>
      </fill>
    </dxf>
    <dxf>
      <fill>
        <patternFill>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bgColor theme="0" tint="-4.9989318521683403E-2"/>
        </patternFill>
      </fill>
    </dxf>
    <dxf>
      <fill>
        <patternFill patternType="solid">
          <fgColor indexed="64"/>
          <bgColor theme="0" tint="-4.9989318521683403E-2"/>
        </patternFill>
      </fill>
    </dxf>
    <dxf>
      <fill>
        <patternFill>
          <bgColor theme="0" tint="-4.9989318521683403E-2"/>
        </patternFill>
      </fill>
    </dxf>
    <dxf>
      <fill>
        <patternFill>
          <bgColor theme="0" tint="-4.9989318521683403E-2"/>
        </patternFill>
      </fill>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dxf>
    <dxf>
      <fill>
        <patternFill>
          <bgColor theme="0" tint="-4.9989318521683403E-2"/>
        </patternFill>
      </fill>
    </dxf>
    <dxf>
      <fill>
        <patternFill>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bgColor theme="0" tint="-4.9989318521683403E-2"/>
        </patternFill>
      </fill>
    </dxf>
    <dxf>
      <fill>
        <patternFill patternType="solid">
          <fgColor indexed="64"/>
          <bgColor theme="0" tint="-4.9989318521683403E-2"/>
        </patternFill>
      </fill>
    </dxf>
    <dxf>
      <fill>
        <patternFill>
          <bgColor theme="0" tint="-4.9989318521683403E-2"/>
        </patternFill>
      </fill>
    </dxf>
    <dxf>
      <fill>
        <patternFill>
          <bgColor theme="0" tint="-4.9989318521683403E-2"/>
        </patternFill>
      </fill>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dxf>
    <dxf>
      <fill>
        <patternFill>
          <bgColor theme="0" tint="-4.9989318521683403E-2"/>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numFmt numFmtId="169" formatCode="0.0"/>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ont>
        <strike val="0"/>
        <color theme="1"/>
      </font>
      <fill>
        <patternFill>
          <bgColor theme="0" tint="-0.14996795556505021"/>
        </patternFill>
      </fill>
    </dxf>
    <dxf>
      <font>
        <strike val="0"/>
        <color rgb="FFFF0000"/>
      </font>
      <fill>
        <patternFill>
          <bgColor theme="5" tint="0.39994506668294322"/>
        </patternFill>
      </fill>
    </dxf>
    <dxf>
      <font>
        <strike val="0"/>
        <color rgb="FFFF0000"/>
      </font>
      <fill>
        <patternFill>
          <bgColor theme="5"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theme="5" tint="0.39994506668294322"/>
        </patternFill>
      </fill>
    </dxf>
    <dxf>
      <font>
        <strike val="0"/>
        <color theme="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theme="5" tint="0.39994506668294322"/>
        </patternFill>
      </fill>
    </dxf>
    <dxf>
      <font>
        <strike val="0"/>
        <color theme="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theme="5" tint="0.39994506668294322"/>
        </patternFill>
      </fill>
    </dxf>
    <dxf>
      <font>
        <strike val="0"/>
        <color theme="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colors>
    <mruColors>
      <color rgb="FF2C4D76"/>
      <color rgb="FFFF0000"/>
      <color rgb="FF4C557C"/>
      <color rgb="FF00FF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[Onshore-Kalkulator_Remlingen_6xN117_Rabatt.xlsm]Referenzen!PivotTable3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'Referenzen'!$U$6</c:f>
              <c:strCache>
                <c:ptCount val="1"/>
                <c:pt idx="0">
                  <c:v>Mittelwert von Preis</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multiLvlStrRef>
              <c:f>'Referenzen'!$T$7:$T$17</c:f>
              <c:multiLvlStrCache>
                <c:ptCount val="8"/>
                <c:lvl>
                  <c:pt idx="0">
                    <c:v>1</c:v>
                  </c:pt>
                  <c:pt idx="1">
                    <c:v>2</c:v>
                  </c:pt>
                  <c:pt idx="2">
                    <c:v>3</c:v>
                  </c:pt>
                  <c:pt idx="3">
                    <c:v>4</c:v>
                  </c:pt>
                  <c:pt idx="4">
                    <c:v>6</c:v>
                  </c:pt>
                  <c:pt idx="5">
                    <c:v>8</c:v>
                  </c:pt>
                  <c:pt idx="6">
                    <c:v>12</c:v>
                  </c:pt>
                  <c:pt idx="7">
                    <c:v>16</c:v>
                  </c:pt>
                </c:lvl>
                <c:lvl>
                  <c:pt idx="0">
                    <c:v>MD</c:v>
                  </c:pt>
                </c:lvl>
              </c:multiLvlStrCache>
            </c:multiLvlStrRef>
          </c:cat>
          <c:val>
            <c:numRef>
              <c:f>'Referenzen'!$U$7:$U$17</c:f>
              <c:numCache>
                <c:formatCode>#,##0.0\ "€"</c:formatCode>
                <c:ptCount val="8"/>
                <c:pt idx="0">
                  <c:v>47372.916666666664</c:v>
                </c:pt>
                <c:pt idx="1">
                  <c:v>41596.610169491527</c:v>
                </c:pt>
                <c:pt idx="2">
                  <c:v>45128.571428571428</c:v>
                </c:pt>
                <c:pt idx="3">
                  <c:v>45097.916666666664</c:v>
                </c:pt>
                <c:pt idx="4">
                  <c:v>44105.882352941175</c:v>
                </c:pt>
                <c:pt idx="5">
                  <c:v>44475</c:v>
                </c:pt>
                <c:pt idx="6">
                  <c:v>44475</c:v>
                </c:pt>
                <c:pt idx="7">
                  <c:v>46133.333333333336</c:v>
                </c:pt>
              </c:numCache>
            </c:numRef>
          </c:val>
          <c:smooth val="0"/>
          <c:extLst>
            <c:ext xmlns:c16="http://schemas.microsoft.com/office/drawing/2014/chart" uri="{C3380CC4-5D6E-409C-BE32-E72D297353CC}">
              <c16:uniqueId val="{00000000-8E0F-4C3F-A5AD-C6683410E4AD}"/>
            </c:ext>
          </c:extLst>
        </c:ser>
        <c:ser>
          <c:idx val="1"/>
          <c:order val="1"/>
          <c:tx>
            <c:strRef>
              <c:f>'Referenzen'!$V$6</c:f>
              <c:strCache>
                <c:ptCount val="1"/>
                <c:pt idx="0">
                  <c:v>Anzahl</c:v>
                </c:pt>
              </c:strCache>
            </c:strRef>
          </c:tx>
          <c:spPr>
            <a:ln w="28575" cap="rnd">
              <a:solidFill>
                <a:schemeClr val="accent2"/>
              </a:solidFill>
              <a:round/>
            </a:ln>
            <a:effectLst/>
          </c:spPr>
          <c:marker>
            <c:symbol val="none"/>
          </c:marker>
          <c:cat>
            <c:multiLvlStrRef>
              <c:f>'Referenzen'!$T$7:$T$17</c:f>
              <c:multiLvlStrCache>
                <c:ptCount val="8"/>
                <c:lvl>
                  <c:pt idx="0">
                    <c:v>1</c:v>
                  </c:pt>
                  <c:pt idx="1">
                    <c:v>2</c:v>
                  </c:pt>
                  <c:pt idx="2">
                    <c:v>3</c:v>
                  </c:pt>
                  <c:pt idx="3">
                    <c:v>4</c:v>
                  </c:pt>
                  <c:pt idx="4">
                    <c:v>6</c:v>
                  </c:pt>
                  <c:pt idx="5">
                    <c:v>8</c:v>
                  </c:pt>
                  <c:pt idx="6">
                    <c:v>12</c:v>
                  </c:pt>
                  <c:pt idx="7">
                    <c:v>16</c:v>
                  </c:pt>
                </c:lvl>
                <c:lvl>
                  <c:pt idx="0">
                    <c:v>MD</c:v>
                  </c:pt>
                </c:lvl>
              </c:multiLvlStrCache>
            </c:multiLvlStrRef>
          </c:cat>
          <c:val>
            <c:numRef>
              <c:f>'Referenzen'!$V$7:$V$17</c:f>
              <c:numCache>
                <c:formatCode>General</c:formatCode>
                <c:ptCount val="8"/>
                <c:pt idx="0">
                  <c:v>120</c:v>
                </c:pt>
                <c:pt idx="1">
                  <c:v>59</c:v>
                </c:pt>
                <c:pt idx="2">
                  <c:v>14</c:v>
                </c:pt>
                <c:pt idx="3">
                  <c:v>48</c:v>
                </c:pt>
                <c:pt idx="4">
                  <c:v>17</c:v>
                </c:pt>
                <c:pt idx="5">
                  <c:v>8</c:v>
                </c:pt>
                <c:pt idx="6">
                  <c:v>8</c:v>
                </c:pt>
                <c:pt idx="7">
                  <c:v>6</c:v>
                </c:pt>
              </c:numCache>
            </c:numRef>
          </c:val>
          <c:smooth val="0"/>
          <c:extLst>
            <c:ext xmlns:c16="http://schemas.microsoft.com/office/drawing/2014/chart" uri="{C3380CC4-5D6E-409C-BE32-E72D297353CC}">
              <c16:uniqueId val="{00000003-8E0F-4C3F-A5AD-C6683410E4AD}"/>
            </c:ext>
          </c:extLst>
        </c:ser>
        <c:dLbls>
          <c:showLegendKey val="0"/>
          <c:showVal val="0"/>
          <c:showCatName val="0"/>
          <c:showSerName val="0"/>
          <c:showPercent val="0"/>
          <c:showBubbleSize val="0"/>
        </c:dLbls>
        <c:smooth val="0"/>
        <c:axId val="430375936"/>
        <c:axId val="430375608"/>
      </c:lineChart>
      <c:catAx>
        <c:axId val="430375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0375608"/>
        <c:crosses val="autoZero"/>
        <c:auto val="1"/>
        <c:lblAlgn val="ctr"/>
        <c:lblOffset val="100"/>
        <c:noMultiLvlLbl val="0"/>
      </c:catAx>
      <c:valAx>
        <c:axId val="430375608"/>
        <c:scaling>
          <c:orientation val="minMax"/>
        </c:scaling>
        <c:delete val="0"/>
        <c:axPos val="l"/>
        <c:majorGridlines>
          <c:spPr>
            <a:ln w="9525" cap="flat" cmpd="sng" algn="ctr">
              <a:solidFill>
                <a:schemeClr val="tx1">
                  <a:lumMod val="15000"/>
                  <a:lumOff val="85000"/>
                </a:schemeClr>
              </a:solidFill>
              <a:round/>
            </a:ln>
            <a:effectLst/>
          </c:spPr>
        </c:majorGridlines>
        <c:numFmt formatCode="#,##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0375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[Onshore-Kalkulator_Remlingen_6xN117_Rabatt.xlsm]Referenzen!PivotTable1</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manualLayout>
          <c:layoutTarget val="inner"/>
          <c:xMode val="edge"/>
          <c:yMode val="edge"/>
          <c:x val="0.14810870516185476"/>
          <c:y val="0.23390717519736615"/>
          <c:w val="0.50168569553805775"/>
          <c:h val="0.47971596667324462"/>
        </c:manualLayout>
      </c:layout>
      <c:lineChart>
        <c:grouping val="standard"/>
        <c:varyColors val="0"/>
        <c:ser>
          <c:idx val="0"/>
          <c:order val="0"/>
          <c:tx>
            <c:strRef>
              <c:f>'Referenzen'!$M$6</c:f>
              <c:strCache>
                <c:ptCount val="1"/>
                <c:pt idx="0">
                  <c:v>Mittelwert von Preis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multiLvlStrRef>
              <c:f>'Referenzen'!$L$7:$L$22</c:f>
              <c:multiLvlStrCache>
                <c:ptCount val="13"/>
                <c:lvl>
                  <c:pt idx="0">
                    <c:v>8</c:v>
                  </c:pt>
                  <c:pt idx="1">
                    <c:v>9</c:v>
                  </c:pt>
                  <c:pt idx="2">
                    <c:v>10</c:v>
                  </c:pt>
                  <c:pt idx="3">
                    <c:v>11</c:v>
                  </c:pt>
                  <c:pt idx="4">
                    <c:v>12</c:v>
                  </c:pt>
                  <c:pt idx="5">
                    <c:v>13</c:v>
                  </c:pt>
                  <c:pt idx="6">
                    <c:v>14</c:v>
                  </c:pt>
                  <c:pt idx="7">
                    <c:v>15</c:v>
                  </c:pt>
                  <c:pt idx="8">
                    <c:v>16</c:v>
                  </c:pt>
                  <c:pt idx="9">
                    <c:v>17</c:v>
                  </c:pt>
                  <c:pt idx="10">
                    <c:v>18</c:v>
                  </c:pt>
                  <c:pt idx="11">
                    <c:v>19</c:v>
                  </c:pt>
                  <c:pt idx="12">
                    <c:v>20</c:v>
                  </c:pt>
                </c:lvl>
                <c:lvl>
                  <c:pt idx="0">
                    <c:v>MD</c:v>
                  </c:pt>
                </c:lvl>
              </c:multiLvlStrCache>
            </c:multiLvlStrRef>
          </c:cat>
          <c:val>
            <c:numRef>
              <c:f>'Referenzen'!$M$7:$M$22</c:f>
              <c:numCache>
                <c:formatCode>#,##0.0\ "€"</c:formatCode>
                <c:ptCount val="13"/>
                <c:pt idx="0">
                  <c:v>44650</c:v>
                </c:pt>
                <c:pt idx="1">
                  <c:v>43266.666666666664</c:v>
                </c:pt>
                <c:pt idx="2">
                  <c:v>42460</c:v>
                </c:pt>
                <c:pt idx="3">
                  <c:v>41180</c:v>
                </c:pt>
                <c:pt idx="4">
                  <c:v>41325</c:v>
                </c:pt>
                <c:pt idx="5">
                  <c:v>42516.666666666664</c:v>
                </c:pt>
                <c:pt idx="6">
                  <c:v>43036</c:v>
                </c:pt>
                <c:pt idx="7">
                  <c:v>44690.625</c:v>
                </c:pt>
                <c:pt idx="8">
                  <c:v>45657.352941176468</c:v>
                </c:pt>
                <c:pt idx="9">
                  <c:v>46883.823529411762</c:v>
                </c:pt>
                <c:pt idx="10">
                  <c:v>46886.36363636364</c:v>
                </c:pt>
                <c:pt idx="11">
                  <c:v>47189.393939393936</c:v>
                </c:pt>
                <c:pt idx="12">
                  <c:v>47189.393939393936</c:v>
                </c:pt>
              </c:numCache>
            </c:numRef>
          </c:val>
          <c:smooth val="0"/>
          <c:extLst>
            <c:ext xmlns:c16="http://schemas.microsoft.com/office/drawing/2014/chart" uri="{C3380CC4-5D6E-409C-BE32-E72D297353CC}">
              <c16:uniqueId val="{00000000-42BB-40C3-B430-8A970B067A2D}"/>
            </c:ext>
          </c:extLst>
        </c:ser>
        <c:ser>
          <c:idx val="1"/>
          <c:order val="1"/>
          <c:tx>
            <c:strRef>
              <c:f>'Referenzen'!$N$6</c:f>
              <c:strCache>
                <c:ptCount val="1"/>
                <c:pt idx="0">
                  <c:v>Anzahl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'Referenzen'!$L$7:$L$22</c:f>
              <c:multiLvlStrCache>
                <c:ptCount val="13"/>
                <c:lvl>
                  <c:pt idx="0">
                    <c:v>8</c:v>
                  </c:pt>
                  <c:pt idx="1">
                    <c:v>9</c:v>
                  </c:pt>
                  <c:pt idx="2">
                    <c:v>10</c:v>
                  </c:pt>
                  <c:pt idx="3">
                    <c:v>11</c:v>
                  </c:pt>
                  <c:pt idx="4">
                    <c:v>12</c:v>
                  </c:pt>
                  <c:pt idx="5">
                    <c:v>13</c:v>
                  </c:pt>
                  <c:pt idx="6">
                    <c:v>14</c:v>
                  </c:pt>
                  <c:pt idx="7">
                    <c:v>15</c:v>
                  </c:pt>
                  <c:pt idx="8">
                    <c:v>16</c:v>
                  </c:pt>
                  <c:pt idx="9">
                    <c:v>17</c:v>
                  </c:pt>
                  <c:pt idx="10">
                    <c:v>18</c:v>
                  </c:pt>
                  <c:pt idx="11">
                    <c:v>19</c:v>
                  </c:pt>
                  <c:pt idx="12">
                    <c:v>20</c:v>
                  </c:pt>
                </c:lvl>
                <c:lvl>
                  <c:pt idx="0">
                    <c:v>MD</c:v>
                  </c:pt>
                </c:lvl>
              </c:multiLvlStrCache>
            </c:multiLvlStrRef>
          </c:cat>
          <c:val>
            <c:numRef>
              <c:f>'Referenzen'!$N$7:$N$22</c:f>
              <c:numCache>
                <c:formatCode>General</c:formatCode>
                <c:ptCount val="13"/>
                <c:pt idx="0">
                  <c:v>2</c:v>
                </c:pt>
                <c:pt idx="1">
                  <c:v>3</c:v>
                </c:pt>
                <c:pt idx="2">
                  <c:v>5</c:v>
                </c:pt>
                <c:pt idx="3">
                  <c:v>10</c:v>
                </c:pt>
                <c:pt idx="4">
                  <c:v>12</c:v>
                </c:pt>
                <c:pt idx="5">
                  <c:v>24</c:v>
                </c:pt>
                <c:pt idx="6">
                  <c:v>25</c:v>
                </c:pt>
                <c:pt idx="7">
                  <c:v>32</c:v>
                </c:pt>
                <c:pt idx="8">
                  <c:v>34</c:v>
                </c:pt>
                <c:pt idx="9">
                  <c:v>34</c:v>
                </c:pt>
                <c:pt idx="10">
                  <c:v>33</c:v>
                </c:pt>
                <c:pt idx="11">
                  <c:v>33</c:v>
                </c:pt>
                <c:pt idx="12">
                  <c:v>33</c:v>
                </c:pt>
              </c:numCache>
            </c:numRef>
          </c:val>
          <c:smooth val="0"/>
          <c:extLst>
            <c:ext xmlns:c16="http://schemas.microsoft.com/office/drawing/2014/chart" uri="{C3380CC4-5D6E-409C-BE32-E72D297353CC}">
              <c16:uniqueId val="{00000001-42BB-40C3-B430-8A970B067A2D}"/>
            </c:ext>
          </c:extLst>
        </c:ser>
        <c:dLbls>
          <c:showLegendKey val="0"/>
          <c:showVal val="0"/>
          <c:showCatName val="0"/>
          <c:showSerName val="0"/>
          <c:showPercent val="0"/>
          <c:showBubbleSize val="0"/>
        </c:dLbls>
        <c:marker val="1"/>
        <c:smooth val="0"/>
        <c:axId val="430379872"/>
        <c:axId val="430401520"/>
      </c:lineChart>
      <c:catAx>
        <c:axId val="430379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0401520"/>
        <c:crosses val="autoZero"/>
        <c:auto val="1"/>
        <c:lblAlgn val="ctr"/>
        <c:lblOffset val="100"/>
        <c:noMultiLvlLbl val="0"/>
      </c:catAx>
      <c:valAx>
        <c:axId val="430401520"/>
        <c:scaling>
          <c:orientation val="minMax"/>
        </c:scaling>
        <c:delete val="0"/>
        <c:axPos val="l"/>
        <c:majorGridlines>
          <c:spPr>
            <a:ln w="9525" cap="flat" cmpd="sng" algn="ctr">
              <a:solidFill>
                <a:schemeClr val="tx1">
                  <a:lumMod val="15000"/>
                  <a:lumOff val="85000"/>
                </a:schemeClr>
              </a:solidFill>
              <a:round/>
            </a:ln>
            <a:effectLst/>
          </c:spPr>
        </c:majorGridlines>
        <c:numFmt formatCode="#,##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03798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R$42" lockText="1" noThreeD="1"/>
</file>

<file path=xl/ctrlProps/ctrlProp2.xml><?xml version="1.0" encoding="utf-8"?>
<formControlPr xmlns="http://schemas.microsoft.com/office/spreadsheetml/2009/9/main" objectType="CheckBox" fmlaLink="$R$43" lockText="1" noThreeD="1"/>
</file>

<file path=xl/ctrlProps/ctrlProp3.xml><?xml version="1.0" encoding="utf-8"?>
<formControlPr xmlns="http://schemas.microsoft.com/office/spreadsheetml/2009/9/main" objectType="CheckBox" fmlaLink="$S$43" lockText="1" noThreeD="1"/>
</file>

<file path=xl/ctrlProps/ctrlProp4.xml><?xml version="1.0" encoding="utf-8"?>
<formControlPr xmlns="http://schemas.microsoft.com/office/spreadsheetml/2009/9/main" objectType="CheckBox" fmlaLink="$R$44" lockText="1" noThreeD="1"/>
</file>

<file path=xl/ctrlProps/ctrlProp5.xml><?xml version="1.0" encoding="utf-8"?>
<formControlPr xmlns="http://schemas.microsoft.com/office/spreadsheetml/2009/9/main" objectType="CheckBox" fmlaLink="$R$45" lockText="1" noThreeD="1"/>
</file>

<file path=xl/ctrlProps/ctrlProp6.xml><?xml version="1.0" encoding="utf-8"?>
<formControlPr xmlns="http://schemas.microsoft.com/office/spreadsheetml/2009/9/main" objectType="CheckBox" fmlaLink="$R$46" lockText="1" noThreeD="1"/>
</file>

<file path=xl/ctrlProps/ctrlProp7.xml><?xml version="1.0" encoding="utf-8"?>
<formControlPr xmlns="http://schemas.microsoft.com/office/spreadsheetml/2009/9/main" objectType="CheckBox" fmlaLink="$R$42" lockText="1" noThreeD="1"/>
</file>

<file path=xl/ctrlProps/ctrlProp8.xml><?xml version="1.0" encoding="utf-8"?>
<formControlPr xmlns="http://schemas.microsoft.com/office/spreadsheetml/2009/9/main" objectType="CheckBox" fmlaLink="$R$43" lockText="1" noThreeD="1"/>
</file>

<file path=xl/ctrlProps/ctrlProp9.xml><?xml version="1.0" encoding="utf-8"?>
<formControlPr xmlns="http://schemas.microsoft.com/office/spreadsheetml/2009/9/main" objectType="CheckBox" fmlaLink="$S$43" lockText="1" noThreeD="1"/>
</file>

<file path=xl/ctrlProps/ctrlProp10.xml><?xml version="1.0" encoding="utf-8"?>
<formControlPr xmlns="http://schemas.microsoft.com/office/spreadsheetml/2009/9/main" objectType="CheckBox" fmlaLink="$R$44" lockText="1" noThreeD="1"/>
</file>

<file path=xl/ctrlProps/ctrlProp11.xml><?xml version="1.0" encoding="utf-8"?>
<formControlPr xmlns="http://schemas.microsoft.com/office/spreadsheetml/2009/9/main" objectType="CheckBox" fmlaLink="$R$45" lockText="1" noThreeD="1"/>
</file>

<file path=xl/ctrlProps/ctrlProp12.xml><?xml version="1.0" encoding="utf-8"?>
<formControlPr xmlns="http://schemas.microsoft.com/office/spreadsheetml/2009/9/main" objectType="CheckBox" fmlaLink="$R$46" lockText="1" noThreeD="1"/>
</file>

<file path=xl/ctrlProps/ctrlProp13.xml><?xml version="1.0" encoding="utf-8"?>
<formControlPr xmlns="http://schemas.microsoft.com/office/spreadsheetml/2009/9/main" objectType="CheckBox" fmlaLink="$R$42" lockText="1" noThreeD="1"/>
</file>

<file path=xl/ctrlProps/ctrlProp14.xml><?xml version="1.0" encoding="utf-8"?>
<formControlPr xmlns="http://schemas.microsoft.com/office/spreadsheetml/2009/9/main" objectType="CheckBox" fmlaLink="$R$43" lockText="1" noThreeD="1"/>
</file>

<file path=xl/ctrlProps/ctrlProp15.xml><?xml version="1.0" encoding="utf-8"?>
<formControlPr xmlns="http://schemas.microsoft.com/office/spreadsheetml/2009/9/main" objectType="CheckBox" fmlaLink="$S$43" lockText="1" noThreeD="1"/>
</file>

<file path=xl/ctrlProps/ctrlProp16.xml><?xml version="1.0" encoding="utf-8"?>
<formControlPr xmlns="http://schemas.microsoft.com/office/spreadsheetml/2009/9/main" objectType="CheckBox" fmlaLink="$R$44" lockText="1" noThreeD="1"/>
</file>

<file path=xl/ctrlProps/ctrlProp17.xml><?xml version="1.0" encoding="utf-8"?>
<formControlPr xmlns="http://schemas.microsoft.com/office/spreadsheetml/2009/9/main" objectType="CheckBox" fmlaLink="$R$45" lockText="1" noThreeD="1"/>
</file>

<file path=xl/ctrlProps/ctrlProp18.xml><?xml version="1.0" encoding="utf-8"?>
<formControlPr xmlns="http://schemas.microsoft.com/office/spreadsheetml/2009/9/main" objectType="CheckBox" fmlaLink="$R$46" lockText="1"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114300</xdr:colOff>
      <xdr:row>2</xdr:row>
      <xdr:rowOff>7620</xdr:rowOff>
    </xdr:to>
    <xdr:pic>
      <xdr:nvPicPr>
        <xdr:cNvPr id="1026" name="Picture 2" descr="http://www.matze-on.de/images/i.gif">
          <a:extLst>
            <a:ext uri="{FF2B5EF4-FFF2-40B4-BE49-F238E27FC236}">
              <a16:creationId xmlns:a16="http://schemas.microsoft.com/office/drawing/2014/main" id="{00000000-0008-0000-0000-000002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09600" y="4754880"/>
          <a:ext cx="114300" cy="7620"/>
        </a:xfrm>
        <a:prstGeom prst="rect">
          <a:avLst/>
        </a:prstGeom>
        <a:noFill/>
      </xdr:spPr>
    </xdr:pic>
    <xdr:clientData/>
  </xdr:twoCellAnchor>
  <xdr:twoCellAnchor editAs="oneCell">
    <xdr:from>
      <xdr:col>0</xdr:col>
      <xdr:colOff>0</xdr:colOff>
      <xdr:row>2</xdr:row>
      <xdr:rowOff>0</xdr:rowOff>
    </xdr:from>
    <xdr:to>
      <xdr:col>1</xdr:col>
      <xdr:colOff>1896533</xdr:colOff>
      <xdr:row>2</xdr:row>
      <xdr:rowOff>7620</xdr:rowOff>
    </xdr:to>
    <xdr:pic>
      <xdr:nvPicPr>
        <xdr:cNvPr id="1028" name="Picture 4" descr="http://www.matze-on.de/images/i.gif">
          <a:extLst>
            <a:ext uri="{FF2B5EF4-FFF2-40B4-BE49-F238E27FC236}">
              <a16:creationId xmlns:a16="http://schemas.microsoft.com/office/drawing/2014/main" id="{00000000-0008-0000-0000-000004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29641800"/>
          <a:ext cx="2141220" cy="7620"/>
        </a:xfrm>
        <a:prstGeom prst="rect">
          <a:avLst/>
        </a:prstGeom>
        <a:noFill/>
      </xdr:spPr>
    </xdr:pic>
    <xdr:clientData/>
  </xdr:twoCellAnchor>
  <xdr:twoCellAnchor editAs="oneCell">
    <xdr:from>
      <xdr:col>0</xdr:col>
      <xdr:colOff>0</xdr:colOff>
      <xdr:row>2</xdr:row>
      <xdr:rowOff>0</xdr:rowOff>
    </xdr:from>
    <xdr:to>
      <xdr:col>0</xdr:col>
      <xdr:colOff>7620</xdr:colOff>
      <xdr:row>2</xdr:row>
      <xdr:rowOff>7620</xdr:rowOff>
    </xdr:to>
    <xdr:pic>
      <xdr:nvPicPr>
        <xdr:cNvPr id="1029" name="Picture 5" descr="http://www.matze-on.de/images/i.gif">
          <a:extLst>
            <a:ext uri="{FF2B5EF4-FFF2-40B4-BE49-F238E27FC236}">
              <a16:creationId xmlns:a16="http://schemas.microsoft.com/office/drawing/2014/main" id="{00000000-0008-0000-0000-000005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09600" y="29641800"/>
          <a:ext cx="7620" cy="7620"/>
        </a:xfrm>
        <a:prstGeom prst="rect">
          <a:avLst/>
        </a:prstGeom>
        <a:noFill/>
      </xdr:spPr>
    </xdr:pic>
    <xdr:clientData/>
  </xdr:twoCellAnchor>
  <xdr:twoCellAnchor editAs="oneCell">
    <xdr:from>
      <xdr:col>0</xdr:col>
      <xdr:colOff>0</xdr:colOff>
      <xdr:row>2</xdr:row>
      <xdr:rowOff>0</xdr:rowOff>
    </xdr:from>
    <xdr:to>
      <xdr:col>1</xdr:col>
      <xdr:colOff>1901613</xdr:colOff>
      <xdr:row>2</xdr:row>
      <xdr:rowOff>7620</xdr:rowOff>
    </xdr:to>
    <xdr:pic>
      <xdr:nvPicPr>
        <xdr:cNvPr id="1030" name="Picture 6" descr="http://www.matze-on.de/images/i.gif">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9641800"/>
          <a:ext cx="2141220" cy="7620"/>
        </a:xfrm>
        <a:prstGeom prst="rect">
          <a:avLst/>
        </a:prstGeom>
        <a:noFill/>
      </xdr:spPr>
    </xdr:pic>
    <xdr:clientData/>
  </xdr:twoCellAnchor>
  <xdr:twoCellAnchor editAs="oneCell">
    <xdr:from>
      <xdr:col>0</xdr:col>
      <xdr:colOff>0</xdr:colOff>
      <xdr:row>2</xdr:row>
      <xdr:rowOff>0</xdr:rowOff>
    </xdr:from>
    <xdr:to>
      <xdr:col>0</xdr:col>
      <xdr:colOff>7620</xdr:colOff>
      <xdr:row>2</xdr:row>
      <xdr:rowOff>7620</xdr:rowOff>
    </xdr:to>
    <xdr:pic>
      <xdr:nvPicPr>
        <xdr:cNvPr id="1031" name="Picture 7" descr="http://www.matze-on.de/images/i.gif">
          <a:extLst>
            <a:ext uri="{FF2B5EF4-FFF2-40B4-BE49-F238E27FC236}">
              <a16:creationId xmlns:a16="http://schemas.microsoft.com/office/drawing/2014/main" id="{00000000-0008-0000-0000-000007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29824680"/>
          <a:ext cx="7620" cy="7620"/>
        </a:xfrm>
        <a:prstGeom prst="rect">
          <a:avLst/>
        </a:prstGeom>
        <a:noFill/>
      </xdr:spPr>
    </xdr:pic>
    <xdr:clientData/>
  </xdr:twoCellAnchor>
  <xdr:twoCellAnchor editAs="oneCell">
    <xdr:from>
      <xdr:col>0</xdr:col>
      <xdr:colOff>0</xdr:colOff>
      <xdr:row>2</xdr:row>
      <xdr:rowOff>0</xdr:rowOff>
    </xdr:from>
    <xdr:to>
      <xdr:col>0</xdr:col>
      <xdr:colOff>7620</xdr:colOff>
      <xdr:row>2</xdr:row>
      <xdr:rowOff>7620</xdr:rowOff>
    </xdr:to>
    <xdr:pic>
      <xdr:nvPicPr>
        <xdr:cNvPr id="1032" name="Picture 8" descr="http://www.matze-on.de/images/i.gif">
          <a:extLst>
            <a:ext uri="{FF2B5EF4-FFF2-40B4-BE49-F238E27FC236}">
              <a16:creationId xmlns:a16="http://schemas.microsoft.com/office/drawing/2014/main" id="{00000000-0008-0000-0000-000008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438400" y="29824680"/>
          <a:ext cx="7620" cy="7620"/>
        </a:xfrm>
        <a:prstGeom prst="rect">
          <a:avLst/>
        </a:prstGeom>
        <a:noFill/>
      </xdr:spPr>
    </xdr:pic>
    <xdr:clientData/>
  </xdr:twoCellAnchor>
  <xdr:twoCellAnchor editAs="oneCell">
    <xdr:from>
      <xdr:col>0</xdr:col>
      <xdr:colOff>0</xdr:colOff>
      <xdr:row>2</xdr:row>
      <xdr:rowOff>0</xdr:rowOff>
    </xdr:from>
    <xdr:to>
      <xdr:col>0</xdr:col>
      <xdr:colOff>7620</xdr:colOff>
      <xdr:row>2</xdr:row>
      <xdr:rowOff>22860</xdr:rowOff>
    </xdr:to>
    <xdr:pic>
      <xdr:nvPicPr>
        <xdr:cNvPr id="1033" name="Picture 9" descr="http://www.matze-on.de/images/i.gif">
          <a:extLst>
            <a:ext uri="{FF2B5EF4-FFF2-40B4-BE49-F238E27FC236}">
              <a16:creationId xmlns:a16="http://schemas.microsoft.com/office/drawing/2014/main" id="{00000000-0008-0000-0000-000009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30007560"/>
          <a:ext cx="7620" cy="22860"/>
        </a:xfrm>
        <a:prstGeom prst="rect">
          <a:avLst/>
        </a:prstGeom>
        <a:noFill/>
      </xdr:spPr>
    </xdr:pic>
    <xdr:clientData/>
  </xdr:twoCellAnchor>
  <xdr:twoCellAnchor editAs="oneCell">
    <xdr:from>
      <xdr:col>1</xdr:col>
      <xdr:colOff>0</xdr:colOff>
      <xdr:row>2</xdr:row>
      <xdr:rowOff>0</xdr:rowOff>
    </xdr:from>
    <xdr:to>
      <xdr:col>1</xdr:col>
      <xdr:colOff>2134658</xdr:colOff>
      <xdr:row>2</xdr:row>
      <xdr:rowOff>7620</xdr:rowOff>
    </xdr:to>
    <xdr:pic>
      <xdr:nvPicPr>
        <xdr:cNvPr id="10" name="Picture 4" descr="http://www.matze-on.de/images/i.gif">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 y="428625"/>
          <a:ext cx="2134658" cy="7620"/>
        </a:xfrm>
        <a:prstGeom prst="rect">
          <a:avLst/>
        </a:prstGeom>
        <a:noFill/>
      </xdr:spPr>
    </xdr:pic>
    <xdr:clientData/>
  </xdr:twoCellAnchor>
  <xdr:twoCellAnchor editAs="oneCell">
    <xdr:from>
      <xdr:col>1</xdr:col>
      <xdr:colOff>0</xdr:colOff>
      <xdr:row>2</xdr:row>
      <xdr:rowOff>0</xdr:rowOff>
    </xdr:from>
    <xdr:to>
      <xdr:col>1</xdr:col>
      <xdr:colOff>2139738</xdr:colOff>
      <xdr:row>2</xdr:row>
      <xdr:rowOff>7620</xdr:rowOff>
    </xdr:to>
    <xdr:pic>
      <xdr:nvPicPr>
        <xdr:cNvPr id="11" name="Picture 6" descr="http://www.matze-on.de/images/i.gif">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 y="428625"/>
          <a:ext cx="2139738" cy="7620"/>
        </a:xfrm>
        <a:prstGeom prst="rect">
          <a:avLst/>
        </a:prstGeom>
        <a:noFill/>
      </xdr:spPr>
    </xdr:pic>
    <xdr:clientData/>
  </xdr:twoCellAnchor>
  <xdr:twoCellAnchor editAs="oneCell">
    <xdr:from>
      <xdr:col>1</xdr:col>
      <xdr:colOff>0</xdr:colOff>
      <xdr:row>2</xdr:row>
      <xdr:rowOff>0</xdr:rowOff>
    </xdr:from>
    <xdr:to>
      <xdr:col>1</xdr:col>
      <xdr:colOff>2134658</xdr:colOff>
      <xdr:row>2</xdr:row>
      <xdr:rowOff>7620</xdr:rowOff>
    </xdr:to>
    <xdr:pic>
      <xdr:nvPicPr>
        <xdr:cNvPr id="13" name="Picture 4" descr="http://www.matze-on.de/images/i.gif">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 y="428625"/>
          <a:ext cx="2134658" cy="7620"/>
        </a:xfrm>
        <a:prstGeom prst="rect">
          <a:avLst/>
        </a:prstGeom>
        <a:noFill/>
      </xdr:spPr>
    </xdr:pic>
    <xdr:clientData/>
  </xdr:twoCellAnchor>
  <xdr:twoCellAnchor editAs="oneCell">
    <xdr:from>
      <xdr:col>1</xdr:col>
      <xdr:colOff>0</xdr:colOff>
      <xdr:row>2</xdr:row>
      <xdr:rowOff>0</xdr:rowOff>
    </xdr:from>
    <xdr:to>
      <xdr:col>1</xdr:col>
      <xdr:colOff>2139738</xdr:colOff>
      <xdr:row>2</xdr:row>
      <xdr:rowOff>7620</xdr:rowOff>
    </xdr:to>
    <xdr:pic>
      <xdr:nvPicPr>
        <xdr:cNvPr id="14" name="Picture 6" descr="http://www.matze-on.de/images/i.gif">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 y="428625"/>
          <a:ext cx="2139738" cy="7620"/>
        </a:xfrm>
        <a:prstGeom prst="rect">
          <a:avLst/>
        </a:prstGeom>
        <a:noFill/>
      </xdr:spPr>
    </xdr:pic>
    <xdr:clientData/>
  </xdr:twoCellAnchor>
  <xdr:twoCellAnchor editAs="oneCell">
    <xdr:from>
      <xdr:col>1</xdr:col>
      <xdr:colOff>0</xdr:colOff>
      <xdr:row>2</xdr:row>
      <xdr:rowOff>0</xdr:rowOff>
    </xdr:from>
    <xdr:to>
      <xdr:col>1</xdr:col>
      <xdr:colOff>2134658</xdr:colOff>
      <xdr:row>2</xdr:row>
      <xdr:rowOff>7620</xdr:rowOff>
    </xdr:to>
    <xdr:pic>
      <xdr:nvPicPr>
        <xdr:cNvPr id="16" name="Picture 4" descr="http://www.matze-on.de/images/i.gif">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 y="428625"/>
          <a:ext cx="2134658" cy="7620"/>
        </a:xfrm>
        <a:prstGeom prst="rect">
          <a:avLst/>
        </a:prstGeom>
        <a:noFill/>
      </xdr:spPr>
    </xdr:pic>
    <xdr:clientData/>
  </xdr:twoCellAnchor>
  <xdr:twoCellAnchor editAs="oneCell">
    <xdr:from>
      <xdr:col>1</xdr:col>
      <xdr:colOff>0</xdr:colOff>
      <xdr:row>2</xdr:row>
      <xdr:rowOff>0</xdr:rowOff>
    </xdr:from>
    <xdr:to>
      <xdr:col>1</xdr:col>
      <xdr:colOff>2139738</xdr:colOff>
      <xdr:row>2</xdr:row>
      <xdr:rowOff>7620</xdr:rowOff>
    </xdr:to>
    <xdr:pic>
      <xdr:nvPicPr>
        <xdr:cNvPr id="17" name="Picture 6" descr="http://www.matze-on.de/images/i.gif">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 y="428625"/>
          <a:ext cx="2139738" cy="7620"/>
        </a:xfrm>
        <a:prstGeom prst="rect">
          <a:avLst/>
        </a:prstGeom>
        <a:noFill/>
      </xdr:spPr>
    </xdr:pic>
    <xdr:clientData/>
  </xdr:twoCellAnchor>
  <xdr:twoCellAnchor editAs="oneCell">
    <xdr:from>
      <xdr:col>1</xdr:col>
      <xdr:colOff>0</xdr:colOff>
      <xdr:row>2</xdr:row>
      <xdr:rowOff>0</xdr:rowOff>
    </xdr:from>
    <xdr:to>
      <xdr:col>1</xdr:col>
      <xdr:colOff>2134658</xdr:colOff>
      <xdr:row>2</xdr:row>
      <xdr:rowOff>7620</xdr:rowOff>
    </xdr:to>
    <xdr:pic>
      <xdr:nvPicPr>
        <xdr:cNvPr id="19" name="Picture 4" descr="http://www.matze-on.de/images/i.gif">
          <a:extLst>
            <a:ext uri="{FF2B5EF4-FFF2-40B4-BE49-F238E27FC236}">
              <a16:creationId xmlns:a16="http://schemas.microsoft.com/office/drawing/2014/main" id="{00000000-0008-0000-0000-00001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66700" y="419100"/>
          <a:ext cx="2134658" cy="7620"/>
        </a:xfrm>
        <a:prstGeom prst="rect">
          <a:avLst/>
        </a:prstGeom>
        <a:noFill/>
      </xdr:spPr>
    </xdr:pic>
    <xdr:clientData/>
  </xdr:twoCellAnchor>
  <xdr:twoCellAnchor editAs="oneCell">
    <xdr:from>
      <xdr:col>1</xdr:col>
      <xdr:colOff>0</xdr:colOff>
      <xdr:row>2</xdr:row>
      <xdr:rowOff>0</xdr:rowOff>
    </xdr:from>
    <xdr:to>
      <xdr:col>1</xdr:col>
      <xdr:colOff>2139738</xdr:colOff>
      <xdr:row>2</xdr:row>
      <xdr:rowOff>7620</xdr:rowOff>
    </xdr:to>
    <xdr:pic>
      <xdr:nvPicPr>
        <xdr:cNvPr id="20" name="Picture 6" descr="http://www.matze-on.de/images/i.gif">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66700" y="419100"/>
          <a:ext cx="2139738" cy="7620"/>
        </a:xfrm>
        <a:prstGeom prst="rect">
          <a:avLst/>
        </a:prstGeom>
        <a:noFill/>
      </xdr:spPr>
    </xdr:pic>
    <xdr:clientData/>
  </xdr:twoCellAnchor>
  <xdr:oneCellAnchor>
    <xdr:from>
      <xdr:col>1</xdr:col>
      <xdr:colOff>3432101</xdr:colOff>
      <xdr:row>42</xdr:row>
      <xdr:rowOff>110066</xdr:rowOff>
    </xdr:from>
    <xdr:ext cx="3618516" cy="529167"/>
    <mc:AlternateContent xmlns:mc="http://schemas.openxmlformats.org/markup-compatibility/2006" xmlns:a14="http://schemas.microsoft.com/office/drawing/2010/main">
      <mc:Choice Requires="a14">
        <xdr:sp macro="" textlink="">
          <xdr:nvSpPr>
            <xdr:cNvPr id="18" name="Textfeld 17">
              <a:extLst>
                <a:ext uri="{FF2B5EF4-FFF2-40B4-BE49-F238E27FC236}">
                  <a16:creationId xmlns:a16="http://schemas.microsoft.com/office/drawing/2014/main" id="{00000000-0008-0000-0000-000012000000}"/>
                </a:ext>
              </a:extLst>
            </xdr:cNvPr>
            <xdr:cNvSpPr txBox="1"/>
          </xdr:nvSpPr>
          <xdr:spPr>
            <a:xfrm>
              <a:off x="3675518" y="8830733"/>
              <a:ext cx="3618516" cy="5291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de-DE" sz="1400"/>
                <a:t>Volllaststunden</a:t>
              </a:r>
              <a:r>
                <a:rPr lang="de-DE" sz="1400" baseline="0"/>
                <a:t> </a:t>
              </a:r>
              <a14:m>
                <m:oMath xmlns:m="http://schemas.openxmlformats.org/officeDocument/2006/math">
                  <m:r>
                    <a:rPr lang="de-DE" sz="1400" i="1">
                      <a:latin typeface="Cambria Math" panose="02040503050406030204" pitchFamily="18" charset="0"/>
                    </a:rPr>
                    <m:t>=</m:t>
                  </m:r>
                  <m:f>
                    <m:fPr>
                      <m:ctrlPr>
                        <a:rPr lang="de-DE" sz="1400" i="1">
                          <a:latin typeface="Cambria Math" panose="02040503050406030204" pitchFamily="18" charset="0"/>
                        </a:rPr>
                      </m:ctrlPr>
                    </m:fPr>
                    <m:num>
                      <m:r>
                        <a:rPr lang="de-DE" sz="1400" b="0" i="1">
                          <a:latin typeface="Cambria Math" panose="02040503050406030204" pitchFamily="18" charset="0"/>
                        </a:rPr>
                        <m:t>𝐽𝑎h𝑟𝑒𝑠𝑝𝑟𝑜𝑑𝑢𝑘𝑡𝑖𝑜𝑛</m:t>
                      </m:r>
                      <m:r>
                        <a:rPr lang="de-DE" sz="1400" b="0" i="1">
                          <a:latin typeface="Cambria Math" panose="02040503050406030204" pitchFamily="18" charset="0"/>
                        </a:rPr>
                        <m:t> [</m:t>
                      </m:r>
                      <m:r>
                        <a:rPr lang="de-DE" sz="1400" b="0" i="1">
                          <a:latin typeface="Cambria Math" panose="02040503050406030204" pitchFamily="18" charset="0"/>
                        </a:rPr>
                        <m:t>𝑘𝑊h</m:t>
                      </m:r>
                      <m:r>
                        <a:rPr lang="de-DE" sz="1400" b="0" i="1">
                          <a:latin typeface="Cambria Math" panose="02040503050406030204" pitchFamily="18" charset="0"/>
                        </a:rPr>
                        <m:t>]</m:t>
                      </m:r>
                    </m:num>
                    <m:den>
                      <m:r>
                        <a:rPr lang="de-DE" sz="1400" b="0" i="1">
                          <a:latin typeface="Cambria Math" panose="02040503050406030204" pitchFamily="18" charset="0"/>
                        </a:rPr>
                        <m:t>𝑁𝑒𝑛𝑛𝑙𝑒𝑖𝑠𝑡𝑢𝑛𝑔</m:t>
                      </m:r>
                      <m:r>
                        <a:rPr lang="de-DE" sz="1400" b="0" i="1">
                          <a:latin typeface="Cambria Math" panose="02040503050406030204" pitchFamily="18" charset="0"/>
                        </a:rPr>
                        <m:t> [</m:t>
                      </m:r>
                      <m:r>
                        <a:rPr lang="de-DE" sz="1400" b="0" i="1">
                          <a:latin typeface="Cambria Math" panose="02040503050406030204" pitchFamily="18" charset="0"/>
                        </a:rPr>
                        <m:t>𝑘𝑊</m:t>
                      </m:r>
                      <m:r>
                        <a:rPr lang="de-DE" sz="1400" b="0" i="1">
                          <a:latin typeface="Cambria Math" panose="02040503050406030204" pitchFamily="18" charset="0"/>
                        </a:rPr>
                        <m:t>]</m:t>
                      </m:r>
                    </m:den>
                  </m:f>
                </m:oMath>
              </a14:m>
              <a:endParaRPr lang="de-DE" sz="1400"/>
            </a:p>
          </xdr:txBody>
        </xdr:sp>
      </mc:Choice>
      <mc:Fallback xmlns="">
        <xdr:sp macro="" textlink="">
          <xdr:nvSpPr>
            <xdr:cNvPr id="18" name="Textfeld 17">
              <a:extLst>
                <a:ext uri="{FF2B5EF4-FFF2-40B4-BE49-F238E27FC236}">
                  <a16:creationId xmlns:a16="http://schemas.microsoft.com/office/drawing/2014/main" id="{00000000-0008-0000-0000-000012000000}"/>
                </a:ext>
              </a:extLst>
            </xdr:cNvPr>
            <xdr:cNvSpPr txBox="1"/>
          </xdr:nvSpPr>
          <xdr:spPr>
            <a:xfrm>
              <a:off x="3675518" y="8830733"/>
              <a:ext cx="3618516" cy="5291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de-DE" sz="1400"/>
                <a:t>Volllaststunden</a:t>
              </a:r>
              <a:r>
                <a:rPr lang="de-DE" sz="1400" baseline="0"/>
                <a:t> </a:t>
              </a:r>
              <a:r>
                <a:rPr lang="de-DE" sz="1400" i="0">
                  <a:latin typeface="Cambria Math" panose="02040503050406030204" pitchFamily="18" charset="0"/>
                </a:rPr>
                <a:t>=(</a:t>
              </a:r>
              <a:r>
                <a:rPr lang="de-DE" sz="1400" b="0" i="0">
                  <a:latin typeface="Cambria Math" panose="02040503050406030204" pitchFamily="18" charset="0"/>
                </a:rPr>
                <a:t>𝐽𝑎ℎ𝑟𝑒𝑠𝑝𝑟𝑜𝑑𝑢𝑘𝑡𝑖𝑜𝑛 [𝑘𝑊ℎ])/(𝑁𝑒𝑛𝑛𝑙𝑒𝑖𝑠𝑡𝑢𝑛𝑔 [𝑘𝑊])</a:t>
              </a:r>
              <a:endParaRPr lang="de-DE" sz="14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1600200</xdr:colOff>
          <xdr:row>41</xdr:row>
          <xdr:rowOff>7620</xdr:rowOff>
        </xdr:from>
        <xdr:to>
          <xdr:col>12</xdr:col>
          <xdr:colOff>1965960</xdr:colOff>
          <xdr:row>42</xdr:row>
          <xdr:rowOff>76200</xdr:rowOff>
        </xdr:to>
        <xdr:sp macro="" textlink="">
          <xdr:nvSpPr>
            <xdr:cNvPr id="2059" name="Kontrollkästchen 11" hidden="1">
              <a:extLst>
                <a:ext uri="{63B3BB69-23CF-44E3-9099-C40C66FF867C}">
                  <a14:compatExt spid="_x0000_s2059"/>
                </a:ext>
                <a:ext uri="{FF2B5EF4-FFF2-40B4-BE49-F238E27FC236}">
                  <a16:creationId xmlns:a16="http://schemas.microsoft.com/office/drawing/2014/main" id="{00000000-0008-0000-02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1417320</xdr:colOff>
          <xdr:row>41</xdr:row>
          <xdr:rowOff>160020</xdr:rowOff>
        </xdr:from>
        <xdr:to>
          <xdr:col>12</xdr:col>
          <xdr:colOff>1790700</xdr:colOff>
          <xdr:row>43</xdr:row>
          <xdr:rowOff>45720</xdr:rowOff>
        </xdr:to>
        <xdr:sp macro="" textlink="">
          <xdr:nvSpPr>
            <xdr:cNvPr id="2060" name="Kontrollkästchen 12"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1607820</xdr:colOff>
          <xdr:row>41</xdr:row>
          <xdr:rowOff>160020</xdr:rowOff>
        </xdr:from>
        <xdr:to>
          <xdr:col>12</xdr:col>
          <xdr:colOff>1981200</xdr:colOff>
          <xdr:row>43</xdr:row>
          <xdr:rowOff>76200</xdr:rowOff>
        </xdr:to>
        <xdr:sp macro="" textlink="">
          <xdr:nvSpPr>
            <xdr:cNvPr id="2061" name="Kontrollkästchen 13" hidden="1">
              <a:extLst>
                <a:ext uri="{63B3BB69-23CF-44E3-9099-C40C66FF867C}">
                  <a14:compatExt spid="_x0000_s2061"/>
                </a:ext>
                <a:ext uri="{FF2B5EF4-FFF2-40B4-BE49-F238E27FC236}">
                  <a16:creationId xmlns:a16="http://schemas.microsoft.com/office/drawing/2014/main" id="{00000000-0008-0000-02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ea typeface="Segoe UI"/>
                  <a:cs typeface="Segoe UI"/>
                </a:rPr>
                <a:t>A&amp;I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1607820</xdr:colOff>
          <xdr:row>42</xdr:row>
          <xdr:rowOff>152400</xdr:rowOff>
        </xdr:from>
        <xdr:to>
          <xdr:col>12</xdr:col>
          <xdr:colOff>1981200</xdr:colOff>
          <xdr:row>44</xdr:row>
          <xdr:rowOff>45720</xdr:rowOff>
        </xdr:to>
        <xdr:sp macro="" textlink="">
          <xdr:nvSpPr>
            <xdr:cNvPr id="2062" name="Kontrollkästchen 14" hidden="1">
              <a:extLst>
                <a:ext uri="{63B3BB69-23CF-44E3-9099-C40C66FF867C}">
                  <a14:compatExt spid="_x0000_s2062"/>
                </a:ext>
                <a:ext uri="{FF2B5EF4-FFF2-40B4-BE49-F238E27FC236}">
                  <a16:creationId xmlns:a16="http://schemas.microsoft.com/office/drawing/2014/main" id="{00000000-0008-0000-0200-00000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1607820</xdr:colOff>
          <xdr:row>43</xdr:row>
          <xdr:rowOff>160020</xdr:rowOff>
        </xdr:from>
        <xdr:to>
          <xdr:col>12</xdr:col>
          <xdr:colOff>1981200</xdr:colOff>
          <xdr:row>45</xdr:row>
          <xdr:rowOff>45720</xdr:rowOff>
        </xdr:to>
        <xdr:sp macro="" textlink="">
          <xdr:nvSpPr>
            <xdr:cNvPr id="2063" name="Kontrollkästchen 15" hidden="1">
              <a:extLst>
                <a:ext uri="{63B3BB69-23CF-44E3-9099-C40C66FF867C}">
                  <a14:compatExt spid="_x0000_s2063"/>
                </a:ext>
                <a:ext uri="{FF2B5EF4-FFF2-40B4-BE49-F238E27FC236}">
                  <a16:creationId xmlns:a16="http://schemas.microsoft.com/office/drawing/2014/main" id="{00000000-0008-0000-0200-00000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1607820</xdr:colOff>
          <xdr:row>44</xdr:row>
          <xdr:rowOff>160020</xdr:rowOff>
        </xdr:from>
        <xdr:to>
          <xdr:col>12</xdr:col>
          <xdr:colOff>1981200</xdr:colOff>
          <xdr:row>46</xdr:row>
          <xdr:rowOff>76200</xdr:rowOff>
        </xdr:to>
        <xdr:sp macro="" textlink="">
          <xdr:nvSpPr>
            <xdr:cNvPr id="2064" name="Kontrollkästchen 16"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1600200</xdr:colOff>
          <xdr:row>41</xdr:row>
          <xdr:rowOff>7620</xdr:rowOff>
        </xdr:from>
        <xdr:to>
          <xdr:col>12</xdr:col>
          <xdr:colOff>1965960</xdr:colOff>
          <xdr:row>42</xdr:row>
          <xdr:rowOff>45720</xdr:rowOff>
        </xdr:to>
        <xdr:sp macro="" textlink="">
          <xdr:nvSpPr>
            <xdr:cNvPr id="26643" name="Check Box 19" hidden="1">
              <a:extLst>
                <a:ext uri="{63B3BB69-23CF-44E3-9099-C40C66FF867C}">
                  <a14:compatExt spid="_x0000_s26643"/>
                </a:ext>
                <a:ext uri="{FF2B5EF4-FFF2-40B4-BE49-F238E27FC236}">
                  <a16:creationId xmlns:a16="http://schemas.microsoft.com/office/drawing/2014/main" id="{00000000-0008-0000-0300-000013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1417320</xdr:colOff>
          <xdr:row>41</xdr:row>
          <xdr:rowOff>160020</xdr:rowOff>
        </xdr:from>
        <xdr:to>
          <xdr:col>12</xdr:col>
          <xdr:colOff>1790700</xdr:colOff>
          <xdr:row>42</xdr:row>
          <xdr:rowOff>182880</xdr:rowOff>
        </xdr:to>
        <xdr:sp macro="" textlink="">
          <xdr:nvSpPr>
            <xdr:cNvPr id="26644" name="Check Box 20" hidden="1">
              <a:extLst>
                <a:ext uri="{63B3BB69-23CF-44E3-9099-C40C66FF867C}">
                  <a14:compatExt spid="_x0000_s26644"/>
                </a:ext>
                <a:ext uri="{FF2B5EF4-FFF2-40B4-BE49-F238E27FC236}">
                  <a16:creationId xmlns:a16="http://schemas.microsoft.com/office/drawing/2014/main" id="{00000000-0008-0000-0300-000014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1607820</xdr:colOff>
          <xdr:row>41</xdr:row>
          <xdr:rowOff>160020</xdr:rowOff>
        </xdr:from>
        <xdr:to>
          <xdr:col>12</xdr:col>
          <xdr:colOff>1981200</xdr:colOff>
          <xdr:row>43</xdr:row>
          <xdr:rowOff>7620</xdr:rowOff>
        </xdr:to>
        <xdr:sp macro="" textlink="">
          <xdr:nvSpPr>
            <xdr:cNvPr id="26645" name="Check Box 21" hidden="1">
              <a:extLst>
                <a:ext uri="{63B3BB69-23CF-44E3-9099-C40C66FF867C}">
                  <a14:compatExt spid="_x0000_s26645"/>
                </a:ext>
                <a:ext uri="{FF2B5EF4-FFF2-40B4-BE49-F238E27FC236}">
                  <a16:creationId xmlns:a16="http://schemas.microsoft.com/office/drawing/2014/main" id="{00000000-0008-0000-0300-000015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ea typeface="Segoe UI"/>
                  <a:cs typeface="Segoe UI"/>
                </a:rPr>
                <a:t>A&amp;I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1607820</xdr:colOff>
          <xdr:row>42</xdr:row>
          <xdr:rowOff>152400</xdr:rowOff>
        </xdr:from>
        <xdr:to>
          <xdr:col>12</xdr:col>
          <xdr:colOff>1981200</xdr:colOff>
          <xdr:row>43</xdr:row>
          <xdr:rowOff>182880</xdr:rowOff>
        </xdr:to>
        <xdr:sp macro="" textlink="">
          <xdr:nvSpPr>
            <xdr:cNvPr id="26646" name="Check Box 22" hidden="1">
              <a:extLst>
                <a:ext uri="{63B3BB69-23CF-44E3-9099-C40C66FF867C}">
                  <a14:compatExt spid="_x0000_s26646"/>
                </a:ext>
                <a:ext uri="{FF2B5EF4-FFF2-40B4-BE49-F238E27FC236}">
                  <a16:creationId xmlns:a16="http://schemas.microsoft.com/office/drawing/2014/main" id="{00000000-0008-0000-0300-000016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1607820</xdr:colOff>
          <xdr:row>43</xdr:row>
          <xdr:rowOff>160020</xdr:rowOff>
        </xdr:from>
        <xdr:to>
          <xdr:col>12</xdr:col>
          <xdr:colOff>1981200</xdr:colOff>
          <xdr:row>44</xdr:row>
          <xdr:rowOff>182880</xdr:rowOff>
        </xdr:to>
        <xdr:sp macro="" textlink="">
          <xdr:nvSpPr>
            <xdr:cNvPr id="26647" name="Check Box 23" hidden="1">
              <a:extLst>
                <a:ext uri="{63B3BB69-23CF-44E3-9099-C40C66FF867C}">
                  <a14:compatExt spid="_x0000_s26647"/>
                </a:ext>
                <a:ext uri="{FF2B5EF4-FFF2-40B4-BE49-F238E27FC236}">
                  <a16:creationId xmlns:a16="http://schemas.microsoft.com/office/drawing/2014/main" id="{00000000-0008-0000-0300-000017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1607820</xdr:colOff>
          <xdr:row>44</xdr:row>
          <xdr:rowOff>160020</xdr:rowOff>
        </xdr:from>
        <xdr:to>
          <xdr:col>12</xdr:col>
          <xdr:colOff>1981200</xdr:colOff>
          <xdr:row>46</xdr:row>
          <xdr:rowOff>30480</xdr:rowOff>
        </xdr:to>
        <xdr:sp macro="" textlink="">
          <xdr:nvSpPr>
            <xdr:cNvPr id="26648" name="Check Box 24" hidden="1">
              <a:extLst>
                <a:ext uri="{63B3BB69-23CF-44E3-9099-C40C66FF867C}">
                  <a14:compatExt spid="_x0000_s26648"/>
                </a:ext>
                <a:ext uri="{FF2B5EF4-FFF2-40B4-BE49-F238E27FC236}">
                  <a16:creationId xmlns:a16="http://schemas.microsoft.com/office/drawing/2014/main" id="{00000000-0008-0000-0300-000018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1600200</xdr:colOff>
          <xdr:row>41</xdr:row>
          <xdr:rowOff>7620</xdr:rowOff>
        </xdr:from>
        <xdr:to>
          <xdr:col>12</xdr:col>
          <xdr:colOff>1965960</xdr:colOff>
          <xdr:row>42</xdr:row>
          <xdr:rowOff>76200</xdr:rowOff>
        </xdr:to>
        <xdr:sp macro="" textlink="">
          <xdr:nvSpPr>
            <xdr:cNvPr id="17416" name="Check Box 8" hidden="1">
              <a:extLst>
                <a:ext uri="{63B3BB69-23CF-44E3-9099-C40C66FF867C}">
                  <a14:compatExt spid="_x0000_s17416"/>
                </a:ext>
                <a:ext uri="{FF2B5EF4-FFF2-40B4-BE49-F238E27FC236}">
                  <a16:creationId xmlns:a16="http://schemas.microsoft.com/office/drawing/2014/main" id="{00000000-0008-0000-0400-000008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1417320</xdr:colOff>
          <xdr:row>41</xdr:row>
          <xdr:rowOff>160020</xdr:rowOff>
        </xdr:from>
        <xdr:to>
          <xdr:col>12</xdr:col>
          <xdr:colOff>1790700</xdr:colOff>
          <xdr:row>43</xdr:row>
          <xdr:rowOff>45720</xdr:rowOff>
        </xdr:to>
        <xdr:sp macro="" textlink="">
          <xdr:nvSpPr>
            <xdr:cNvPr id="17417" name="Check Box 9" hidden="1">
              <a:extLst>
                <a:ext uri="{63B3BB69-23CF-44E3-9099-C40C66FF867C}">
                  <a14:compatExt spid="_x0000_s17417"/>
                </a:ext>
                <a:ext uri="{FF2B5EF4-FFF2-40B4-BE49-F238E27FC236}">
                  <a16:creationId xmlns:a16="http://schemas.microsoft.com/office/drawing/2014/main" id="{00000000-0008-0000-0400-000009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1607820</xdr:colOff>
          <xdr:row>41</xdr:row>
          <xdr:rowOff>160020</xdr:rowOff>
        </xdr:from>
        <xdr:to>
          <xdr:col>12</xdr:col>
          <xdr:colOff>1981200</xdr:colOff>
          <xdr:row>43</xdr:row>
          <xdr:rowOff>76200</xdr:rowOff>
        </xdr:to>
        <xdr:sp macro="" textlink="">
          <xdr:nvSpPr>
            <xdr:cNvPr id="17418" name="Check Box 10" hidden="1">
              <a:extLst>
                <a:ext uri="{63B3BB69-23CF-44E3-9099-C40C66FF867C}">
                  <a14:compatExt spid="_x0000_s17418"/>
                </a:ext>
                <a:ext uri="{FF2B5EF4-FFF2-40B4-BE49-F238E27FC236}">
                  <a16:creationId xmlns:a16="http://schemas.microsoft.com/office/drawing/2014/main" id="{00000000-0008-0000-0400-00000A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ea typeface="Segoe UI"/>
                  <a:cs typeface="Segoe UI"/>
                </a:rPr>
                <a:t>A&amp;I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1607820</xdr:colOff>
          <xdr:row>42</xdr:row>
          <xdr:rowOff>152400</xdr:rowOff>
        </xdr:from>
        <xdr:to>
          <xdr:col>12</xdr:col>
          <xdr:colOff>1981200</xdr:colOff>
          <xdr:row>44</xdr:row>
          <xdr:rowOff>45720</xdr:rowOff>
        </xdr:to>
        <xdr:sp macro="" textlink="">
          <xdr:nvSpPr>
            <xdr:cNvPr id="17419" name="Check Box 11" hidden="1">
              <a:extLst>
                <a:ext uri="{63B3BB69-23CF-44E3-9099-C40C66FF867C}">
                  <a14:compatExt spid="_x0000_s17419"/>
                </a:ext>
                <a:ext uri="{FF2B5EF4-FFF2-40B4-BE49-F238E27FC236}">
                  <a16:creationId xmlns:a16="http://schemas.microsoft.com/office/drawing/2014/main" id="{00000000-0008-0000-0400-00000B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1607820</xdr:colOff>
          <xdr:row>43</xdr:row>
          <xdr:rowOff>160020</xdr:rowOff>
        </xdr:from>
        <xdr:to>
          <xdr:col>12</xdr:col>
          <xdr:colOff>1981200</xdr:colOff>
          <xdr:row>45</xdr:row>
          <xdr:rowOff>45720</xdr:rowOff>
        </xdr:to>
        <xdr:sp macro="" textlink="">
          <xdr:nvSpPr>
            <xdr:cNvPr id="17420" name="Check Box 12" hidden="1">
              <a:extLst>
                <a:ext uri="{63B3BB69-23CF-44E3-9099-C40C66FF867C}">
                  <a14:compatExt spid="_x0000_s17420"/>
                </a:ext>
                <a:ext uri="{FF2B5EF4-FFF2-40B4-BE49-F238E27FC236}">
                  <a16:creationId xmlns:a16="http://schemas.microsoft.com/office/drawing/2014/main" id="{00000000-0008-0000-0400-00000C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1607820</xdr:colOff>
          <xdr:row>44</xdr:row>
          <xdr:rowOff>160020</xdr:rowOff>
        </xdr:from>
        <xdr:to>
          <xdr:col>12</xdr:col>
          <xdr:colOff>1981200</xdr:colOff>
          <xdr:row>46</xdr:row>
          <xdr:rowOff>76200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400-00000D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45720</xdr:colOff>
          <xdr:row>1</xdr:row>
          <xdr:rowOff>38100</xdr:rowOff>
        </xdr:from>
        <xdr:to>
          <xdr:col>6</xdr:col>
          <xdr:colOff>30480</xdr:colOff>
          <xdr:row>3</xdr:row>
          <xdr:rowOff>38100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05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rPr>
                <a:t>Aktualisieren</a:t>
              </a:r>
            </a:p>
          </xdr:txBody>
        </xdr:sp>
        <xdr:clientData fPrintsWithSheet="0"/>
      </xdr:twoCellAnchor>
    </mc:Choice>
    <mc:Fallback/>
  </mc:AlternateContent>
  <xdr:twoCellAnchor editAs="oneCell">
    <xdr:from>
      <xdr:col>2</xdr:col>
      <xdr:colOff>3137771</xdr:colOff>
      <xdr:row>0</xdr:row>
      <xdr:rowOff>20412</xdr:rowOff>
    </xdr:from>
    <xdr:to>
      <xdr:col>3</xdr:col>
      <xdr:colOff>659945</xdr:colOff>
      <xdr:row>0</xdr:row>
      <xdr:rowOff>400822</xdr:rowOff>
    </xdr:to>
    <xdr:pic>
      <xdr:nvPicPr>
        <xdr:cNvPr id="4" name="Grafik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71321" y="20412"/>
          <a:ext cx="1303599" cy="376328"/>
        </a:xfrm>
        <a:prstGeom prst="rect">
          <a:avLst/>
        </a:prstGeom>
      </xdr:spPr>
    </xdr:pic>
    <xdr:clientData/>
  </xdr:twoCellAnchor>
  <xdr:twoCellAnchor editAs="oneCell">
    <xdr:from>
      <xdr:col>3</xdr:col>
      <xdr:colOff>20412</xdr:colOff>
      <xdr:row>2</xdr:row>
      <xdr:rowOff>81645</xdr:rowOff>
    </xdr:from>
    <xdr:to>
      <xdr:col>3</xdr:col>
      <xdr:colOff>692306</xdr:colOff>
      <xdr:row>3</xdr:row>
      <xdr:rowOff>115660</xdr:rowOff>
    </xdr:to>
    <xdr:pic>
      <xdr:nvPicPr>
        <xdr:cNvPr id="5" name="Grafik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38108" y="571502"/>
          <a:ext cx="671894" cy="27214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45720</xdr:colOff>
          <xdr:row>1</xdr:row>
          <xdr:rowOff>38100</xdr:rowOff>
        </xdr:from>
        <xdr:to>
          <xdr:col>6</xdr:col>
          <xdr:colOff>30480</xdr:colOff>
          <xdr:row>3</xdr:row>
          <xdr:rowOff>38100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6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rPr>
                <a:t>Aktualisieren</a:t>
              </a:r>
            </a:p>
          </xdr:txBody>
        </xdr:sp>
        <xdr:clientData fPrintsWithSheet="0"/>
      </xdr:twoCellAnchor>
    </mc:Choice>
    <mc:Fallback/>
  </mc:AlternateContent>
  <xdr:twoCellAnchor editAs="oneCell">
    <xdr:from>
      <xdr:col>2</xdr:col>
      <xdr:colOff>3137771</xdr:colOff>
      <xdr:row>0</xdr:row>
      <xdr:rowOff>20412</xdr:rowOff>
    </xdr:from>
    <xdr:to>
      <xdr:col>3</xdr:col>
      <xdr:colOff>659945</xdr:colOff>
      <xdr:row>0</xdr:row>
      <xdr:rowOff>398101</xdr:rowOff>
    </xdr:to>
    <xdr:pic>
      <xdr:nvPicPr>
        <xdr:cNvPr id="4" name="Grafik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71321" y="20412"/>
          <a:ext cx="1303599" cy="380410"/>
        </a:xfrm>
        <a:prstGeom prst="rect">
          <a:avLst/>
        </a:prstGeom>
      </xdr:spPr>
    </xdr:pic>
    <xdr:clientData/>
  </xdr:twoCellAnchor>
  <xdr:twoCellAnchor editAs="oneCell">
    <xdr:from>
      <xdr:col>3</xdr:col>
      <xdr:colOff>10551</xdr:colOff>
      <xdr:row>2</xdr:row>
      <xdr:rowOff>81644</xdr:rowOff>
    </xdr:from>
    <xdr:to>
      <xdr:col>3</xdr:col>
      <xdr:colOff>699248</xdr:colOff>
      <xdr:row>3</xdr:row>
      <xdr:rowOff>122465</xdr:rowOff>
    </xdr:to>
    <xdr:pic>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28247" y="564698"/>
          <a:ext cx="688697" cy="2789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45720</xdr:colOff>
          <xdr:row>1</xdr:row>
          <xdr:rowOff>38100</xdr:rowOff>
        </xdr:from>
        <xdr:to>
          <xdr:col>6</xdr:col>
          <xdr:colOff>30480</xdr:colOff>
          <xdr:row>3</xdr:row>
          <xdr:rowOff>38100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7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rPr>
                <a:t>Aktualisieren</a:t>
              </a:r>
            </a:p>
          </xdr:txBody>
        </xdr:sp>
        <xdr:clientData fPrintsWithSheet="0"/>
      </xdr:twoCellAnchor>
    </mc:Choice>
    <mc:Fallback/>
  </mc:AlternateContent>
  <xdr:twoCellAnchor editAs="oneCell">
    <xdr:from>
      <xdr:col>2</xdr:col>
      <xdr:colOff>3137771</xdr:colOff>
      <xdr:row>0</xdr:row>
      <xdr:rowOff>20412</xdr:rowOff>
    </xdr:from>
    <xdr:to>
      <xdr:col>3</xdr:col>
      <xdr:colOff>659945</xdr:colOff>
      <xdr:row>0</xdr:row>
      <xdr:rowOff>398101</xdr:rowOff>
    </xdr:to>
    <xdr:pic>
      <xdr:nvPicPr>
        <xdr:cNvPr id="4" name="Grafik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71321" y="20412"/>
          <a:ext cx="1303599" cy="380410"/>
        </a:xfrm>
        <a:prstGeom prst="rect">
          <a:avLst/>
        </a:prstGeom>
      </xdr:spPr>
    </xdr:pic>
    <xdr:clientData/>
  </xdr:twoCellAnchor>
  <xdr:twoCellAnchor editAs="oneCell">
    <xdr:from>
      <xdr:col>3</xdr:col>
      <xdr:colOff>20543</xdr:colOff>
      <xdr:row>2</xdr:row>
      <xdr:rowOff>88448</xdr:rowOff>
    </xdr:from>
    <xdr:to>
      <xdr:col>3</xdr:col>
      <xdr:colOff>692442</xdr:colOff>
      <xdr:row>3</xdr:row>
      <xdr:rowOff>122465</xdr:rowOff>
    </xdr:to>
    <xdr:pic>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38239" y="571502"/>
          <a:ext cx="671899" cy="27214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7620</xdr:rowOff>
        </xdr:from>
        <xdr:to>
          <xdr:col>6</xdr:col>
          <xdr:colOff>762000</xdr:colOff>
          <xdr:row>3</xdr:row>
          <xdr:rowOff>121920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800-000001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rPr>
                <a:t>Aktualisieren</a:t>
              </a:r>
            </a:p>
          </xdr:txBody>
        </xdr:sp>
        <xdr:clientData fPrintsWithSheet="0"/>
      </xdr:twoCellAnchor>
    </mc:Choice>
    <mc:Fallback/>
  </mc:AlternateContent>
  <xdr:twoCellAnchor editAs="oneCell">
    <xdr:from>
      <xdr:col>2</xdr:col>
      <xdr:colOff>3226219</xdr:colOff>
      <xdr:row>0</xdr:row>
      <xdr:rowOff>40822</xdr:rowOff>
    </xdr:from>
    <xdr:to>
      <xdr:col>4</xdr:col>
      <xdr:colOff>376918</xdr:colOff>
      <xdr:row>1</xdr:row>
      <xdr:rowOff>2132</xdr:rowOff>
    </xdr:to>
    <xdr:pic>
      <xdr:nvPicPr>
        <xdr:cNvPr id="4" name="Grafik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06701" y="40822"/>
          <a:ext cx="1300878" cy="383131"/>
        </a:xfrm>
        <a:prstGeom prst="rect">
          <a:avLst/>
        </a:prstGeom>
      </xdr:spPr>
    </xdr:pic>
    <xdr:clientData/>
  </xdr:twoCellAnchor>
  <xdr:twoCellAnchor editAs="oneCell">
    <xdr:from>
      <xdr:col>3</xdr:col>
      <xdr:colOff>30728</xdr:colOff>
      <xdr:row>2</xdr:row>
      <xdr:rowOff>20411</xdr:rowOff>
    </xdr:from>
    <xdr:to>
      <xdr:col>4</xdr:col>
      <xdr:colOff>372675</xdr:colOff>
      <xdr:row>3</xdr:row>
      <xdr:rowOff>156483</xdr:rowOff>
    </xdr:to>
    <xdr:pic>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262674" y="530679"/>
          <a:ext cx="940662" cy="3810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45720</xdr:colOff>
          <xdr:row>1</xdr:row>
          <xdr:rowOff>38100</xdr:rowOff>
        </xdr:from>
        <xdr:to>
          <xdr:col>6</xdr:col>
          <xdr:colOff>30480</xdr:colOff>
          <xdr:row>3</xdr:row>
          <xdr:rowOff>38100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900-000001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rPr>
                <a:t>Aktualisieren</a:t>
              </a:r>
            </a:p>
          </xdr:txBody>
        </xdr:sp>
        <xdr:clientData fPrintsWithSheet="0"/>
      </xdr:twoCellAnchor>
    </mc:Choice>
    <mc:Fallback/>
  </mc:AlternateContent>
  <xdr:twoCellAnchor editAs="oneCell">
    <xdr:from>
      <xdr:col>2</xdr:col>
      <xdr:colOff>3137771</xdr:colOff>
      <xdr:row>0</xdr:row>
      <xdr:rowOff>20412</xdr:rowOff>
    </xdr:from>
    <xdr:to>
      <xdr:col>3</xdr:col>
      <xdr:colOff>621845</xdr:colOff>
      <xdr:row>0</xdr:row>
      <xdr:rowOff>398101</xdr:rowOff>
    </xdr:to>
    <xdr:pic>
      <xdr:nvPicPr>
        <xdr:cNvPr id="4" name="Grafik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71321" y="20412"/>
          <a:ext cx="1303599" cy="380410"/>
        </a:xfrm>
        <a:prstGeom prst="rect">
          <a:avLst/>
        </a:prstGeom>
      </xdr:spPr>
    </xdr:pic>
    <xdr:clientData/>
  </xdr:twoCellAnchor>
  <xdr:twoCellAnchor editAs="oneCell">
    <xdr:from>
      <xdr:col>3</xdr:col>
      <xdr:colOff>30536</xdr:colOff>
      <xdr:row>2</xdr:row>
      <xdr:rowOff>88446</xdr:rowOff>
    </xdr:from>
    <xdr:to>
      <xdr:col>3</xdr:col>
      <xdr:colOff>685639</xdr:colOff>
      <xdr:row>3</xdr:row>
      <xdr:rowOff>115660</xdr:rowOff>
    </xdr:to>
    <xdr:pic>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55036" y="571500"/>
          <a:ext cx="655103" cy="26533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0</xdr:colOff>
      <xdr:row>5</xdr:row>
      <xdr:rowOff>4761</xdr:rowOff>
    </xdr:from>
    <xdr:to>
      <xdr:col>38</xdr:col>
      <xdr:colOff>247650</xdr:colOff>
      <xdr:row>25</xdr:row>
      <xdr:rowOff>28574</xdr:rowOff>
    </xdr:to>
    <xdr:graphicFrame macro="">
      <xdr:nvGraphicFramePr>
        <xdr:cNvPr id="4" name="Diagramm 3" title="Einfluss der Parkgröße">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390524</xdr:colOff>
      <xdr:row>26</xdr:row>
      <xdr:rowOff>180976</xdr:rowOff>
    </xdr:from>
    <xdr:to>
      <xdr:col>38</xdr:col>
      <xdr:colOff>209549</xdr:colOff>
      <xdr:row>47</xdr:row>
      <xdr:rowOff>47626</xdr:rowOff>
    </xdr:to>
    <xdr:graphicFrame macro="">
      <xdr:nvGraphicFramePr>
        <xdr:cNvPr id="5" name="Diagramm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effen Schroedter" refreshedDate="43013.471426041666" createdVersion="6" refreshedVersion="6" minRefreshableVersion="3" recordCount="1074" xr:uid="{00000000-000A-0000-FFFF-FFFF02000000}">
  <cacheSource type="worksheet">
    <worksheetSource name="Referenzen"/>
  </cacheSource>
  <cacheFields count="9">
    <cacheField name="WP" numFmtId="0">
      <sharedItems/>
    </cacheField>
    <cacheField name="Jahr" numFmtId="0">
      <sharedItems containsSemiMixedTypes="0" containsString="0" containsNumber="1" containsInteger="1" minValue="2014" maxValue="2017"/>
    </cacheField>
    <cacheField name="Hersteller" numFmtId="0">
      <sharedItems/>
    </cacheField>
    <cacheField name="Typ" numFmtId="0">
      <sharedItems/>
    </cacheField>
    <cacheField name="Klasse" numFmtId="0">
      <sharedItems containsBlank="1" count="17">
        <s v="MD"/>
        <s v="N60"/>
        <s v="MM"/>
        <s v="N90"/>
        <s v="FL2500"/>
        <s v="N117"/>
        <s v="3.XM"/>
        <s v="N80"/>
        <m u="1"/>
        <s v="N91" u="1"/>
        <s v="N92" u="1"/>
        <s v="N93" u="1"/>
        <s v="N94" u="1"/>
        <s v="N95" u="1"/>
        <s v="N96" u="1"/>
        <s v="N97" u="1"/>
        <s v="N98" u="1"/>
      </sharedItems>
    </cacheField>
    <cacheField name="Anzahl WEA" numFmtId="0">
      <sharedItems containsSemiMixedTypes="0" containsString="0" containsNumber="1" containsInteger="1" minValue="1" maxValue="22"/>
    </cacheField>
    <cacheField name="Betriebsjahr" numFmtId="0">
      <sharedItems containsSemiMixedTypes="0" containsString="0" containsNumber="1" containsInteger="1" minValue="1" maxValue="25" count="25">
        <n v="10"/>
        <n v="11"/>
        <n v="12"/>
        <n v="13"/>
        <n v="14"/>
        <n v="15"/>
        <n v="16"/>
        <n v="17"/>
        <n v="18"/>
        <n v="19"/>
        <n v="20"/>
        <n v="3"/>
        <n v="4"/>
        <n v="5"/>
        <n v="6"/>
        <n v="7"/>
        <n v="8"/>
        <n v="9"/>
        <n v="1"/>
        <n v="2"/>
        <n v="21"/>
        <n v="22"/>
        <n v="23"/>
        <n v="24"/>
        <n v="25"/>
      </sharedItems>
    </cacheField>
    <cacheField name="Preis" numFmtId="0">
      <sharedItems containsSemiMixedTypes="0" containsString="0" containsNumber="1" containsInteger="1" minValue="17000" maxValue="115000"/>
    </cacheField>
    <cacheField name="gewonnen" numFmtId="0">
      <sharedItems containsBlank="1" count="3">
        <s v="nein"/>
        <s v="ja"/>
        <m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effen Schroedter" refreshedDate="43013.471501273147" createdVersion="6" refreshedVersion="6" minRefreshableVersion="3" recordCount="1074" xr:uid="{00000000-000A-0000-FFFF-FFFF03000000}">
  <cacheSource type="worksheet">
    <worksheetSource name="Referenzen[[Jahr]:[gewonnen]]"/>
  </cacheSource>
  <cacheFields count="8">
    <cacheField name="Jahr" numFmtId="0">
      <sharedItems containsSemiMixedTypes="0" containsString="0" containsNumber="1" containsInteger="1" minValue="2014" maxValue="2017"/>
    </cacheField>
    <cacheField name="Hersteller" numFmtId="0">
      <sharedItems/>
    </cacheField>
    <cacheField name="Typ" numFmtId="0">
      <sharedItems/>
    </cacheField>
    <cacheField name="Klasse" numFmtId="0">
      <sharedItems count="8">
        <s v="MD"/>
        <s v="N60"/>
        <s v="MM"/>
        <s v="N90"/>
        <s v="FL2500"/>
        <s v="N117"/>
        <s v="3.XM"/>
        <s v="N80"/>
      </sharedItems>
    </cacheField>
    <cacheField name="Anzahl WEA" numFmtId="0">
      <sharedItems containsSemiMixedTypes="0" containsString="0" containsNumber="1" containsInteger="1" minValue="1" maxValue="22" count="16">
        <n v="1"/>
        <n v="4"/>
        <n v="5"/>
        <n v="2"/>
        <n v="12"/>
        <n v="3"/>
        <n v="7"/>
        <n v="8"/>
        <n v="13"/>
        <n v="16"/>
        <n v="10"/>
        <n v="6"/>
        <n v="22"/>
        <n v="14"/>
        <n v="11"/>
        <n v="9"/>
      </sharedItems>
    </cacheField>
    <cacheField name="Betriebsjahr" numFmtId="0">
      <sharedItems containsSemiMixedTypes="0" containsString="0" containsNumber="1" containsInteger="1" minValue="1" maxValue="25"/>
    </cacheField>
    <cacheField name="Preis" numFmtId="0">
      <sharedItems containsSemiMixedTypes="0" containsString="0" containsNumber="1" containsInteger="1" minValue="17000" maxValue="115000"/>
    </cacheField>
    <cacheField name="gewonnen" numFmtId="0">
      <sharedItems count="2">
        <s v="nein"/>
        <s v="j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4">
  <r>
    <s v="Alsleben"/>
    <n v="2016"/>
    <s v="Nordex"/>
    <s v="S77"/>
    <x v="0"/>
    <n v="1"/>
    <x v="0"/>
    <n v="39500"/>
    <x v="0"/>
  </r>
  <r>
    <s v="Alsleben"/>
    <n v="2016"/>
    <s v="Nordex"/>
    <s v="S77"/>
    <x v="0"/>
    <n v="1"/>
    <x v="1"/>
    <n v="39500"/>
    <x v="0"/>
  </r>
  <r>
    <s v="Alsleben"/>
    <n v="2016"/>
    <s v="Nordex"/>
    <s v="S77"/>
    <x v="0"/>
    <n v="1"/>
    <x v="2"/>
    <n v="39500"/>
    <x v="0"/>
  </r>
  <r>
    <s v="Alsleben"/>
    <n v="2016"/>
    <s v="Nordex"/>
    <s v="S77"/>
    <x v="0"/>
    <n v="1"/>
    <x v="3"/>
    <n v="43500"/>
    <x v="0"/>
  </r>
  <r>
    <s v="Alsleben"/>
    <n v="2016"/>
    <s v="Nordex"/>
    <s v="S77"/>
    <x v="0"/>
    <n v="1"/>
    <x v="4"/>
    <n v="43500"/>
    <x v="0"/>
  </r>
  <r>
    <s v="Alsleben"/>
    <n v="2016"/>
    <s v="Nordex"/>
    <s v="S77"/>
    <x v="0"/>
    <n v="1"/>
    <x v="5"/>
    <n v="43500"/>
    <x v="0"/>
  </r>
  <r>
    <s v="Alsleben"/>
    <n v="2016"/>
    <s v="Nordex"/>
    <s v="S77"/>
    <x v="0"/>
    <n v="1"/>
    <x v="6"/>
    <n v="47500"/>
    <x v="0"/>
  </r>
  <r>
    <s v="Alsleben"/>
    <n v="2016"/>
    <s v="Nordex"/>
    <s v="S77"/>
    <x v="0"/>
    <n v="1"/>
    <x v="7"/>
    <n v="47500"/>
    <x v="0"/>
  </r>
  <r>
    <s v="Alsleben"/>
    <n v="2016"/>
    <s v="Nordex"/>
    <s v="S77"/>
    <x v="0"/>
    <n v="1"/>
    <x v="8"/>
    <n v="47500"/>
    <x v="0"/>
  </r>
  <r>
    <s v="Alsleben"/>
    <n v="2016"/>
    <s v="Nordex"/>
    <s v="S77"/>
    <x v="0"/>
    <n v="1"/>
    <x v="9"/>
    <n v="47500"/>
    <x v="0"/>
  </r>
  <r>
    <s v="Alsleben"/>
    <n v="2016"/>
    <s v="Nordex"/>
    <s v="S77"/>
    <x v="0"/>
    <n v="1"/>
    <x v="10"/>
    <n v="47500"/>
    <x v="0"/>
  </r>
  <r>
    <s v="Altenautal"/>
    <n v="2016"/>
    <s v="Nordex"/>
    <s v="N60"/>
    <x v="1"/>
    <n v="1"/>
    <x v="10"/>
    <n v="39800"/>
    <x v="1"/>
  </r>
  <r>
    <s v="Altenautal"/>
    <n v="2016"/>
    <s v="Nordex"/>
    <s v="N60"/>
    <x v="1"/>
    <n v="1"/>
    <x v="6"/>
    <n v="39800"/>
    <x v="1"/>
  </r>
  <r>
    <s v="Altenautal"/>
    <n v="2016"/>
    <s v="Nordex"/>
    <s v="N60"/>
    <x v="1"/>
    <n v="1"/>
    <x v="7"/>
    <n v="39800"/>
    <x v="1"/>
  </r>
  <r>
    <s v="Altenautal"/>
    <n v="2016"/>
    <s v="Nordex"/>
    <s v="N60"/>
    <x v="1"/>
    <n v="1"/>
    <x v="8"/>
    <n v="39800"/>
    <x v="1"/>
  </r>
  <r>
    <s v="Altenautal"/>
    <n v="2016"/>
    <s v="Nordex"/>
    <s v="N60"/>
    <x v="1"/>
    <n v="1"/>
    <x v="9"/>
    <n v="39800"/>
    <x v="1"/>
  </r>
  <r>
    <s v="Am Scheibelberg"/>
    <n v="2016"/>
    <s v="Senvion"/>
    <s v="MM92"/>
    <x v="2"/>
    <n v="4"/>
    <x v="11"/>
    <n v="36000"/>
    <x v="0"/>
  </r>
  <r>
    <s v="Am Scheibelberg"/>
    <n v="2016"/>
    <s v="Senvion"/>
    <s v="MM92"/>
    <x v="2"/>
    <n v="4"/>
    <x v="12"/>
    <n v="36000"/>
    <x v="0"/>
  </r>
  <r>
    <s v="Am Scheibelberg"/>
    <n v="2016"/>
    <s v="Senvion"/>
    <s v="MM92"/>
    <x v="2"/>
    <n v="4"/>
    <x v="13"/>
    <n v="41000"/>
    <x v="0"/>
  </r>
  <r>
    <s v="Am Scheibelberg"/>
    <n v="2016"/>
    <s v="Senvion"/>
    <s v="MM92"/>
    <x v="2"/>
    <n v="4"/>
    <x v="14"/>
    <n v="41000"/>
    <x v="0"/>
  </r>
  <r>
    <s v="Am Scheibelberg"/>
    <n v="2016"/>
    <s v="Senvion"/>
    <s v="MM92"/>
    <x v="2"/>
    <n v="4"/>
    <x v="15"/>
    <n v="41000"/>
    <x v="0"/>
  </r>
  <r>
    <s v="Am Scheibelberg"/>
    <n v="2016"/>
    <s v="Senvion"/>
    <s v="MM92"/>
    <x v="2"/>
    <n v="4"/>
    <x v="16"/>
    <n v="41000"/>
    <x v="0"/>
  </r>
  <r>
    <s v="Am Scheibelberg"/>
    <n v="2016"/>
    <s v="Senvion"/>
    <s v="MM92"/>
    <x v="2"/>
    <n v="4"/>
    <x v="17"/>
    <n v="45000"/>
    <x v="0"/>
  </r>
  <r>
    <s v="Am Scheibelberg"/>
    <n v="2016"/>
    <s v="Senvion"/>
    <s v="MM92"/>
    <x v="2"/>
    <n v="4"/>
    <x v="0"/>
    <n v="45000"/>
    <x v="0"/>
  </r>
  <r>
    <s v="Am Scheibelberg"/>
    <n v="2016"/>
    <s v="Senvion"/>
    <s v="MM92"/>
    <x v="2"/>
    <n v="4"/>
    <x v="1"/>
    <n v="48000"/>
    <x v="0"/>
  </r>
  <r>
    <s v="Am Scheibelberg"/>
    <n v="2016"/>
    <s v="Senvion"/>
    <s v="MM92"/>
    <x v="2"/>
    <n v="4"/>
    <x v="2"/>
    <n v="48000"/>
    <x v="0"/>
  </r>
  <r>
    <s v="Am Scheibelberg"/>
    <n v="2016"/>
    <s v="Senvion"/>
    <s v="MM92"/>
    <x v="2"/>
    <n v="4"/>
    <x v="3"/>
    <n v="48000"/>
    <x v="0"/>
  </r>
  <r>
    <s v="Am Scheibelberg"/>
    <n v="2016"/>
    <s v="Senvion"/>
    <s v="MM92"/>
    <x v="2"/>
    <n v="4"/>
    <x v="4"/>
    <n v="48000"/>
    <x v="0"/>
  </r>
  <r>
    <s v="Am Scheibelberg"/>
    <n v="2016"/>
    <s v="Senvion"/>
    <s v="MM92"/>
    <x v="2"/>
    <n v="4"/>
    <x v="5"/>
    <n v="48000"/>
    <x v="0"/>
  </r>
  <r>
    <s v="Am Scheibelberg"/>
    <n v="2016"/>
    <s v="Senvion"/>
    <s v="MM92"/>
    <x v="2"/>
    <n v="4"/>
    <x v="6"/>
    <n v="53000"/>
    <x v="0"/>
  </r>
  <r>
    <s v="Am Scheibelberg"/>
    <n v="2016"/>
    <s v="Senvion"/>
    <s v="MM92"/>
    <x v="2"/>
    <n v="4"/>
    <x v="7"/>
    <n v="53000"/>
    <x v="0"/>
  </r>
  <r>
    <s v="Am Scheibelberg"/>
    <n v="2016"/>
    <s v="Senvion"/>
    <s v="MM92"/>
    <x v="2"/>
    <n v="4"/>
    <x v="8"/>
    <n v="53000"/>
    <x v="0"/>
  </r>
  <r>
    <s v="Am Scheibelberg"/>
    <n v="2016"/>
    <s v="Senvion"/>
    <s v="MM92"/>
    <x v="2"/>
    <n v="4"/>
    <x v="9"/>
    <n v="53000"/>
    <x v="0"/>
  </r>
  <r>
    <s v="Am Scheibelberg"/>
    <n v="2016"/>
    <s v="Senvion"/>
    <s v="MM92"/>
    <x v="2"/>
    <n v="4"/>
    <x v="10"/>
    <n v="53000"/>
    <x v="0"/>
  </r>
  <r>
    <s v="Artlenburg"/>
    <n v="2015"/>
    <s v="Senvion"/>
    <s v="MD77"/>
    <x v="0"/>
    <n v="5"/>
    <x v="8"/>
    <n v="46000"/>
    <x v="0"/>
  </r>
  <r>
    <s v="Artlenburg"/>
    <n v="2015"/>
    <s v="Senvion"/>
    <s v="MD77"/>
    <x v="0"/>
    <n v="5"/>
    <x v="3"/>
    <n v="43000"/>
    <x v="0"/>
  </r>
  <r>
    <s v="Artlenburg"/>
    <n v="2015"/>
    <s v="Senvion"/>
    <s v="MD77"/>
    <x v="0"/>
    <n v="5"/>
    <x v="4"/>
    <n v="43000"/>
    <x v="0"/>
  </r>
  <r>
    <s v="Artlenburg"/>
    <n v="2015"/>
    <s v="Senvion"/>
    <s v="MD77"/>
    <x v="0"/>
    <n v="5"/>
    <x v="5"/>
    <n v="43000"/>
    <x v="0"/>
  </r>
  <r>
    <s v="Artlenburg"/>
    <n v="2015"/>
    <s v="Senvion"/>
    <s v="MD77"/>
    <x v="0"/>
    <n v="5"/>
    <x v="6"/>
    <n v="43000"/>
    <x v="0"/>
  </r>
  <r>
    <s v="Artlenburg"/>
    <n v="2015"/>
    <s v="Senvion"/>
    <s v="MD77"/>
    <x v="0"/>
    <n v="5"/>
    <x v="7"/>
    <n v="46000"/>
    <x v="0"/>
  </r>
  <r>
    <s v="Artlenburg"/>
    <n v="2015"/>
    <s v="Senvion"/>
    <s v="MD77"/>
    <x v="0"/>
    <n v="5"/>
    <x v="9"/>
    <n v="46000"/>
    <x v="0"/>
  </r>
  <r>
    <s v="Artlenburg"/>
    <n v="2015"/>
    <s v="Senvion"/>
    <s v="MD77"/>
    <x v="0"/>
    <n v="5"/>
    <x v="10"/>
    <n v="46000"/>
    <x v="0"/>
  </r>
  <r>
    <s v="Aschersleben"/>
    <n v="2014"/>
    <s v="Senvion"/>
    <s v="MD77"/>
    <x v="0"/>
    <n v="1"/>
    <x v="5"/>
    <n v="44000"/>
    <x v="1"/>
  </r>
  <r>
    <s v="Aschersleben"/>
    <n v="2014"/>
    <s v="Senvion"/>
    <s v="MD77"/>
    <x v="0"/>
    <n v="1"/>
    <x v="1"/>
    <n v="41000"/>
    <x v="1"/>
  </r>
  <r>
    <s v="Aschersleben"/>
    <n v="2014"/>
    <s v="Senvion"/>
    <s v="MD77"/>
    <x v="0"/>
    <n v="1"/>
    <x v="2"/>
    <n v="41000"/>
    <x v="1"/>
  </r>
  <r>
    <s v="Aschersleben"/>
    <n v="2014"/>
    <s v="Senvion"/>
    <s v="MD77"/>
    <x v="0"/>
    <n v="1"/>
    <x v="3"/>
    <n v="41000"/>
    <x v="1"/>
  </r>
  <r>
    <s v="Aschersleben"/>
    <n v="2014"/>
    <s v="Senvion"/>
    <s v="MD77"/>
    <x v="0"/>
    <n v="1"/>
    <x v="4"/>
    <n v="44000"/>
    <x v="1"/>
  </r>
  <r>
    <s v="Aschersleben"/>
    <n v="2014"/>
    <s v="Senvion"/>
    <s v="MD77"/>
    <x v="0"/>
    <n v="1"/>
    <x v="6"/>
    <n v="44000"/>
    <x v="1"/>
  </r>
  <r>
    <s v="Aschersleben"/>
    <n v="2014"/>
    <s v="Senvion"/>
    <s v="MD77"/>
    <x v="0"/>
    <n v="1"/>
    <x v="7"/>
    <n v="47000"/>
    <x v="1"/>
  </r>
  <r>
    <s v="Aschersleben"/>
    <n v="2014"/>
    <s v="Senvion"/>
    <s v="MD77"/>
    <x v="0"/>
    <n v="1"/>
    <x v="8"/>
    <n v="47000"/>
    <x v="1"/>
  </r>
  <r>
    <s v="Aschersleben"/>
    <n v="2014"/>
    <s v="Senvion"/>
    <s v="MD77"/>
    <x v="0"/>
    <n v="1"/>
    <x v="9"/>
    <n v="47000"/>
    <x v="1"/>
  </r>
  <r>
    <s v="Aschersleben"/>
    <n v="2014"/>
    <s v="Senvion"/>
    <s v="MD77"/>
    <x v="0"/>
    <n v="1"/>
    <x v="10"/>
    <n v="47000"/>
    <x v="1"/>
  </r>
  <r>
    <s v="Baalberge"/>
    <n v="2016"/>
    <s v="Nordex"/>
    <s v="S70"/>
    <x v="0"/>
    <n v="4"/>
    <x v="6"/>
    <n v="42000"/>
    <x v="1"/>
  </r>
  <r>
    <s v="Baalberge"/>
    <n v="2016"/>
    <s v="Nordex"/>
    <s v="S70"/>
    <x v="0"/>
    <n v="4"/>
    <x v="7"/>
    <n v="42000"/>
    <x v="1"/>
  </r>
  <r>
    <s v="Baalberge"/>
    <n v="2016"/>
    <s v="Nordex"/>
    <s v="S70"/>
    <x v="0"/>
    <n v="4"/>
    <x v="8"/>
    <n v="42000"/>
    <x v="1"/>
  </r>
  <r>
    <s v="Baalberge"/>
    <n v="2016"/>
    <s v="Nordex"/>
    <s v="S70"/>
    <x v="0"/>
    <n v="4"/>
    <x v="9"/>
    <n v="42000"/>
    <x v="1"/>
  </r>
  <r>
    <s v="Baalberge"/>
    <n v="2016"/>
    <s v="Nordex"/>
    <s v="S70"/>
    <x v="0"/>
    <n v="4"/>
    <x v="10"/>
    <n v="42000"/>
    <x v="1"/>
  </r>
  <r>
    <s v="Bad Iburg"/>
    <n v="2016"/>
    <s v="Nordex"/>
    <s v="N90"/>
    <x v="3"/>
    <n v="2"/>
    <x v="1"/>
    <n v="55000"/>
    <x v="1"/>
  </r>
  <r>
    <s v="Bad Iburg"/>
    <n v="2016"/>
    <s v="Nordex"/>
    <s v="N90"/>
    <x v="3"/>
    <n v="2"/>
    <x v="2"/>
    <n v="55000"/>
    <x v="1"/>
  </r>
  <r>
    <s v="Bad Iburg"/>
    <n v="2016"/>
    <s v="Nordex"/>
    <s v="N90"/>
    <x v="3"/>
    <n v="2"/>
    <x v="3"/>
    <n v="59000"/>
    <x v="1"/>
  </r>
  <r>
    <s v="Bad Iburg"/>
    <n v="2016"/>
    <s v="Nordex"/>
    <s v="N90"/>
    <x v="3"/>
    <n v="2"/>
    <x v="4"/>
    <n v="59000"/>
    <x v="1"/>
  </r>
  <r>
    <s v="Bad Iburg"/>
    <n v="2016"/>
    <s v="Nordex"/>
    <s v="N90"/>
    <x v="3"/>
    <n v="2"/>
    <x v="5"/>
    <n v="59000"/>
    <x v="1"/>
  </r>
  <r>
    <s v="Bad Iburg"/>
    <n v="2016"/>
    <s v="Nordex"/>
    <s v="N90"/>
    <x v="3"/>
    <n v="2"/>
    <x v="6"/>
    <n v="59000"/>
    <x v="1"/>
  </r>
  <r>
    <s v="Bad Iburg"/>
    <n v="2016"/>
    <s v="Nordex"/>
    <s v="N90"/>
    <x v="3"/>
    <n v="2"/>
    <x v="7"/>
    <n v="64000"/>
    <x v="1"/>
  </r>
  <r>
    <s v="Bad Iburg"/>
    <n v="2016"/>
    <s v="Nordex"/>
    <s v="N90"/>
    <x v="3"/>
    <n v="2"/>
    <x v="8"/>
    <n v="64000"/>
    <x v="1"/>
  </r>
  <r>
    <s v="Bad Iburg"/>
    <n v="2016"/>
    <s v="Nordex"/>
    <s v="N90"/>
    <x v="3"/>
    <n v="2"/>
    <x v="9"/>
    <n v="64000"/>
    <x v="1"/>
  </r>
  <r>
    <s v="Bad Iburg"/>
    <n v="2016"/>
    <s v="Nordex"/>
    <s v="N90"/>
    <x v="3"/>
    <n v="2"/>
    <x v="10"/>
    <n v="64000"/>
    <x v="1"/>
  </r>
  <r>
    <s v="Bad Iburg"/>
    <n v="2016"/>
    <s v="Nordex"/>
    <s v="S70"/>
    <x v="0"/>
    <n v="1"/>
    <x v="1"/>
    <n v="40000"/>
    <x v="1"/>
  </r>
  <r>
    <s v="Bad Iburg"/>
    <n v="2016"/>
    <s v="Nordex"/>
    <s v="S70"/>
    <x v="0"/>
    <n v="1"/>
    <x v="2"/>
    <n v="40000"/>
    <x v="1"/>
  </r>
  <r>
    <s v="Bad Iburg"/>
    <n v="2016"/>
    <s v="Nordex"/>
    <s v="S70"/>
    <x v="0"/>
    <n v="1"/>
    <x v="3"/>
    <n v="43500"/>
    <x v="1"/>
  </r>
  <r>
    <s v="Bad Iburg"/>
    <n v="2016"/>
    <s v="Nordex"/>
    <s v="S70"/>
    <x v="0"/>
    <n v="1"/>
    <x v="4"/>
    <n v="43500"/>
    <x v="1"/>
  </r>
  <r>
    <s v="Bad Iburg"/>
    <n v="2016"/>
    <s v="Nordex"/>
    <s v="S70"/>
    <x v="0"/>
    <n v="1"/>
    <x v="5"/>
    <n v="43500"/>
    <x v="1"/>
  </r>
  <r>
    <s v="Bad Iburg"/>
    <n v="2016"/>
    <s v="Nordex"/>
    <s v="S70"/>
    <x v="0"/>
    <n v="1"/>
    <x v="6"/>
    <n v="43500"/>
    <x v="1"/>
  </r>
  <r>
    <s v="Bad Iburg"/>
    <n v="2016"/>
    <s v="Nordex"/>
    <s v="S70"/>
    <x v="0"/>
    <n v="1"/>
    <x v="7"/>
    <n v="47000"/>
    <x v="1"/>
  </r>
  <r>
    <s v="Bad Iburg"/>
    <n v="2016"/>
    <s v="Nordex"/>
    <s v="S70"/>
    <x v="0"/>
    <n v="1"/>
    <x v="8"/>
    <n v="47000"/>
    <x v="1"/>
  </r>
  <r>
    <s v="Bad Iburg"/>
    <n v="2016"/>
    <s v="Nordex"/>
    <s v="S70"/>
    <x v="0"/>
    <n v="1"/>
    <x v="9"/>
    <n v="47000"/>
    <x v="1"/>
  </r>
  <r>
    <s v="Bad Iburg"/>
    <n v="2016"/>
    <s v="Nordex"/>
    <s v="S70"/>
    <x v="0"/>
    <n v="1"/>
    <x v="10"/>
    <n v="47000"/>
    <x v="1"/>
  </r>
  <r>
    <s v="Balkum-Thiene"/>
    <n v="2015"/>
    <s v="Nordex"/>
    <s v="N90"/>
    <x v="3"/>
    <n v="12"/>
    <x v="5"/>
    <n v="54500"/>
    <x v="0"/>
  </r>
  <r>
    <s v="Balkum-Thiene"/>
    <n v="2015"/>
    <s v="Nordex"/>
    <s v="N90"/>
    <x v="3"/>
    <n v="12"/>
    <x v="16"/>
    <n v="44500"/>
    <x v="0"/>
  </r>
  <r>
    <s v="Balkum-Thiene"/>
    <n v="2015"/>
    <s v="Nordex"/>
    <s v="N90"/>
    <x v="3"/>
    <n v="12"/>
    <x v="17"/>
    <n v="44500"/>
    <x v="0"/>
  </r>
  <r>
    <s v="Balkum-Thiene"/>
    <n v="2015"/>
    <s v="Nordex"/>
    <s v="N90"/>
    <x v="3"/>
    <n v="12"/>
    <x v="0"/>
    <n v="49500"/>
    <x v="0"/>
  </r>
  <r>
    <s v="Balkum-Thiene"/>
    <n v="2015"/>
    <s v="Nordex"/>
    <s v="N90"/>
    <x v="3"/>
    <n v="12"/>
    <x v="1"/>
    <n v="49500"/>
    <x v="0"/>
  </r>
  <r>
    <s v="Balkum-Thiene"/>
    <n v="2015"/>
    <s v="Nordex"/>
    <s v="N90"/>
    <x v="3"/>
    <n v="12"/>
    <x v="2"/>
    <n v="49500"/>
    <x v="0"/>
  </r>
  <r>
    <s v="Balkum-Thiene"/>
    <n v="2015"/>
    <s v="Nordex"/>
    <s v="N90"/>
    <x v="3"/>
    <n v="12"/>
    <x v="3"/>
    <n v="49500"/>
    <x v="0"/>
  </r>
  <r>
    <s v="Balkum-Thiene"/>
    <n v="2015"/>
    <s v="Nordex"/>
    <s v="N90"/>
    <x v="3"/>
    <n v="12"/>
    <x v="4"/>
    <n v="54500"/>
    <x v="0"/>
  </r>
  <r>
    <s v="Balkum-Thiene"/>
    <n v="2015"/>
    <s v="Nordex"/>
    <s v="N90"/>
    <x v="3"/>
    <n v="12"/>
    <x v="6"/>
    <n v="54500"/>
    <x v="0"/>
  </r>
  <r>
    <s v="Balkum-Thiene"/>
    <n v="2015"/>
    <s v="Nordex"/>
    <s v="N90"/>
    <x v="3"/>
    <n v="12"/>
    <x v="7"/>
    <n v="54500"/>
    <x v="0"/>
  </r>
  <r>
    <s v="Balkum-Thiene"/>
    <n v="2015"/>
    <s v="Nordex"/>
    <s v="N90"/>
    <x v="3"/>
    <n v="12"/>
    <x v="8"/>
    <n v="54500"/>
    <x v="0"/>
  </r>
  <r>
    <s v="Balkum-Thiene"/>
    <n v="2015"/>
    <s v="Nordex"/>
    <s v="N90"/>
    <x v="3"/>
    <n v="12"/>
    <x v="9"/>
    <n v="59500"/>
    <x v="0"/>
  </r>
  <r>
    <s v="Balkum-Thiene"/>
    <n v="2015"/>
    <s v="Nordex"/>
    <s v="N90"/>
    <x v="3"/>
    <n v="12"/>
    <x v="10"/>
    <n v="59500"/>
    <x v="0"/>
  </r>
  <r>
    <s v="Blumenhagen"/>
    <n v="2016"/>
    <s v="Fuhrländer"/>
    <s v="FL2500"/>
    <x v="4"/>
    <n v="3"/>
    <x v="15"/>
    <n v="59100"/>
    <x v="1"/>
  </r>
  <r>
    <s v="Blumenhagen"/>
    <n v="2016"/>
    <s v="Fuhrländer"/>
    <s v="FL2500"/>
    <x v="4"/>
    <n v="3"/>
    <x v="16"/>
    <n v="59100"/>
    <x v="1"/>
  </r>
  <r>
    <s v="Blumenhagen"/>
    <n v="2016"/>
    <s v="Fuhrländer"/>
    <s v="FL2500"/>
    <x v="4"/>
    <n v="3"/>
    <x v="17"/>
    <n v="59100"/>
    <x v="1"/>
  </r>
  <r>
    <s v="Blumenhagen"/>
    <n v="2016"/>
    <s v="Fuhrländer"/>
    <s v="FL2500"/>
    <x v="4"/>
    <n v="3"/>
    <x v="0"/>
    <n v="59100"/>
    <x v="1"/>
  </r>
  <r>
    <s v="Blumenhagen"/>
    <n v="2016"/>
    <s v="Fuhrländer"/>
    <s v="FL2500"/>
    <x v="4"/>
    <n v="3"/>
    <x v="1"/>
    <n v="66400"/>
    <x v="1"/>
  </r>
  <r>
    <s v="Blumenhagen"/>
    <n v="2016"/>
    <s v="Fuhrländer"/>
    <s v="FL2500"/>
    <x v="4"/>
    <n v="3"/>
    <x v="2"/>
    <n v="66400"/>
    <x v="1"/>
  </r>
  <r>
    <s v="Blumenhagen"/>
    <n v="2016"/>
    <s v="Fuhrländer"/>
    <s v="FL2500"/>
    <x v="4"/>
    <n v="3"/>
    <x v="3"/>
    <n v="66400"/>
    <x v="1"/>
  </r>
  <r>
    <s v="Blumenhagen"/>
    <n v="2016"/>
    <s v="Fuhrländer"/>
    <s v="FL2500"/>
    <x v="4"/>
    <n v="3"/>
    <x v="4"/>
    <n v="66400"/>
    <x v="1"/>
  </r>
  <r>
    <s v="Blumenhagen"/>
    <n v="2016"/>
    <s v="Fuhrländer"/>
    <s v="FL2500"/>
    <x v="4"/>
    <n v="3"/>
    <x v="5"/>
    <n v="76900"/>
    <x v="1"/>
  </r>
  <r>
    <s v="Blumenhagen"/>
    <n v="2016"/>
    <s v="Fuhrländer"/>
    <s v="FL2500"/>
    <x v="4"/>
    <n v="3"/>
    <x v="6"/>
    <n v="76900"/>
    <x v="1"/>
  </r>
  <r>
    <s v="Blumenhagen"/>
    <n v="2016"/>
    <s v="Fuhrländer"/>
    <s v="FL2500"/>
    <x v="4"/>
    <n v="3"/>
    <x v="7"/>
    <n v="76900"/>
    <x v="1"/>
  </r>
  <r>
    <s v="Blumenhagen"/>
    <n v="2016"/>
    <s v="Fuhrländer"/>
    <s v="FL2500"/>
    <x v="4"/>
    <n v="3"/>
    <x v="8"/>
    <n v="76900"/>
    <x v="1"/>
  </r>
  <r>
    <s v="Blumenhagen"/>
    <n v="2016"/>
    <s v="Fuhrländer"/>
    <s v="FL2500"/>
    <x v="4"/>
    <n v="3"/>
    <x v="9"/>
    <n v="83200"/>
    <x v="1"/>
  </r>
  <r>
    <s v="Blumenhagen"/>
    <n v="2016"/>
    <s v="Fuhrländer"/>
    <s v="FL2500"/>
    <x v="4"/>
    <n v="3"/>
    <x v="10"/>
    <n v="83200"/>
    <x v="1"/>
  </r>
  <r>
    <s v="Böhmenkirch"/>
    <n v="2015"/>
    <s v="Fuhrländer"/>
    <s v="FL77"/>
    <x v="0"/>
    <n v="2"/>
    <x v="5"/>
    <n v="46000"/>
    <x v="1"/>
  </r>
  <r>
    <s v="Böhmenkirch"/>
    <n v="2015"/>
    <s v="Fuhrländer"/>
    <s v="FL77"/>
    <x v="0"/>
    <n v="2"/>
    <x v="6"/>
    <n v="46000"/>
    <x v="1"/>
  </r>
  <r>
    <s v="Böhmenkirch"/>
    <n v="2015"/>
    <s v="Fuhrländer"/>
    <s v="FL77"/>
    <x v="0"/>
    <n v="2"/>
    <x v="7"/>
    <n v="46000"/>
    <x v="1"/>
  </r>
  <r>
    <s v="Böhmenkirch"/>
    <n v="2015"/>
    <s v="Fuhrländer"/>
    <s v="FL77"/>
    <x v="0"/>
    <n v="2"/>
    <x v="8"/>
    <n v="46000"/>
    <x v="1"/>
  </r>
  <r>
    <s v="Böhmenkirch"/>
    <n v="2015"/>
    <s v="Fuhrländer"/>
    <s v="FL77"/>
    <x v="0"/>
    <n v="2"/>
    <x v="9"/>
    <n v="46000"/>
    <x v="1"/>
  </r>
  <r>
    <s v="Böhmenkirch"/>
    <n v="2015"/>
    <s v="Fuhrländer"/>
    <s v="FL77"/>
    <x v="0"/>
    <n v="2"/>
    <x v="10"/>
    <n v="46000"/>
    <x v="1"/>
  </r>
  <r>
    <s v="Böhmenkirch"/>
    <n v="2016"/>
    <s v="Nordex"/>
    <s v="S70"/>
    <x v="0"/>
    <n v="3"/>
    <x v="5"/>
    <n v="46000"/>
    <x v="1"/>
  </r>
  <r>
    <s v="Böhmenkirch"/>
    <n v="2016"/>
    <s v="Nordex"/>
    <s v="S70"/>
    <x v="0"/>
    <n v="3"/>
    <x v="6"/>
    <n v="46000"/>
    <x v="1"/>
  </r>
  <r>
    <s v="Böhmenkirch"/>
    <n v="2016"/>
    <s v="Nordex"/>
    <s v="S70"/>
    <x v="0"/>
    <n v="3"/>
    <x v="7"/>
    <n v="46000"/>
    <x v="1"/>
  </r>
  <r>
    <s v="Böhmenkirch"/>
    <n v="2016"/>
    <s v="Nordex"/>
    <s v="S70"/>
    <x v="0"/>
    <n v="3"/>
    <x v="8"/>
    <n v="46000"/>
    <x v="1"/>
  </r>
  <r>
    <s v="Böhmenkirch"/>
    <n v="2016"/>
    <s v="Nordex"/>
    <s v="S70"/>
    <x v="0"/>
    <n v="3"/>
    <x v="9"/>
    <n v="46000"/>
    <x v="1"/>
  </r>
  <r>
    <s v="Böhmenkirch"/>
    <n v="2016"/>
    <s v="Nordex"/>
    <s v="S70"/>
    <x v="0"/>
    <n v="3"/>
    <x v="10"/>
    <n v="46000"/>
    <x v="1"/>
  </r>
  <r>
    <s v="Bornstedt"/>
    <n v="2015"/>
    <s v="Fuhrländer"/>
    <s v="FL77"/>
    <x v="0"/>
    <n v="2"/>
    <x v="17"/>
    <n v="40500"/>
    <x v="1"/>
  </r>
  <r>
    <s v="Bornstedt"/>
    <n v="2015"/>
    <s v="Fuhrländer"/>
    <s v="FL77"/>
    <x v="0"/>
    <n v="2"/>
    <x v="0"/>
    <n v="40500"/>
    <x v="1"/>
  </r>
  <r>
    <s v="Bornstedt"/>
    <n v="2015"/>
    <s v="Fuhrländer"/>
    <s v="FL77"/>
    <x v="0"/>
    <n v="2"/>
    <x v="1"/>
    <n v="40500"/>
    <x v="1"/>
  </r>
  <r>
    <s v="Bornstedt"/>
    <n v="2015"/>
    <s v="Fuhrländer"/>
    <s v="FL77"/>
    <x v="0"/>
    <n v="2"/>
    <x v="2"/>
    <n v="40500"/>
    <x v="1"/>
  </r>
  <r>
    <s v="Bornstedt"/>
    <n v="2015"/>
    <s v="Fuhrländer"/>
    <s v="FL77"/>
    <x v="0"/>
    <n v="2"/>
    <x v="3"/>
    <n v="43500"/>
    <x v="1"/>
  </r>
  <r>
    <s v="Bornstedt"/>
    <n v="2015"/>
    <s v="Fuhrländer"/>
    <s v="FL77"/>
    <x v="0"/>
    <n v="2"/>
    <x v="4"/>
    <n v="43500"/>
    <x v="1"/>
  </r>
  <r>
    <s v="Bornstedt"/>
    <n v="2015"/>
    <s v="Fuhrländer"/>
    <s v="FL77"/>
    <x v="0"/>
    <n v="2"/>
    <x v="5"/>
    <n v="43500"/>
    <x v="1"/>
  </r>
  <r>
    <s v="Bornstedt"/>
    <n v="2015"/>
    <s v="Fuhrländer"/>
    <s v="FL77"/>
    <x v="0"/>
    <n v="2"/>
    <x v="6"/>
    <n v="43500"/>
    <x v="1"/>
  </r>
  <r>
    <s v="Bornstedt"/>
    <n v="2015"/>
    <s v="Fuhrländer"/>
    <s v="FL77"/>
    <x v="0"/>
    <n v="2"/>
    <x v="7"/>
    <n v="46500"/>
    <x v="1"/>
  </r>
  <r>
    <s v="Bornstedt"/>
    <n v="2015"/>
    <s v="Fuhrländer"/>
    <s v="FL77"/>
    <x v="0"/>
    <n v="2"/>
    <x v="8"/>
    <n v="46500"/>
    <x v="1"/>
  </r>
  <r>
    <s v="Bornstedt"/>
    <n v="2015"/>
    <s v="Fuhrländer"/>
    <s v="FL77"/>
    <x v="0"/>
    <n v="2"/>
    <x v="9"/>
    <n v="46500"/>
    <x v="1"/>
  </r>
  <r>
    <s v="Bornstedt"/>
    <n v="2015"/>
    <s v="Fuhrländer"/>
    <s v="FL77"/>
    <x v="0"/>
    <n v="2"/>
    <x v="10"/>
    <n v="46500"/>
    <x v="1"/>
  </r>
  <r>
    <s v="Boulay-Moselle"/>
    <n v="2016"/>
    <s v="Nordex"/>
    <s v="N90"/>
    <x v="3"/>
    <n v="4"/>
    <x v="0"/>
    <n v="53000"/>
    <x v="0"/>
  </r>
  <r>
    <s v="Boulay-Moselle"/>
    <n v="2016"/>
    <s v="Nordex"/>
    <s v="N90"/>
    <x v="3"/>
    <n v="4"/>
    <x v="1"/>
    <n v="53000"/>
    <x v="0"/>
  </r>
  <r>
    <s v="Boulay-Moselle"/>
    <n v="2016"/>
    <s v="Nordex"/>
    <s v="N90"/>
    <x v="3"/>
    <n v="4"/>
    <x v="2"/>
    <n v="53000"/>
    <x v="0"/>
  </r>
  <r>
    <s v="Boulay-Moselle"/>
    <n v="2016"/>
    <s v="Nordex"/>
    <s v="N90"/>
    <x v="3"/>
    <n v="4"/>
    <x v="3"/>
    <n v="53000"/>
    <x v="0"/>
  </r>
  <r>
    <s v="Boulay-Moselle"/>
    <n v="2016"/>
    <s v="Nordex"/>
    <s v="N90"/>
    <x v="3"/>
    <n v="4"/>
    <x v="4"/>
    <n v="57000"/>
    <x v="0"/>
  </r>
  <r>
    <s v="Boulay-Moselle"/>
    <n v="2016"/>
    <s v="Nordex"/>
    <s v="N90"/>
    <x v="3"/>
    <n v="4"/>
    <x v="5"/>
    <n v="57000"/>
    <x v="0"/>
  </r>
  <r>
    <s v="Boulay-Moselle"/>
    <n v="2016"/>
    <s v="Nordex"/>
    <s v="N90"/>
    <x v="3"/>
    <n v="4"/>
    <x v="6"/>
    <n v="57000"/>
    <x v="0"/>
  </r>
  <r>
    <s v="Boulay-Moselle"/>
    <n v="2016"/>
    <s v="Nordex"/>
    <s v="N90"/>
    <x v="3"/>
    <n v="4"/>
    <x v="7"/>
    <n v="62000"/>
    <x v="0"/>
  </r>
  <r>
    <s v="Boulay-Moselle"/>
    <n v="2016"/>
    <s v="Nordex"/>
    <s v="N90"/>
    <x v="3"/>
    <n v="4"/>
    <x v="8"/>
    <n v="62000"/>
    <x v="0"/>
  </r>
  <r>
    <s v="Boulay-Moselle"/>
    <n v="2016"/>
    <s v="Nordex"/>
    <s v="N90"/>
    <x v="3"/>
    <n v="4"/>
    <x v="9"/>
    <n v="64000"/>
    <x v="0"/>
  </r>
  <r>
    <s v="Boulay-Moselle"/>
    <n v="2016"/>
    <s v="Nordex"/>
    <s v="N90"/>
    <x v="3"/>
    <n v="4"/>
    <x v="10"/>
    <n v="64000"/>
    <x v="0"/>
  </r>
  <r>
    <s v="Braunshorn"/>
    <n v="2016"/>
    <s v="Senvion"/>
    <s v="MM92"/>
    <x v="2"/>
    <n v="7"/>
    <x v="14"/>
    <n v="38500"/>
    <x v="1"/>
  </r>
  <r>
    <s v="Braunshorn"/>
    <n v="2016"/>
    <s v="Senvion"/>
    <s v="MM92"/>
    <x v="2"/>
    <n v="7"/>
    <x v="15"/>
    <n v="38500"/>
    <x v="1"/>
  </r>
  <r>
    <s v="Braunshorn"/>
    <n v="2016"/>
    <s v="Senvion"/>
    <s v="MM92"/>
    <x v="2"/>
    <n v="7"/>
    <x v="16"/>
    <n v="38500"/>
    <x v="1"/>
  </r>
  <r>
    <s v="Braunshorn"/>
    <n v="2016"/>
    <s v="Senvion"/>
    <s v="MM92"/>
    <x v="2"/>
    <n v="7"/>
    <x v="17"/>
    <n v="41500"/>
    <x v="1"/>
  </r>
  <r>
    <s v="Braunshorn"/>
    <n v="2016"/>
    <s v="Senvion"/>
    <s v="MM92"/>
    <x v="2"/>
    <n v="7"/>
    <x v="0"/>
    <n v="41500"/>
    <x v="1"/>
  </r>
  <r>
    <s v="Braunshorn"/>
    <n v="2016"/>
    <s v="Senvion"/>
    <s v="MM92"/>
    <x v="2"/>
    <n v="7"/>
    <x v="1"/>
    <n v="41500"/>
    <x v="1"/>
  </r>
  <r>
    <s v="Braunshorn"/>
    <n v="2016"/>
    <s v="Senvion"/>
    <s v="MM92"/>
    <x v="2"/>
    <n v="7"/>
    <x v="2"/>
    <n v="45000"/>
    <x v="1"/>
  </r>
  <r>
    <s v="Braunshorn"/>
    <n v="2016"/>
    <s v="Senvion"/>
    <s v="MM92"/>
    <x v="2"/>
    <n v="7"/>
    <x v="3"/>
    <n v="45000"/>
    <x v="1"/>
  </r>
  <r>
    <s v="Braunshorn"/>
    <n v="2016"/>
    <s v="Senvion"/>
    <s v="MM92"/>
    <x v="2"/>
    <n v="7"/>
    <x v="4"/>
    <n v="45000"/>
    <x v="1"/>
  </r>
  <r>
    <s v="Braunshorn"/>
    <n v="2016"/>
    <s v="Senvion"/>
    <s v="MM92"/>
    <x v="2"/>
    <n v="7"/>
    <x v="5"/>
    <n v="45000"/>
    <x v="1"/>
  </r>
  <r>
    <s v="Braunshorn"/>
    <n v="2016"/>
    <s v="Senvion"/>
    <s v="MM92"/>
    <x v="2"/>
    <n v="7"/>
    <x v="6"/>
    <n v="49500"/>
    <x v="1"/>
  </r>
  <r>
    <s v="Braunshorn"/>
    <n v="2016"/>
    <s v="Senvion"/>
    <s v="MM92"/>
    <x v="2"/>
    <n v="7"/>
    <x v="7"/>
    <n v="49500"/>
    <x v="1"/>
  </r>
  <r>
    <s v="Braunshorn"/>
    <n v="2016"/>
    <s v="Senvion"/>
    <s v="MM92"/>
    <x v="2"/>
    <n v="7"/>
    <x v="8"/>
    <n v="49500"/>
    <x v="1"/>
  </r>
  <r>
    <s v="Braunshorn"/>
    <n v="2016"/>
    <s v="Senvion"/>
    <s v="MM92"/>
    <x v="2"/>
    <n v="7"/>
    <x v="9"/>
    <n v="49500"/>
    <x v="1"/>
  </r>
  <r>
    <s v="Braunshorn"/>
    <n v="2016"/>
    <s v="Senvion"/>
    <s v="MM92"/>
    <x v="2"/>
    <n v="7"/>
    <x v="10"/>
    <n v="49500"/>
    <x v="1"/>
  </r>
  <r>
    <s v="Bulack"/>
    <n v="2015"/>
    <s v="Senvion"/>
    <s v="MM70"/>
    <x v="0"/>
    <n v="1"/>
    <x v="3"/>
    <n v="41000"/>
    <x v="1"/>
  </r>
  <r>
    <s v="Bulack"/>
    <n v="2015"/>
    <s v="Senvion"/>
    <s v="MM70"/>
    <x v="0"/>
    <n v="1"/>
    <x v="4"/>
    <n v="41000"/>
    <x v="1"/>
  </r>
  <r>
    <s v="Bulack"/>
    <n v="2015"/>
    <s v="Senvion"/>
    <s v="MM70"/>
    <x v="0"/>
    <n v="1"/>
    <x v="5"/>
    <n v="41000"/>
    <x v="1"/>
  </r>
  <r>
    <s v="Bulack"/>
    <n v="2015"/>
    <s v="Senvion"/>
    <s v="MM70"/>
    <x v="0"/>
    <n v="1"/>
    <x v="6"/>
    <n v="45000"/>
    <x v="1"/>
  </r>
  <r>
    <s v="Bulack"/>
    <n v="2015"/>
    <s v="Senvion"/>
    <s v="MM70"/>
    <x v="0"/>
    <n v="1"/>
    <x v="7"/>
    <n v="45000"/>
    <x v="1"/>
  </r>
  <r>
    <s v="Bulack"/>
    <n v="2015"/>
    <s v="Senvion"/>
    <s v="MM70"/>
    <x v="0"/>
    <n v="1"/>
    <x v="8"/>
    <n v="45000"/>
    <x v="1"/>
  </r>
  <r>
    <s v="Bulack"/>
    <n v="2015"/>
    <s v="Senvion"/>
    <s v="MM70"/>
    <x v="0"/>
    <n v="1"/>
    <x v="9"/>
    <n v="45000"/>
    <x v="1"/>
  </r>
  <r>
    <s v="Bulack"/>
    <n v="2015"/>
    <s v="Senvion"/>
    <s v="MM70"/>
    <x v="0"/>
    <n v="1"/>
    <x v="10"/>
    <n v="45000"/>
    <x v="1"/>
  </r>
  <r>
    <s v="Bulack"/>
    <n v="2015"/>
    <s v="Senvion"/>
    <s v="MM70"/>
    <x v="2"/>
    <n v="1"/>
    <x v="3"/>
    <n v="45500"/>
    <x v="1"/>
  </r>
  <r>
    <s v="Bulack"/>
    <n v="2015"/>
    <s v="Senvion"/>
    <s v="MM70"/>
    <x v="2"/>
    <n v="1"/>
    <x v="4"/>
    <n v="45500"/>
    <x v="1"/>
  </r>
  <r>
    <s v="Bulack"/>
    <n v="2015"/>
    <s v="Senvion"/>
    <s v="MM70"/>
    <x v="2"/>
    <n v="1"/>
    <x v="5"/>
    <n v="45500"/>
    <x v="1"/>
  </r>
  <r>
    <s v="Bulack"/>
    <n v="2015"/>
    <s v="Senvion"/>
    <s v="MM70"/>
    <x v="2"/>
    <n v="1"/>
    <x v="6"/>
    <n v="50500"/>
    <x v="1"/>
  </r>
  <r>
    <s v="Bulack"/>
    <n v="2015"/>
    <s v="Senvion"/>
    <s v="MM70"/>
    <x v="2"/>
    <n v="1"/>
    <x v="7"/>
    <n v="50500"/>
    <x v="1"/>
  </r>
  <r>
    <s v="Bulack"/>
    <n v="2015"/>
    <s v="Senvion"/>
    <s v="MM70"/>
    <x v="2"/>
    <n v="1"/>
    <x v="8"/>
    <n v="50500"/>
    <x v="1"/>
  </r>
  <r>
    <s v="Bulack"/>
    <n v="2015"/>
    <s v="Senvion"/>
    <s v="MM70"/>
    <x v="2"/>
    <n v="1"/>
    <x v="9"/>
    <n v="50500"/>
    <x v="1"/>
  </r>
  <r>
    <s v="Bulack"/>
    <n v="2015"/>
    <s v="Senvion"/>
    <s v="MM70"/>
    <x v="2"/>
    <n v="1"/>
    <x v="10"/>
    <n v="50500"/>
    <x v="1"/>
  </r>
  <r>
    <s v="Burg Gemünden"/>
    <n v="2016"/>
    <s v="Nordex"/>
    <s v="N62"/>
    <x v="1"/>
    <n v="1"/>
    <x v="5"/>
    <n v="38150"/>
    <x v="1"/>
  </r>
  <r>
    <s v="Burg Gemünden"/>
    <n v="2016"/>
    <s v="Nordex"/>
    <s v="N62"/>
    <x v="1"/>
    <n v="1"/>
    <x v="6"/>
    <n v="38150"/>
    <x v="1"/>
  </r>
  <r>
    <s v="Burg Gemünden"/>
    <n v="2016"/>
    <s v="Nordex"/>
    <s v="N62"/>
    <x v="1"/>
    <n v="1"/>
    <x v="7"/>
    <n v="38150"/>
    <x v="1"/>
  </r>
  <r>
    <s v="Burg Gemünden"/>
    <n v="2016"/>
    <s v="Nordex"/>
    <s v="N62"/>
    <x v="1"/>
    <n v="1"/>
    <x v="8"/>
    <n v="38150"/>
    <x v="1"/>
  </r>
  <r>
    <s v="Burg Gemünden"/>
    <n v="2016"/>
    <s v="Nordex"/>
    <s v="N62"/>
    <x v="1"/>
    <n v="1"/>
    <x v="9"/>
    <n v="38150"/>
    <x v="1"/>
  </r>
  <r>
    <s v="Burg Gemünden"/>
    <n v="2016"/>
    <s v="Nordex"/>
    <s v="N62"/>
    <x v="1"/>
    <n v="1"/>
    <x v="10"/>
    <n v="38150"/>
    <x v="1"/>
  </r>
  <r>
    <s v="Cuxhaven"/>
    <n v="2016"/>
    <s v="Nordex"/>
    <s v="N117"/>
    <x v="5"/>
    <n v="1"/>
    <x v="0"/>
    <n v="59000"/>
    <x v="0"/>
  </r>
  <r>
    <s v="Cuxhaven"/>
    <n v="2016"/>
    <s v="Nordex"/>
    <s v="N117"/>
    <x v="5"/>
    <n v="1"/>
    <x v="11"/>
    <n v="54000"/>
    <x v="0"/>
  </r>
  <r>
    <s v="Cuxhaven"/>
    <n v="2016"/>
    <s v="Nordex"/>
    <s v="N117"/>
    <x v="5"/>
    <n v="1"/>
    <x v="12"/>
    <n v="54000"/>
    <x v="0"/>
  </r>
  <r>
    <s v="Cuxhaven"/>
    <n v="2016"/>
    <s v="Nordex"/>
    <s v="N117"/>
    <x v="5"/>
    <n v="1"/>
    <x v="13"/>
    <n v="54000"/>
    <x v="0"/>
  </r>
  <r>
    <s v="Cuxhaven"/>
    <n v="2016"/>
    <s v="Nordex"/>
    <s v="N117"/>
    <x v="5"/>
    <n v="1"/>
    <x v="14"/>
    <n v="59000"/>
    <x v="0"/>
  </r>
  <r>
    <s v="Cuxhaven"/>
    <n v="2016"/>
    <s v="Nordex"/>
    <s v="N117"/>
    <x v="5"/>
    <n v="1"/>
    <x v="15"/>
    <n v="59000"/>
    <x v="0"/>
  </r>
  <r>
    <s v="Cuxhaven"/>
    <n v="2016"/>
    <s v="Nordex"/>
    <s v="N117"/>
    <x v="5"/>
    <n v="1"/>
    <x v="16"/>
    <n v="59000"/>
    <x v="0"/>
  </r>
  <r>
    <s v="Cuxhaven"/>
    <n v="2016"/>
    <s v="Nordex"/>
    <s v="N117"/>
    <x v="5"/>
    <n v="1"/>
    <x v="17"/>
    <n v="59000"/>
    <x v="0"/>
  </r>
  <r>
    <s v="Cuxhaven"/>
    <n v="2016"/>
    <s v="Nordex"/>
    <s v="N117"/>
    <x v="5"/>
    <n v="1"/>
    <x v="1"/>
    <n v="64000"/>
    <x v="0"/>
  </r>
  <r>
    <s v="Cuxhaven"/>
    <n v="2016"/>
    <s v="Nordex"/>
    <s v="N117"/>
    <x v="5"/>
    <n v="1"/>
    <x v="2"/>
    <n v="64000"/>
    <x v="0"/>
  </r>
  <r>
    <s v="Cuxhaven"/>
    <n v="2016"/>
    <s v="Nordex"/>
    <s v="N117"/>
    <x v="5"/>
    <n v="1"/>
    <x v="3"/>
    <n v="64000"/>
    <x v="0"/>
  </r>
  <r>
    <s v="Cuxhaven"/>
    <n v="2016"/>
    <s v="Nordex"/>
    <s v="N117"/>
    <x v="5"/>
    <n v="1"/>
    <x v="4"/>
    <n v="64000"/>
    <x v="0"/>
  </r>
  <r>
    <s v="Cuxhaven"/>
    <n v="2016"/>
    <s v="Nordex"/>
    <s v="N117"/>
    <x v="5"/>
    <n v="1"/>
    <x v="5"/>
    <n v="64000"/>
    <x v="0"/>
  </r>
  <r>
    <s v="Cuxhaven"/>
    <n v="2016"/>
    <s v="Nordex"/>
    <s v="N117"/>
    <x v="5"/>
    <n v="1"/>
    <x v="6"/>
    <n v="70000"/>
    <x v="0"/>
  </r>
  <r>
    <s v="Cuxhaven"/>
    <n v="2016"/>
    <s v="Nordex"/>
    <s v="N117"/>
    <x v="5"/>
    <n v="1"/>
    <x v="7"/>
    <n v="70000"/>
    <x v="0"/>
  </r>
  <r>
    <s v="Cuxhaven"/>
    <n v="2016"/>
    <s v="Nordex"/>
    <s v="N117"/>
    <x v="5"/>
    <n v="1"/>
    <x v="8"/>
    <n v="70000"/>
    <x v="0"/>
  </r>
  <r>
    <s v="Cuxhaven"/>
    <n v="2016"/>
    <s v="Nordex"/>
    <s v="N117"/>
    <x v="5"/>
    <n v="1"/>
    <x v="9"/>
    <n v="70000"/>
    <x v="0"/>
  </r>
  <r>
    <s v="Cuxhaven"/>
    <n v="2016"/>
    <s v="Nordex"/>
    <s v="N117"/>
    <x v="5"/>
    <n v="1"/>
    <x v="10"/>
    <n v="70000"/>
    <x v="0"/>
  </r>
  <r>
    <s v="Elsdorf"/>
    <n v="2015"/>
    <s v="Senvion"/>
    <s v="MD77"/>
    <x v="0"/>
    <n v="2"/>
    <x v="16"/>
    <n v="35000"/>
    <x v="1"/>
  </r>
  <r>
    <s v="Elsdorf"/>
    <n v="2015"/>
    <s v="Senvion"/>
    <s v="MD77"/>
    <x v="0"/>
    <n v="2"/>
    <x v="17"/>
    <n v="35000"/>
    <x v="1"/>
  </r>
  <r>
    <s v="Elsdorf"/>
    <n v="2015"/>
    <s v="Senvion"/>
    <s v="MD77"/>
    <x v="0"/>
    <n v="2"/>
    <x v="0"/>
    <n v="35000"/>
    <x v="1"/>
  </r>
  <r>
    <s v="Elsdorf"/>
    <n v="2015"/>
    <s v="Senvion"/>
    <s v="MD77"/>
    <x v="0"/>
    <n v="2"/>
    <x v="1"/>
    <n v="35000"/>
    <x v="1"/>
  </r>
  <r>
    <s v="Elsdorf"/>
    <n v="2015"/>
    <s v="Senvion"/>
    <s v="MD77"/>
    <x v="0"/>
    <n v="2"/>
    <x v="2"/>
    <n v="35000"/>
    <x v="1"/>
  </r>
  <r>
    <s v="Elsdorf"/>
    <n v="2015"/>
    <s v="Senvion"/>
    <s v="MD77"/>
    <x v="0"/>
    <n v="2"/>
    <x v="3"/>
    <n v="35000"/>
    <x v="1"/>
  </r>
  <r>
    <s v="Elsdorf"/>
    <n v="2015"/>
    <s v="Senvion"/>
    <s v="MD77"/>
    <x v="0"/>
    <n v="2"/>
    <x v="4"/>
    <n v="35000"/>
    <x v="1"/>
  </r>
  <r>
    <s v="Elsdorf"/>
    <n v="2015"/>
    <s v="Senvion"/>
    <s v="MD77"/>
    <x v="0"/>
    <n v="2"/>
    <x v="5"/>
    <n v="35000"/>
    <x v="1"/>
  </r>
  <r>
    <s v="Elsdorf"/>
    <n v="2015"/>
    <s v="Senvion"/>
    <s v="MD77"/>
    <x v="0"/>
    <n v="2"/>
    <x v="6"/>
    <n v="35000"/>
    <x v="1"/>
  </r>
  <r>
    <s v="Elsdorf"/>
    <n v="2015"/>
    <s v="Senvion"/>
    <s v="MD77"/>
    <x v="0"/>
    <n v="2"/>
    <x v="7"/>
    <n v="35000"/>
    <x v="1"/>
  </r>
  <r>
    <s v="Elsdorf"/>
    <n v="2015"/>
    <s v="Senvion"/>
    <s v="MD77"/>
    <x v="0"/>
    <n v="2"/>
    <x v="8"/>
    <n v="35000"/>
    <x v="1"/>
  </r>
  <r>
    <s v="Elsdorf"/>
    <n v="2015"/>
    <s v="Senvion"/>
    <s v="MD77"/>
    <x v="0"/>
    <n v="2"/>
    <x v="9"/>
    <n v="35000"/>
    <x v="1"/>
  </r>
  <r>
    <s v="Elsdorf"/>
    <n v="2015"/>
    <s v="Senvion"/>
    <s v="MD77"/>
    <x v="0"/>
    <n v="2"/>
    <x v="10"/>
    <n v="35000"/>
    <x v="1"/>
  </r>
  <r>
    <s v="Engelsberg"/>
    <n v="2016"/>
    <s v="Senvion"/>
    <s v="MD77"/>
    <x v="0"/>
    <n v="4"/>
    <x v="2"/>
    <n v="43600"/>
    <x v="1"/>
  </r>
  <r>
    <s v="Engelsberg"/>
    <n v="2016"/>
    <s v="Senvion"/>
    <s v="MD77"/>
    <x v="0"/>
    <n v="4"/>
    <x v="3"/>
    <n v="43600"/>
    <x v="1"/>
  </r>
  <r>
    <s v="Engelsberg"/>
    <n v="2016"/>
    <s v="Senvion"/>
    <s v="MD77"/>
    <x v="0"/>
    <n v="4"/>
    <x v="4"/>
    <n v="43600"/>
    <x v="1"/>
  </r>
  <r>
    <s v="Engelsberg"/>
    <n v="2016"/>
    <s v="Senvion"/>
    <s v="MD77"/>
    <x v="0"/>
    <n v="4"/>
    <x v="5"/>
    <n v="47600"/>
    <x v="1"/>
  </r>
  <r>
    <s v="Engelsberg"/>
    <n v="2016"/>
    <s v="Senvion"/>
    <s v="MD77"/>
    <x v="0"/>
    <n v="4"/>
    <x v="6"/>
    <n v="47600"/>
    <x v="1"/>
  </r>
  <r>
    <s v="Engelsberg"/>
    <n v="2016"/>
    <s v="Senvion"/>
    <s v="MD77"/>
    <x v="0"/>
    <n v="4"/>
    <x v="7"/>
    <n v="50600"/>
    <x v="1"/>
  </r>
  <r>
    <s v="Engelsberg"/>
    <n v="2016"/>
    <s v="Senvion"/>
    <s v="MD77"/>
    <x v="0"/>
    <n v="4"/>
    <x v="8"/>
    <n v="50600"/>
    <x v="1"/>
  </r>
  <r>
    <s v="Engelsberg"/>
    <n v="2016"/>
    <s v="Senvion"/>
    <s v="MD77"/>
    <x v="0"/>
    <n v="4"/>
    <x v="9"/>
    <n v="50600"/>
    <x v="1"/>
  </r>
  <r>
    <s v="Engelsberg"/>
    <n v="2016"/>
    <s v="Senvion"/>
    <s v="MD77"/>
    <x v="0"/>
    <n v="4"/>
    <x v="10"/>
    <n v="50600"/>
    <x v="1"/>
  </r>
  <r>
    <s v="Falkenwalde"/>
    <n v="2016"/>
    <s v="Senvion"/>
    <s v="MD77"/>
    <x v="0"/>
    <n v="8"/>
    <x v="3"/>
    <n v="40200"/>
    <x v="1"/>
  </r>
  <r>
    <s v="Falkenwalde"/>
    <n v="2016"/>
    <s v="Senvion"/>
    <s v="MD77"/>
    <x v="0"/>
    <n v="8"/>
    <x v="4"/>
    <n v="40200"/>
    <x v="1"/>
  </r>
  <r>
    <s v="Falkenwalde"/>
    <n v="2016"/>
    <s v="Senvion"/>
    <s v="MD77"/>
    <x v="0"/>
    <n v="8"/>
    <x v="5"/>
    <n v="43700"/>
    <x v="1"/>
  </r>
  <r>
    <s v="Falkenwalde"/>
    <n v="2016"/>
    <s v="Senvion"/>
    <s v="MD77"/>
    <x v="0"/>
    <n v="8"/>
    <x v="6"/>
    <n v="43700"/>
    <x v="1"/>
  </r>
  <r>
    <s v="Falkenwalde"/>
    <n v="2016"/>
    <s v="Senvion"/>
    <s v="MD77"/>
    <x v="0"/>
    <n v="8"/>
    <x v="7"/>
    <n v="47000"/>
    <x v="1"/>
  </r>
  <r>
    <s v="Falkenwalde"/>
    <n v="2016"/>
    <s v="Senvion"/>
    <s v="MD77"/>
    <x v="0"/>
    <n v="8"/>
    <x v="8"/>
    <n v="47000"/>
    <x v="1"/>
  </r>
  <r>
    <s v="Falkenwalde"/>
    <n v="2016"/>
    <s v="Senvion"/>
    <s v="MD77"/>
    <x v="0"/>
    <n v="8"/>
    <x v="9"/>
    <n v="47000"/>
    <x v="1"/>
  </r>
  <r>
    <s v="Falkenwalde"/>
    <n v="2016"/>
    <s v="Senvion"/>
    <s v="MD77"/>
    <x v="0"/>
    <n v="8"/>
    <x v="10"/>
    <n v="47000"/>
    <x v="1"/>
  </r>
  <r>
    <s v="Gamlen"/>
    <n v="2014"/>
    <s v="Nordex"/>
    <s v="N90"/>
    <x v="3"/>
    <n v="2"/>
    <x v="0"/>
    <n v="62500"/>
    <x v="1"/>
  </r>
  <r>
    <s v="Gamlen"/>
    <n v="2014"/>
    <s v="Nordex"/>
    <s v="N90"/>
    <x v="3"/>
    <n v="2"/>
    <x v="1"/>
    <n v="62500"/>
    <x v="1"/>
  </r>
  <r>
    <s v="Gamlen"/>
    <n v="2014"/>
    <s v="Nordex"/>
    <s v="N90"/>
    <x v="3"/>
    <n v="2"/>
    <x v="2"/>
    <n v="62500"/>
    <x v="1"/>
  </r>
  <r>
    <s v="Gamlen"/>
    <n v="2014"/>
    <s v="Nordex"/>
    <s v="N90"/>
    <x v="3"/>
    <n v="2"/>
    <x v="3"/>
    <n v="62500"/>
    <x v="1"/>
  </r>
  <r>
    <s v="Gamlen"/>
    <n v="2014"/>
    <s v="Nordex"/>
    <s v="N90"/>
    <x v="3"/>
    <n v="2"/>
    <x v="4"/>
    <n v="62500"/>
    <x v="1"/>
  </r>
  <r>
    <s v="Gamlen"/>
    <n v="2014"/>
    <s v="Nordex"/>
    <s v="N90"/>
    <x v="3"/>
    <n v="2"/>
    <x v="5"/>
    <n v="64000"/>
    <x v="1"/>
  </r>
  <r>
    <s v="Gamlen"/>
    <n v="2014"/>
    <s v="Nordex"/>
    <s v="N90"/>
    <x v="3"/>
    <n v="2"/>
    <x v="6"/>
    <n v="64000"/>
    <x v="1"/>
  </r>
  <r>
    <s v="Gamlen"/>
    <n v="2014"/>
    <s v="Nordex"/>
    <s v="N90"/>
    <x v="3"/>
    <n v="2"/>
    <x v="7"/>
    <n v="64000"/>
    <x v="1"/>
  </r>
  <r>
    <s v="Gamlen"/>
    <n v="2014"/>
    <s v="Nordex"/>
    <s v="N90"/>
    <x v="3"/>
    <n v="2"/>
    <x v="8"/>
    <n v="64000"/>
    <x v="1"/>
  </r>
  <r>
    <s v="Gamlen"/>
    <n v="2014"/>
    <s v="Nordex"/>
    <s v="N90"/>
    <x v="3"/>
    <n v="2"/>
    <x v="9"/>
    <n v="69000"/>
    <x v="1"/>
  </r>
  <r>
    <s v="Gamlen"/>
    <n v="2014"/>
    <s v="Nordex"/>
    <s v="N90"/>
    <x v="3"/>
    <n v="2"/>
    <x v="10"/>
    <n v="69000"/>
    <x v="1"/>
  </r>
  <r>
    <s v="Geislingen"/>
    <n v="2016"/>
    <s v="Nordex"/>
    <s v="N117"/>
    <x v="5"/>
    <n v="1"/>
    <x v="11"/>
    <n v="54000"/>
    <x v="0"/>
  </r>
  <r>
    <s v="Geislingen"/>
    <n v="2016"/>
    <s v="Nordex"/>
    <s v="N117"/>
    <x v="5"/>
    <n v="1"/>
    <x v="12"/>
    <n v="54000"/>
    <x v="0"/>
  </r>
  <r>
    <s v="Geislingen"/>
    <n v="2016"/>
    <s v="Nordex"/>
    <s v="N117"/>
    <x v="5"/>
    <n v="1"/>
    <x v="13"/>
    <n v="54000"/>
    <x v="0"/>
  </r>
  <r>
    <s v="Geislingen"/>
    <n v="2016"/>
    <s v="Nordex"/>
    <s v="N117"/>
    <x v="5"/>
    <n v="1"/>
    <x v="14"/>
    <n v="59000"/>
    <x v="0"/>
  </r>
  <r>
    <s v="Geislingen"/>
    <n v="2016"/>
    <s v="Nordex"/>
    <s v="N117"/>
    <x v="5"/>
    <n v="1"/>
    <x v="15"/>
    <n v="59000"/>
    <x v="0"/>
  </r>
  <r>
    <s v="Geislingen"/>
    <n v="2016"/>
    <s v="Nordex"/>
    <s v="N117"/>
    <x v="5"/>
    <n v="1"/>
    <x v="16"/>
    <n v="59000"/>
    <x v="0"/>
  </r>
  <r>
    <s v="Geislingen"/>
    <n v="2016"/>
    <s v="Nordex"/>
    <s v="N117"/>
    <x v="5"/>
    <n v="1"/>
    <x v="17"/>
    <n v="59000"/>
    <x v="0"/>
  </r>
  <r>
    <s v="Geislingen"/>
    <n v="2016"/>
    <s v="Nordex"/>
    <s v="N117"/>
    <x v="5"/>
    <n v="1"/>
    <x v="0"/>
    <n v="59000"/>
    <x v="0"/>
  </r>
  <r>
    <s v="Geislingen"/>
    <n v="2016"/>
    <s v="Nordex"/>
    <s v="N117"/>
    <x v="5"/>
    <n v="1"/>
    <x v="1"/>
    <n v="64000"/>
    <x v="0"/>
  </r>
  <r>
    <s v="Geislingen"/>
    <n v="2016"/>
    <s v="Nordex"/>
    <s v="N117"/>
    <x v="5"/>
    <n v="1"/>
    <x v="2"/>
    <n v="64000"/>
    <x v="0"/>
  </r>
  <r>
    <s v="Geislingen"/>
    <n v="2016"/>
    <s v="Nordex"/>
    <s v="N117"/>
    <x v="5"/>
    <n v="1"/>
    <x v="3"/>
    <n v="64000"/>
    <x v="0"/>
  </r>
  <r>
    <s v="Geislingen"/>
    <n v="2016"/>
    <s v="Nordex"/>
    <s v="N117"/>
    <x v="5"/>
    <n v="1"/>
    <x v="4"/>
    <n v="64000"/>
    <x v="0"/>
  </r>
  <r>
    <s v="Geislingen"/>
    <n v="2016"/>
    <s v="Nordex"/>
    <s v="N117"/>
    <x v="5"/>
    <n v="1"/>
    <x v="5"/>
    <n v="64000"/>
    <x v="0"/>
  </r>
  <r>
    <s v="Geislingen"/>
    <n v="2016"/>
    <s v="Nordex"/>
    <s v="N117"/>
    <x v="5"/>
    <n v="1"/>
    <x v="6"/>
    <n v="70000"/>
    <x v="0"/>
  </r>
  <r>
    <s v="Geislingen"/>
    <n v="2016"/>
    <s v="Nordex"/>
    <s v="N117"/>
    <x v="5"/>
    <n v="1"/>
    <x v="7"/>
    <n v="70000"/>
    <x v="0"/>
  </r>
  <r>
    <s v="Geislingen"/>
    <n v="2016"/>
    <s v="Nordex"/>
    <s v="N117"/>
    <x v="5"/>
    <n v="1"/>
    <x v="8"/>
    <n v="70000"/>
    <x v="0"/>
  </r>
  <r>
    <s v="Geislingen"/>
    <n v="2016"/>
    <s v="Nordex"/>
    <s v="N117"/>
    <x v="5"/>
    <n v="1"/>
    <x v="9"/>
    <n v="70000"/>
    <x v="0"/>
  </r>
  <r>
    <s v="Geislingen"/>
    <n v="2016"/>
    <s v="Nordex"/>
    <s v="N117"/>
    <x v="5"/>
    <n v="1"/>
    <x v="10"/>
    <n v="70000"/>
    <x v="0"/>
  </r>
  <r>
    <s v="Gembeck"/>
    <n v="2016"/>
    <s v="Senvion"/>
    <s v="MD77"/>
    <x v="0"/>
    <n v="4"/>
    <x v="3"/>
    <n v="41150"/>
    <x v="1"/>
  </r>
  <r>
    <s v="Gembeck"/>
    <n v="2016"/>
    <s v="Senvion"/>
    <s v="MD77"/>
    <x v="0"/>
    <n v="4"/>
    <x v="4"/>
    <n v="41150"/>
    <x v="1"/>
  </r>
  <r>
    <s v="Gembeck"/>
    <n v="2016"/>
    <s v="Senvion"/>
    <s v="MD77"/>
    <x v="0"/>
    <n v="4"/>
    <x v="5"/>
    <n v="41150"/>
    <x v="1"/>
  </r>
  <r>
    <s v="Gembeck"/>
    <n v="2016"/>
    <s v="Senvion"/>
    <s v="MD77"/>
    <x v="0"/>
    <n v="4"/>
    <x v="6"/>
    <n v="41150"/>
    <x v="1"/>
  </r>
  <r>
    <s v="Gembeck"/>
    <n v="2016"/>
    <s v="Senvion"/>
    <s v="MD77"/>
    <x v="0"/>
    <n v="4"/>
    <x v="7"/>
    <n v="44150"/>
    <x v="1"/>
  </r>
  <r>
    <s v="Gembeck"/>
    <n v="2016"/>
    <s v="Senvion"/>
    <s v="MD77"/>
    <x v="0"/>
    <n v="4"/>
    <x v="8"/>
    <n v="44150"/>
    <x v="1"/>
  </r>
  <r>
    <s v="Gembeck"/>
    <n v="2016"/>
    <s v="Senvion"/>
    <s v="MD77"/>
    <x v="0"/>
    <n v="4"/>
    <x v="9"/>
    <n v="44150"/>
    <x v="1"/>
  </r>
  <r>
    <s v="Gembeck"/>
    <n v="2016"/>
    <s v="Senvion"/>
    <s v="MD77"/>
    <x v="0"/>
    <n v="4"/>
    <x v="10"/>
    <n v="44150"/>
    <x v="1"/>
  </r>
  <r>
    <s v="Görike"/>
    <n v="2014"/>
    <s v="Senvion"/>
    <s v="MD70"/>
    <x v="0"/>
    <n v="13"/>
    <x v="2"/>
    <n v="24100"/>
    <x v="0"/>
  </r>
  <r>
    <s v="Görike"/>
    <n v="2014"/>
    <s v="Senvion"/>
    <s v="MD70"/>
    <x v="0"/>
    <n v="13"/>
    <x v="3"/>
    <n v="24100"/>
    <x v="0"/>
  </r>
  <r>
    <s v="Görike"/>
    <n v="2014"/>
    <s v="Senvion"/>
    <s v="MD70"/>
    <x v="0"/>
    <n v="13"/>
    <x v="4"/>
    <n v="24100"/>
    <x v="0"/>
  </r>
  <r>
    <s v="Görike"/>
    <n v="2014"/>
    <s v="Senvion"/>
    <s v="MD70"/>
    <x v="0"/>
    <n v="13"/>
    <x v="5"/>
    <n v="25900"/>
    <x v="0"/>
  </r>
  <r>
    <s v="Görike"/>
    <n v="2014"/>
    <s v="Senvion"/>
    <s v="MD70"/>
    <x v="0"/>
    <n v="13"/>
    <x v="6"/>
    <n v="25900"/>
    <x v="0"/>
  </r>
  <r>
    <s v="Görike"/>
    <n v="2014"/>
    <s v="Senvion"/>
    <s v="MD70"/>
    <x v="0"/>
    <n v="13"/>
    <x v="7"/>
    <n v="25900"/>
    <x v="0"/>
  </r>
  <r>
    <s v="Görike"/>
    <n v="2014"/>
    <s v="Senvion"/>
    <s v="MD70"/>
    <x v="0"/>
    <n v="13"/>
    <x v="8"/>
    <n v="25900"/>
    <x v="0"/>
  </r>
  <r>
    <s v="Görike"/>
    <n v="2014"/>
    <s v="Senvion"/>
    <s v="MD70"/>
    <x v="0"/>
    <n v="13"/>
    <x v="9"/>
    <n v="28800"/>
    <x v="0"/>
  </r>
  <r>
    <s v="Görike"/>
    <n v="2014"/>
    <s v="Senvion"/>
    <s v="MD70"/>
    <x v="0"/>
    <n v="13"/>
    <x v="10"/>
    <n v="28800"/>
    <x v="0"/>
  </r>
  <r>
    <s v="Großvargula"/>
    <n v="2016"/>
    <s v="Senvion"/>
    <s v="MD77"/>
    <x v="0"/>
    <n v="16"/>
    <x v="5"/>
    <n v="43800"/>
    <x v="1"/>
  </r>
  <r>
    <s v="Großvargula"/>
    <n v="2016"/>
    <s v="Senvion"/>
    <s v="MD77"/>
    <x v="0"/>
    <n v="16"/>
    <x v="6"/>
    <n v="43800"/>
    <x v="1"/>
  </r>
  <r>
    <s v="Großvargula"/>
    <n v="2016"/>
    <s v="Senvion"/>
    <s v="MD77"/>
    <x v="0"/>
    <n v="16"/>
    <x v="7"/>
    <n v="47300"/>
    <x v="1"/>
  </r>
  <r>
    <s v="Großvargula"/>
    <n v="2016"/>
    <s v="Senvion"/>
    <s v="MD77"/>
    <x v="0"/>
    <n v="16"/>
    <x v="8"/>
    <n v="47300"/>
    <x v="1"/>
  </r>
  <r>
    <s v="Großvargula"/>
    <n v="2016"/>
    <s v="Senvion"/>
    <s v="MD77"/>
    <x v="0"/>
    <n v="16"/>
    <x v="9"/>
    <n v="47300"/>
    <x v="1"/>
  </r>
  <r>
    <s v="Großvargula"/>
    <n v="2016"/>
    <s v="Senvion"/>
    <s v="MD77"/>
    <x v="0"/>
    <n v="16"/>
    <x v="10"/>
    <n v="47300"/>
    <x v="1"/>
  </r>
  <r>
    <s v="Gusterath"/>
    <n v="2016"/>
    <s v="Nordex"/>
    <s v="N62"/>
    <x v="1"/>
    <n v="1"/>
    <x v="6"/>
    <n v="41000"/>
    <x v="1"/>
  </r>
  <r>
    <s v="Gusterath"/>
    <n v="2016"/>
    <s v="Nordex"/>
    <s v="N62"/>
    <x v="1"/>
    <n v="1"/>
    <x v="7"/>
    <n v="41000"/>
    <x v="1"/>
  </r>
  <r>
    <s v="Gusterath"/>
    <n v="2016"/>
    <s v="Nordex"/>
    <s v="N62"/>
    <x v="1"/>
    <n v="1"/>
    <x v="8"/>
    <n v="41000"/>
    <x v="1"/>
  </r>
  <r>
    <s v="Gusterath"/>
    <n v="2016"/>
    <s v="Nordex"/>
    <s v="N62"/>
    <x v="1"/>
    <n v="1"/>
    <x v="9"/>
    <n v="41000"/>
    <x v="1"/>
  </r>
  <r>
    <s v="Gusterath"/>
    <n v="2016"/>
    <s v="Nordex"/>
    <s v="N62"/>
    <x v="1"/>
    <n v="1"/>
    <x v="10"/>
    <n v="41000"/>
    <x v="1"/>
  </r>
  <r>
    <s v="Hagen"/>
    <n v="2016"/>
    <s v="Senvion"/>
    <s v="MD77"/>
    <x v="0"/>
    <n v="1"/>
    <x v="6"/>
    <n v="38000"/>
    <x v="0"/>
  </r>
  <r>
    <s v="Hagen"/>
    <n v="2016"/>
    <s v="Senvion"/>
    <s v="MD77"/>
    <x v="0"/>
    <n v="1"/>
    <x v="4"/>
    <n v="38000"/>
    <x v="0"/>
  </r>
  <r>
    <s v="Hagen"/>
    <n v="2016"/>
    <s v="Senvion"/>
    <s v="MD77"/>
    <x v="0"/>
    <n v="1"/>
    <x v="5"/>
    <n v="38000"/>
    <x v="0"/>
  </r>
  <r>
    <s v="Hagen"/>
    <n v="2016"/>
    <s v="Senvion"/>
    <s v="MD77"/>
    <x v="0"/>
    <n v="1"/>
    <x v="7"/>
    <n v="40000"/>
    <x v="0"/>
  </r>
  <r>
    <s v="Hagen"/>
    <n v="2016"/>
    <s v="Senvion"/>
    <s v="MD77"/>
    <x v="0"/>
    <n v="1"/>
    <x v="8"/>
    <n v="40000"/>
    <x v="0"/>
  </r>
  <r>
    <s v="Hagen"/>
    <n v="2016"/>
    <s v="Senvion"/>
    <s v="MD77"/>
    <x v="0"/>
    <n v="1"/>
    <x v="9"/>
    <n v="40000"/>
    <x v="0"/>
  </r>
  <r>
    <s v="Hagen"/>
    <n v="2016"/>
    <s v="Senvion"/>
    <s v="MD77"/>
    <x v="0"/>
    <n v="1"/>
    <x v="10"/>
    <n v="40000"/>
    <x v="0"/>
  </r>
  <r>
    <s v="Halle/Kölkebeck"/>
    <n v="2016"/>
    <s v="Nordex"/>
    <s v="S77"/>
    <x v="0"/>
    <n v="2"/>
    <x v="1"/>
    <n v="41000"/>
    <x v="1"/>
  </r>
  <r>
    <s v="Halle/Kölkebeck"/>
    <n v="2016"/>
    <s v="Nordex"/>
    <s v="S77"/>
    <x v="0"/>
    <n v="2"/>
    <x v="2"/>
    <n v="41000"/>
    <x v="1"/>
  </r>
  <r>
    <s v="Halle/Kölkebeck"/>
    <n v="2016"/>
    <s v="Nordex"/>
    <s v="S77"/>
    <x v="0"/>
    <n v="2"/>
    <x v="3"/>
    <n v="45000"/>
    <x v="1"/>
  </r>
  <r>
    <s v="Halle/Kölkebeck"/>
    <n v="2016"/>
    <s v="Nordex"/>
    <s v="S77"/>
    <x v="0"/>
    <n v="2"/>
    <x v="4"/>
    <n v="45000"/>
    <x v="1"/>
  </r>
  <r>
    <s v="Halle/Kölkebeck"/>
    <n v="2016"/>
    <s v="Nordex"/>
    <s v="S77"/>
    <x v="0"/>
    <n v="2"/>
    <x v="5"/>
    <n v="45000"/>
    <x v="1"/>
  </r>
  <r>
    <s v="Halle/Kölkebeck"/>
    <n v="2016"/>
    <s v="Nordex"/>
    <s v="S77"/>
    <x v="0"/>
    <n v="2"/>
    <x v="6"/>
    <n v="45000"/>
    <x v="1"/>
  </r>
  <r>
    <s v="Halle/Kölkebeck"/>
    <n v="2016"/>
    <s v="Nordex"/>
    <s v="S77"/>
    <x v="0"/>
    <n v="2"/>
    <x v="7"/>
    <n v="51500"/>
    <x v="1"/>
  </r>
  <r>
    <s v="Halle/Kölkebeck"/>
    <n v="2016"/>
    <s v="Nordex"/>
    <s v="S77"/>
    <x v="0"/>
    <n v="2"/>
    <x v="8"/>
    <n v="51500"/>
    <x v="1"/>
  </r>
  <r>
    <s v="Halle/Kölkebeck"/>
    <n v="2016"/>
    <s v="Nordex"/>
    <s v="S77"/>
    <x v="0"/>
    <n v="2"/>
    <x v="9"/>
    <n v="51500"/>
    <x v="1"/>
  </r>
  <r>
    <s v="Halle/Kölkebeck"/>
    <n v="2016"/>
    <s v="Nordex"/>
    <s v="S77"/>
    <x v="0"/>
    <n v="2"/>
    <x v="10"/>
    <n v="51500"/>
    <x v="1"/>
  </r>
  <r>
    <s v="Harrienstedt"/>
    <n v="2016"/>
    <s v="Senvion"/>
    <s v="MD77"/>
    <x v="0"/>
    <n v="1"/>
    <x v="3"/>
    <n v="46800"/>
    <x v="1"/>
  </r>
  <r>
    <s v="Harrienstedt"/>
    <n v="2016"/>
    <s v="Senvion"/>
    <s v="MD77"/>
    <x v="0"/>
    <n v="1"/>
    <x v="4"/>
    <n v="46800"/>
    <x v="1"/>
  </r>
  <r>
    <s v="Harrienstedt"/>
    <n v="2016"/>
    <s v="Senvion"/>
    <s v="MD77"/>
    <x v="0"/>
    <n v="1"/>
    <x v="5"/>
    <n v="50300"/>
    <x v="1"/>
  </r>
  <r>
    <s v="Harrienstedt"/>
    <n v="2016"/>
    <s v="Senvion"/>
    <s v="MD77"/>
    <x v="0"/>
    <n v="1"/>
    <x v="6"/>
    <n v="50300"/>
    <x v="1"/>
  </r>
  <r>
    <s v="Harrienstedt"/>
    <n v="2016"/>
    <s v="Senvion"/>
    <s v="MD77"/>
    <x v="0"/>
    <n v="1"/>
    <x v="7"/>
    <n v="50300"/>
    <x v="1"/>
  </r>
  <r>
    <s v="Harrienstedt"/>
    <n v="2016"/>
    <s v="Senvion"/>
    <s v="MD77"/>
    <x v="0"/>
    <n v="1"/>
    <x v="8"/>
    <n v="55300"/>
    <x v="1"/>
  </r>
  <r>
    <s v="Harrienstedt"/>
    <n v="2016"/>
    <s v="Senvion"/>
    <s v="MD77"/>
    <x v="0"/>
    <n v="1"/>
    <x v="9"/>
    <n v="55300"/>
    <x v="1"/>
  </r>
  <r>
    <s v="Harrienstedt"/>
    <n v="2016"/>
    <s v="Senvion"/>
    <s v="MD77"/>
    <x v="0"/>
    <n v="1"/>
    <x v="10"/>
    <n v="55300"/>
    <x v="1"/>
  </r>
  <r>
    <s v="Harrislee"/>
    <n v="2017"/>
    <s v="Senvion"/>
    <s v="MD77"/>
    <x v="0"/>
    <n v="4"/>
    <x v="8"/>
    <n v="42500"/>
    <x v="0"/>
  </r>
  <r>
    <s v="Harrislee"/>
    <n v="2017"/>
    <s v="Senvion"/>
    <s v="MD77"/>
    <x v="0"/>
    <n v="4"/>
    <x v="9"/>
    <n v="42500"/>
    <x v="0"/>
  </r>
  <r>
    <s v="Harrislee"/>
    <n v="2017"/>
    <s v="Senvion"/>
    <s v="MD77"/>
    <x v="0"/>
    <n v="4"/>
    <x v="10"/>
    <n v="42500"/>
    <x v="0"/>
  </r>
  <r>
    <s v="Hasede"/>
    <n v="2016"/>
    <s v="Nordex"/>
    <s v="S77"/>
    <x v="0"/>
    <n v="4"/>
    <x v="5"/>
    <n v="47600"/>
    <x v="1"/>
  </r>
  <r>
    <s v="Hasede"/>
    <n v="2016"/>
    <s v="Nordex"/>
    <s v="S77"/>
    <x v="0"/>
    <n v="4"/>
    <x v="6"/>
    <n v="47600"/>
    <x v="1"/>
  </r>
  <r>
    <s v="Hasede"/>
    <n v="2016"/>
    <s v="Nordex"/>
    <s v="S77"/>
    <x v="0"/>
    <n v="4"/>
    <x v="7"/>
    <n v="47600"/>
    <x v="1"/>
  </r>
  <r>
    <s v="Hasede"/>
    <n v="2016"/>
    <s v="Nordex"/>
    <s v="S77"/>
    <x v="0"/>
    <n v="4"/>
    <x v="8"/>
    <n v="53600"/>
    <x v="1"/>
  </r>
  <r>
    <s v="Hasede"/>
    <n v="2016"/>
    <s v="Nordex"/>
    <s v="S77"/>
    <x v="0"/>
    <n v="4"/>
    <x v="9"/>
    <n v="53600"/>
    <x v="1"/>
  </r>
  <r>
    <s v="Hasede"/>
    <n v="2016"/>
    <s v="Nordex"/>
    <s v="S77"/>
    <x v="0"/>
    <n v="4"/>
    <x v="10"/>
    <n v="53600"/>
    <x v="1"/>
  </r>
  <r>
    <s v="Heidenau"/>
    <n v="2017"/>
    <s v="Senvion"/>
    <s v="MM82"/>
    <x v="2"/>
    <n v="3"/>
    <x v="3"/>
    <n v="41000"/>
    <x v="0"/>
  </r>
  <r>
    <s v="Heidenau"/>
    <n v="2017"/>
    <s v="Senvion"/>
    <s v="MM82"/>
    <x v="2"/>
    <n v="3"/>
    <x v="4"/>
    <n v="41000"/>
    <x v="0"/>
  </r>
  <r>
    <s v="Heidenau"/>
    <n v="2017"/>
    <s v="Senvion"/>
    <s v="MM82"/>
    <x v="2"/>
    <n v="3"/>
    <x v="5"/>
    <n v="44500"/>
    <x v="0"/>
  </r>
  <r>
    <s v="Heidenau"/>
    <n v="2017"/>
    <s v="Senvion"/>
    <s v="MM82"/>
    <x v="2"/>
    <n v="3"/>
    <x v="6"/>
    <n v="44500"/>
    <x v="0"/>
  </r>
  <r>
    <s v="Heidenau"/>
    <n v="2017"/>
    <s v="Senvion"/>
    <s v="MM82"/>
    <x v="2"/>
    <n v="3"/>
    <x v="7"/>
    <n v="44500"/>
    <x v="0"/>
  </r>
  <r>
    <s v="Heidenau"/>
    <n v="2017"/>
    <s v="Senvion"/>
    <s v="MM82"/>
    <x v="2"/>
    <n v="3"/>
    <x v="8"/>
    <n v="50000"/>
    <x v="0"/>
  </r>
  <r>
    <s v="Heidenau"/>
    <n v="2017"/>
    <s v="Senvion"/>
    <s v="MM82"/>
    <x v="2"/>
    <n v="3"/>
    <x v="9"/>
    <n v="50000"/>
    <x v="0"/>
  </r>
  <r>
    <s v="Heidenau"/>
    <n v="2017"/>
    <s v="Senvion"/>
    <s v="MM82"/>
    <x v="2"/>
    <n v="3"/>
    <x v="10"/>
    <n v="50000"/>
    <x v="0"/>
  </r>
  <r>
    <s v="Hirschlanden"/>
    <n v="2016"/>
    <s v="Senvion"/>
    <s v="MM82"/>
    <x v="2"/>
    <n v="2"/>
    <x v="3"/>
    <n v="42000"/>
    <x v="1"/>
  </r>
  <r>
    <s v="Hirschlanden"/>
    <n v="2016"/>
    <s v="Senvion"/>
    <s v="MM82"/>
    <x v="2"/>
    <n v="2"/>
    <x v="4"/>
    <n v="42000"/>
    <x v="1"/>
  </r>
  <r>
    <s v="Hirschlanden"/>
    <n v="2016"/>
    <s v="Senvion"/>
    <s v="MM82"/>
    <x v="2"/>
    <n v="2"/>
    <x v="5"/>
    <n v="42000"/>
    <x v="1"/>
  </r>
  <r>
    <s v="Hirschlanden"/>
    <n v="2016"/>
    <s v="Senvion"/>
    <s v="MM82"/>
    <x v="2"/>
    <n v="2"/>
    <x v="6"/>
    <n v="51000"/>
    <x v="1"/>
  </r>
  <r>
    <s v="Hirschlanden"/>
    <n v="2016"/>
    <s v="Senvion"/>
    <s v="MM82"/>
    <x v="2"/>
    <n v="2"/>
    <x v="7"/>
    <n v="51000"/>
    <x v="1"/>
  </r>
  <r>
    <s v="Hirschlanden"/>
    <n v="2016"/>
    <s v="Senvion"/>
    <s v="MM82"/>
    <x v="2"/>
    <n v="2"/>
    <x v="8"/>
    <n v="51000"/>
    <x v="1"/>
  </r>
  <r>
    <s v="Hirschlanden"/>
    <n v="2016"/>
    <s v="Senvion"/>
    <s v="MM82"/>
    <x v="2"/>
    <n v="2"/>
    <x v="9"/>
    <n v="51000"/>
    <x v="1"/>
  </r>
  <r>
    <s v="Hirschlanden"/>
    <n v="2016"/>
    <s v="Senvion"/>
    <s v="MM82"/>
    <x v="2"/>
    <n v="2"/>
    <x v="10"/>
    <n v="51000"/>
    <x v="1"/>
  </r>
  <r>
    <s v="Horn"/>
    <n v="2015"/>
    <s v="Fuhrländer"/>
    <s v="FL70"/>
    <x v="0"/>
    <n v="2"/>
    <x v="4"/>
    <n v="44000"/>
    <x v="0"/>
  </r>
  <r>
    <s v="Horn"/>
    <n v="2015"/>
    <s v="Fuhrländer"/>
    <s v="FL70"/>
    <x v="0"/>
    <n v="2"/>
    <x v="5"/>
    <n v="44000"/>
    <x v="0"/>
  </r>
  <r>
    <s v="Horn"/>
    <n v="2015"/>
    <s v="Fuhrländer"/>
    <s v="FL70"/>
    <x v="0"/>
    <n v="2"/>
    <x v="6"/>
    <n v="44000"/>
    <x v="0"/>
  </r>
  <r>
    <s v="Horn"/>
    <n v="2015"/>
    <s v="Fuhrländer"/>
    <s v="FL70"/>
    <x v="0"/>
    <n v="2"/>
    <x v="7"/>
    <n v="47500"/>
    <x v="0"/>
  </r>
  <r>
    <s v="Horn"/>
    <n v="2015"/>
    <s v="Fuhrländer"/>
    <s v="FL70"/>
    <x v="0"/>
    <n v="2"/>
    <x v="8"/>
    <n v="47500"/>
    <x v="0"/>
  </r>
  <r>
    <s v="Horn"/>
    <n v="2015"/>
    <s v="Fuhrländer"/>
    <s v="FL70"/>
    <x v="0"/>
    <n v="2"/>
    <x v="9"/>
    <n v="47500"/>
    <x v="0"/>
  </r>
  <r>
    <s v="Horn"/>
    <n v="2015"/>
    <s v="Fuhrländer"/>
    <s v="FL70"/>
    <x v="0"/>
    <n v="2"/>
    <x v="10"/>
    <n v="47500"/>
    <x v="0"/>
  </r>
  <r>
    <s v="Horningen"/>
    <n v="2014"/>
    <s v="Senvion"/>
    <s v="MD77"/>
    <x v="0"/>
    <n v="1"/>
    <x v="3"/>
    <n v="46000"/>
    <x v="0"/>
  </r>
  <r>
    <s v="Horningen"/>
    <n v="2014"/>
    <s v="Senvion"/>
    <s v="MD77"/>
    <x v="0"/>
    <n v="1"/>
    <x v="4"/>
    <n v="46000"/>
    <x v="0"/>
  </r>
  <r>
    <s v="Horningen"/>
    <n v="2014"/>
    <s v="Senvion"/>
    <s v="MD77"/>
    <x v="0"/>
    <n v="1"/>
    <x v="5"/>
    <n v="48500"/>
    <x v="0"/>
  </r>
  <r>
    <s v="Horningen"/>
    <n v="2014"/>
    <s v="Senvion"/>
    <s v="MD77"/>
    <x v="0"/>
    <n v="1"/>
    <x v="6"/>
    <n v="48500"/>
    <x v="0"/>
  </r>
  <r>
    <s v="Horningen"/>
    <n v="2014"/>
    <s v="Senvion"/>
    <s v="MD77"/>
    <x v="0"/>
    <n v="1"/>
    <x v="7"/>
    <n v="48500"/>
    <x v="0"/>
  </r>
  <r>
    <s v="Horningen"/>
    <n v="2014"/>
    <s v="Senvion"/>
    <s v="MD77"/>
    <x v="0"/>
    <n v="1"/>
    <x v="8"/>
    <n v="51000"/>
    <x v="0"/>
  </r>
  <r>
    <s v="Horningen"/>
    <n v="2014"/>
    <s v="Senvion"/>
    <s v="MD77"/>
    <x v="0"/>
    <n v="1"/>
    <x v="9"/>
    <n v="51000"/>
    <x v="0"/>
  </r>
  <r>
    <s v="Horningen"/>
    <n v="2014"/>
    <s v="Senvion"/>
    <s v="MD77"/>
    <x v="0"/>
    <n v="1"/>
    <x v="10"/>
    <n v="51000"/>
    <x v="0"/>
  </r>
  <r>
    <s v="Iven"/>
    <n v="2016"/>
    <s v="Nordex"/>
    <s v="N90/N100"/>
    <x v="3"/>
    <n v="2"/>
    <x v="17"/>
    <n v="61000"/>
    <x v="0"/>
  </r>
  <r>
    <s v="Iven"/>
    <n v="2016"/>
    <s v="Nordex"/>
    <s v="N90/N100"/>
    <x v="3"/>
    <n v="2"/>
    <x v="0"/>
    <n v="61000"/>
    <x v="0"/>
  </r>
  <r>
    <s v="Iven"/>
    <n v="2016"/>
    <s v="Nordex"/>
    <s v="N90/N100"/>
    <x v="3"/>
    <n v="2"/>
    <x v="1"/>
    <n v="61000"/>
    <x v="0"/>
  </r>
  <r>
    <s v="Iven"/>
    <n v="2016"/>
    <s v="Nordex"/>
    <s v="N90/N100"/>
    <x v="3"/>
    <n v="2"/>
    <x v="2"/>
    <n v="61000"/>
    <x v="0"/>
  </r>
  <r>
    <s v="Iven"/>
    <n v="2016"/>
    <s v="Nordex"/>
    <s v="N90/N100"/>
    <x v="3"/>
    <n v="2"/>
    <x v="3"/>
    <n v="63000"/>
    <x v="0"/>
  </r>
  <r>
    <s v="Iven"/>
    <n v="2016"/>
    <s v="Nordex"/>
    <s v="N90/N100"/>
    <x v="3"/>
    <n v="2"/>
    <x v="4"/>
    <n v="63000"/>
    <x v="0"/>
  </r>
  <r>
    <s v="Iven"/>
    <n v="2016"/>
    <s v="Nordex"/>
    <s v="N90/N100"/>
    <x v="3"/>
    <n v="2"/>
    <x v="5"/>
    <n v="63000"/>
    <x v="0"/>
  </r>
  <r>
    <s v="Iven"/>
    <n v="2016"/>
    <s v="Nordex"/>
    <s v="N90/N100"/>
    <x v="3"/>
    <n v="2"/>
    <x v="6"/>
    <n v="63000"/>
    <x v="0"/>
  </r>
  <r>
    <s v="Iven"/>
    <n v="2016"/>
    <s v="Nordex"/>
    <s v="N90/N100"/>
    <x v="3"/>
    <n v="2"/>
    <x v="7"/>
    <n v="68000"/>
    <x v="0"/>
  </r>
  <r>
    <s v="Iven"/>
    <n v="2016"/>
    <s v="Nordex"/>
    <s v="N90/N100"/>
    <x v="3"/>
    <n v="2"/>
    <x v="8"/>
    <n v="68000"/>
    <x v="0"/>
  </r>
  <r>
    <s v="Iven"/>
    <n v="2016"/>
    <s v="Nordex"/>
    <s v="N90/N100"/>
    <x v="3"/>
    <n v="2"/>
    <x v="9"/>
    <n v="68000"/>
    <x v="0"/>
  </r>
  <r>
    <s v="Iven"/>
    <n v="2016"/>
    <s v="Nordex"/>
    <s v="N90/N100"/>
    <x v="3"/>
    <n v="2"/>
    <x v="10"/>
    <n v="68000"/>
    <x v="0"/>
  </r>
  <r>
    <s v="Jeesewitz"/>
    <n v="2016"/>
    <s v="Nordex"/>
    <s v="N60"/>
    <x v="1"/>
    <n v="2"/>
    <x v="7"/>
    <n v="40000"/>
    <x v="0"/>
  </r>
  <r>
    <s v="Jeesewitz"/>
    <n v="2016"/>
    <s v="Nordex"/>
    <s v="N60"/>
    <x v="1"/>
    <n v="2"/>
    <x v="8"/>
    <n v="40000"/>
    <x v="0"/>
  </r>
  <r>
    <s v="Jeesewitz"/>
    <n v="2016"/>
    <s v="Nordex"/>
    <s v="N60"/>
    <x v="1"/>
    <n v="2"/>
    <x v="9"/>
    <n v="40000"/>
    <x v="0"/>
  </r>
  <r>
    <s v="Jeesewitz"/>
    <n v="2016"/>
    <s v="Nordex"/>
    <s v="N60"/>
    <x v="1"/>
    <n v="2"/>
    <x v="10"/>
    <n v="40000"/>
    <x v="0"/>
  </r>
  <r>
    <s v="Kalsow"/>
    <n v="2015"/>
    <s v="Nordex"/>
    <s v="S77"/>
    <x v="0"/>
    <n v="1"/>
    <x v="16"/>
    <n v="54300"/>
    <x v="1"/>
  </r>
  <r>
    <s v="Kalsow"/>
    <n v="2015"/>
    <s v="Nordex"/>
    <s v="S77"/>
    <x v="0"/>
    <n v="1"/>
    <x v="17"/>
    <n v="54300"/>
    <x v="1"/>
  </r>
  <r>
    <s v="Kalsow"/>
    <n v="2015"/>
    <s v="Nordex"/>
    <s v="S77"/>
    <x v="0"/>
    <n v="1"/>
    <x v="0"/>
    <n v="54300"/>
    <x v="1"/>
  </r>
  <r>
    <s v="Kalsow"/>
    <n v="2015"/>
    <s v="Nordex"/>
    <s v="S77"/>
    <x v="0"/>
    <n v="1"/>
    <x v="1"/>
    <n v="57300"/>
    <x v="1"/>
  </r>
  <r>
    <s v="Kalsow"/>
    <n v="2015"/>
    <s v="Nordex"/>
    <s v="S77"/>
    <x v="0"/>
    <n v="1"/>
    <x v="2"/>
    <n v="57300"/>
    <x v="1"/>
  </r>
  <r>
    <s v="Kalsow"/>
    <n v="2015"/>
    <s v="Nordex"/>
    <s v="S77"/>
    <x v="0"/>
    <n v="1"/>
    <x v="3"/>
    <n v="57300"/>
    <x v="1"/>
  </r>
  <r>
    <s v="Kalsow"/>
    <n v="2015"/>
    <s v="Nordex"/>
    <s v="S77"/>
    <x v="0"/>
    <n v="1"/>
    <x v="4"/>
    <n v="59300"/>
    <x v="1"/>
  </r>
  <r>
    <s v="Kalsow"/>
    <n v="2015"/>
    <s v="Nordex"/>
    <s v="S77"/>
    <x v="0"/>
    <n v="1"/>
    <x v="5"/>
    <n v="59300"/>
    <x v="1"/>
  </r>
  <r>
    <s v="Kalsow"/>
    <n v="2015"/>
    <s v="Nordex"/>
    <s v="S77"/>
    <x v="0"/>
    <n v="1"/>
    <x v="6"/>
    <n v="59300"/>
    <x v="1"/>
  </r>
  <r>
    <s v="Kalsow"/>
    <n v="2015"/>
    <s v="Nordex"/>
    <s v="S77"/>
    <x v="0"/>
    <n v="1"/>
    <x v="7"/>
    <n v="59300"/>
    <x v="1"/>
  </r>
  <r>
    <s v="Kemberg"/>
    <n v="2014"/>
    <s v="Nordex"/>
    <s v="S77"/>
    <x v="0"/>
    <n v="10"/>
    <x v="17"/>
    <n v="39500"/>
    <x v="0"/>
  </r>
  <r>
    <s v="Kemberg"/>
    <n v="2014"/>
    <s v="Nordex"/>
    <s v="S77"/>
    <x v="0"/>
    <n v="10"/>
    <x v="0"/>
    <n v="39500"/>
    <x v="0"/>
  </r>
  <r>
    <s v="Kemberg"/>
    <n v="2014"/>
    <s v="Nordex"/>
    <s v="S77"/>
    <x v="0"/>
    <n v="10"/>
    <x v="1"/>
    <n v="39500"/>
    <x v="0"/>
  </r>
  <r>
    <s v="Kemberg"/>
    <n v="2014"/>
    <s v="Nordex"/>
    <s v="S77"/>
    <x v="0"/>
    <n v="10"/>
    <x v="2"/>
    <n v="42500"/>
    <x v="0"/>
  </r>
  <r>
    <s v="Kemberg"/>
    <n v="2014"/>
    <s v="Nordex"/>
    <s v="S77"/>
    <x v="0"/>
    <n v="10"/>
    <x v="3"/>
    <n v="42500"/>
    <x v="0"/>
  </r>
  <r>
    <s v="Kemberg"/>
    <n v="2014"/>
    <s v="Nordex"/>
    <s v="S77"/>
    <x v="0"/>
    <n v="10"/>
    <x v="4"/>
    <n v="42500"/>
    <x v="0"/>
  </r>
  <r>
    <s v="Kemberg"/>
    <n v="2014"/>
    <s v="Nordex"/>
    <s v="S77"/>
    <x v="0"/>
    <n v="10"/>
    <x v="5"/>
    <n v="42500"/>
    <x v="0"/>
  </r>
  <r>
    <s v="Kemberg"/>
    <n v="2014"/>
    <s v="Nordex"/>
    <s v="S77"/>
    <x v="0"/>
    <n v="10"/>
    <x v="6"/>
    <n v="46000"/>
    <x v="0"/>
  </r>
  <r>
    <s v="Kemberg"/>
    <n v="2014"/>
    <s v="Nordex"/>
    <s v="S77"/>
    <x v="0"/>
    <n v="10"/>
    <x v="7"/>
    <n v="46000"/>
    <x v="0"/>
  </r>
  <r>
    <s v="Kemberg"/>
    <n v="2014"/>
    <s v="Nordex"/>
    <s v="S77"/>
    <x v="0"/>
    <n v="10"/>
    <x v="8"/>
    <n v="46000"/>
    <x v="0"/>
  </r>
  <r>
    <s v="Kemberg"/>
    <n v="2014"/>
    <s v="Nordex"/>
    <s v="S77"/>
    <x v="0"/>
    <n v="10"/>
    <x v="9"/>
    <n v="46000"/>
    <x v="0"/>
  </r>
  <r>
    <s v="Kemberg"/>
    <n v="2014"/>
    <s v="Nordex"/>
    <s v="S77"/>
    <x v="0"/>
    <n v="10"/>
    <x v="10"/>
    <n v="46000"/>
    <x v="0"/>
  </r>
  <r>
    <s v="Kleinröhrsdorf"/>
    <n v="2016"/>
    <s v="Nordex"/>
    <s v="N60"/>
    <x v="1"/>
    <n v="1"/>
    <x v="7"/>
    <n v="40000"/>
    <x v="0"/>
  </r>
  <r>
    <s v="Kleinröhrsdorf"/>
    <n v="2016"/>
    <s v="Nordex"/>
    <s v="N60"/>
    <x v="1"/>
    <n v="1"/>
    <x v="8"/>
    <n v="40000"/>
    <x v="0"/>
  </r>
  <r>
    <s v="Kleinröhrsdorf"/>
    <n v="2016"/>
    <s v="Nordex"/>
    <s v="N60"/>
    <x v="1"/>
    <n v="1"/>
    <x v="9"/>
    <n v="40000"/>
    <x v="0"/>
  </r>
  <r>
    <s v="Kleinröhrsdorf"/>
    <n v="2016"/>
    <s v="Nordex"/>
    <s v="N60"/>
    <x v="1"/>
    <n v="1"/>
    <x v="10"/>
    <n v="40000"/>
    <x v="0"/>
  </r>
  <r>
    <s v="Königshagen"/>
    <n v="2016"/>
    <s v="Senvion"/>
    <s v="MM100"/>
    <x v="2"/>
    <n v="2"/>
    <x v="11"/>
    <n v="36500"/>
    <x v="0"/>
  </r>
  <r>
    <s v="Königshagen"/>
    <n v="2016"/>
    <s v="Senvion"/>
    <s v="MM100"/>
    <x v="2"/>
    <n v="2"/>
    <x v="12"/>
    <n v="36500"/>
    <x v="0"/>
  </r>
  <r>
    <s v="Königshagen"/>
    <n v="2016"/>
    <s v="Senvion"/>
    <s v="MM100"/>
    <x v="2"/>
    <n v="2"/>
    <x v="13"/>
    <n v="36500"/>
    <x v="0"/>
  </r>
  <r>
    <s v="Königshagen"/>
    <n v="2016"/>
    <s v="Senvion"/>
    <s v="MM100"/>
    <x v="2"/>
    <n v="2"/>
    <x v="14"/>
    <n v="39500"/>
    <x v="0"/>
  </r>
  <r>
    <s v="Königshagen"/>
    <n v="2016"/>
    <s v="Senvion"/>
    <s v="MM100"/>
    <x v="2"/>
    <n v="2"/>
    <x v="15"/>
    <n v="39500"/>
    <x v="0"/>
  </r>
  <r>
    <s v="Königshagen"/>
    <n v="2016"/>
    <s v="Senvion"/>
    <s v="MM100"/>
    <x v="2"/>
    <n v="2"/>
    <x v="16"/>
    <n v="39500"/>
    <x v="0"/>
  </r>
  <r>
    <s v="Königshagen"/>
    <n v="2016"/>
    <s v="Senvion"/>
    <s v="MM100"/>
    <x v="2"/>
    <n v="2"/>
    <x v="17"/>
    <n v="42500"/>
    <x v="0"/>
  </r>
  <r>
    <s v="Königshagen"/>
    <n v="2016"/>
    <s v="Senvion"/>
    <s v="MM100"/>
    <x v="2"/>
    <n v="2"/>
    <x v="0"/>
    <n v="42500"/>
    <x v="0"/>
  </r>
  <r>
    <s v="Königshagen"/>
    <n v="2016"/>
    <s v="Senvion"/>
    <s v="MM100"/>
    <x v="2"/>
    <n v="2"/>
    <x v="1"/>
    <n v="42500"/>
    <x v="0"/>
  </r>
  <r>
    <s v="Königshagen"/>
    <n v="2016"/>
    <s v="Senvion"/>
    <s v="MM100"/>
    <x v="2"/>
    <n v="2"/>
    <x v="2"/>
    <n v="46000"/>
    <x v="0"/>
  </r>
  <r>
    <s v="Königshagen"/>
    <n v="2016"/>
    <s v="Senvion"/>
    <s v="MM100"/>
    <x v="2"/>
    <n v="2"/>
    <x v="3"/>
    <n v="46000"/>
    <x v="0"/>
  </r>
  <r>
    <s v="Königshagen"/>
    <n v="2016"/>
    <s v="Senvion"/>
    <s v="MM100"/>
    <x v="2"/>
    <n v="2"/>
    <x v="4"/>
    <n v="46000"/>
    <x v="0"/>
  </r>
  <r>
    <s v="Königshagen"/>
    <n v="2016"/>
    <s v="Senvion"/>
    <s v="MM100"/>
    <x v="2"/>
    <n v="2"/>
    <x v="5"/>
    <n v="46000"/>
    <x v="0"/>
  </r>
  <r>
    <s v="Königshagen"/>
    <n v="2016"/>
    <s v="Senvion"/>
    <s v="MM100"/>
    <x v="2"/>
    <n v="2"/>
    <x v="6"/>
    <n v="50500"/>
    <x v="0"/>
  </r>
  <r>
    <s v="Königshagen"/>
    <n v="2016"/>
    <s v="Senvion"/>
    <s v="MM100"/>
    <x v="2"/>
    <n v="2"/>
    <x v="7"/>
    <n v="50500"/>
    <x v="0"/>
  </r>
  <r>
    <s v="Königshagen"/>
    <n v="2016"/>
    <s v="Senvion"/>
    <s v="MM100"/>
    <x v="2"/>
    <n v="2"/>
    <x v="8"/>
    <n v="50500"/>
    <x v="0"/>
  </r>
  <r>
    <s v="Königshagen"/>
    <n v="2016"/>
    <s v="Senvion"/>
    <s v="MM100"/>
    <x v="2"/>
    <n v="2"/>
    <x v="9"/>
    <n v="50500"/>
    <x v="0"/>
  </r>
  <r>
    <s v="Königshagen"/>
    <n v="2016"/>
    <s v="Senvion"/>
    <s v="MM100"/>
    <x v="2"/>
    <n v="2"/>
    <x v="10"/>
    <n v="50500"/>
    <x v="0"/>
  </r>
  <r>
    <s v="Kribbe"/>
    <n v="2017"/>
    <s v="Senvion"/>
    <s v="MD77"/>
    <x v="0"/>
    <n v="3"/>
    <x v="3"/>
    <n v="40200"/>
    <x v="1"/>
  </r>
  <r>
    <s v="Kribbe"/>
    <n v="2017"/>
    <s v="Senvion"/>
    <s v="MD77"/>
    <x v="0"/>
    <n v="3"/>
    <x v="4"/>
    <n v="40200"/>
    <x v="1"/>
  </r>
  <r>
    <s v="Kribbe"/>
    <n v="2017"/>
    <s v="Senvion"/>
    <s v="MD77"/>
    <x v="0"/>
    <n v="3"/>
    <x v="5"/>
    <n v="43700"/>
    <x v="1"/>
  </r>
  <r>
    <s v="Kribbe"/>
    <n v="2017"/>
    <s v="Senvion"/>
    <s v="MD77"/>
    <x v="0"/>
    <n v="3"/>
    <x v="6"/>
    <n v="43700"/>
    <x v="1"/>
  </r>
  <r>
    <s v="Kribbe"/>
    <n v="2017"/>
    <s v="Senvion"/>
    <s v="MD77"/>
    <x v="0"/>
    <n v="3"/>
    <x v="7"/>
    <n v="47000"/>
    <x v="1"/>
  </r>
  <r>
    <s v="Kribbe"/>
    <n v="2017"/>
    <s v="Senvion"/>
    <s v="MD77"/>
    <x v="0"/>
    <n v="3"/>
    <x v="8"/>
    <n v="47000"/>
    <x v="1"/>
  </r>
  <r>
    <s v="Kribbe"/>
    <n v="2017"/>
    <s v="Senvion"/>
    <s v="MD77"/>
    <x v="0"/>
    <n v="3"/>
    <x v="9"/>
    <n v="47000"/>
    <x v="1"/>
  </r>
  <r>
    <s v="Kribbe"/>
    <n v="2017"/>
    <s v="Senvion"/>
    <s v="MD77"/>
    <x v="0"/>
    <n v="3"/>
    <x v="10"/>
    <n v="47000"/>
    <x v="1"/>
  </r>
  <r>
    <s v="Laakdal-Meerhout"/>
    <n v="2016"/>
    <s v="Senvion"/>
    <s v="MD77"/>
    <x v="0"/>
    <n v="6"/>
    <x v="0"/>
    <n v="43000"/>
    <x v="1"/>
  </r>
  <r>
    <s v="Laakdal-Meerhout"/>
    <n v="2016"/>
    <s v="Senvion"/>
    <s v="MD77"/>
    <x v="0"/>
    <n v="6"/>
    <x v="1"/>
    <n v="43000"/>
    <x v="1"/>
  </r>
  <r>
    <s v="Laakdal-Meerhout"/>
    <n v="2016"/>
    <s v="Senvion"/>
    <s v="MD77"/>
    <x v="0"/>
    <n v="6"/>
    <x v="2"/>
    <n v="43000"/>
    <x v="1"/>
  </r>
  <r>
    <s v="Laakdal-Meerhout"/>
    <n v="2016"/>
    <s v="Senvion"/>
    <s v="MD77"/>
    <x v="0"/>
    <n v="6"/>
    <x v="3"/>
    <n v="45000"/>
    <x v="1"/>
  </r>
  <r>
    <s v="Laakdal-Meerhout"/>
    <n v="2016"/>
    <s v="Senvion"/>
    <s v="MD77"/>
    <x v="0"/>
    <n v="6"/>
    <x v="4"/>
    <n v="45000"/>
    <x v="1"/>
  </r>
  <r>
    <s v="Laakdal-Meerhout"/>
    <n v="2016"/>
    <s v="Senvion"/>
    <s v="MD77"/>
    <x v="0"/>
    <n v="6"/>
    <x v="5"/>
    <n v="45000"/>
    <x v="1"/>
  </r>
  <r>
    <s v="Laakdal-Meerhout"/>
    <n v="2016"/>
    <s v="Senvion"/>
    <s v="MD77"/>
    <x v="0"/>
    <n v="6"/>
    <x v="6"/>
    <n v="47000"/>
    <x v="1"/>
  </r>
  <r>
    <s v="Laakdal-Meerhout"/>
    <n v="2016"/>
    <s v="Senvion"/>
    <s v="MD77"/>
    <x v="0"/>
    <n v="6"/>
    <x v="7"/>
    <n v="47000"/>
    <x v="1"/>
  </r>
  <r>
    <s v="Laakdal-Meerhout"/>
    <n v="2016"/>
    <s v="Senvion"/>
    <s v="MD77"/>
    <x v="0"/>
    <n v="6"/>
    <x v="8"/>
    <n v="47000"/>
    <x v="1"/>
  </r>
  <r>
    <s v="Laakdal-Meerhout"/>
    <n v="2016"/>
    <s v="Senvion"/>
    <s v="MD77"/>
    <x v="0"/>
    <n v="6"/>
    <x v="9"/>
    <n v="47000"/>
    <x v="1"/>
  </r>
  <r>
    <s v="Laakdal-Meerhout"/>
    <n v="2016"/>
    <s v="Senvion"/>
    <s v="MD77"/>
    <x v="0"/>
    <n v="6"/>
    <x v="10"/>
    <n v="47000"/>
    <x v="1"/>
  </r>
  <r>
    <s v="Lampaden"/>
    <n v="2015"/>
    <s v="Nordex"/>
    <s v="N60"/>
    <x v="1"/>
    <n v="1"/>
    <x v="6"/>
    <n v="41000"/>
    <x v="1"/>
  </r>
  <r>
    <s v="Lampaden"/>
    <n v="2015"/>
    <s v="Nordex"/>
    <s v="N60"/>
    <x v="1"/>
    <n v="1"/>
    <x v="7"/>
    <n v="41000"/>
    <x v="1"/>
  </r>
  <r>
    <s v="Lampaden"/>
    <n v="2015"/>
    <s v="Nordex"/>
    <s v="N60"/>
    <x v="1"/>
    <n v="1"/>
    <x v="8"/>
    <n v="41000"/>
    <x v="1"/>
  </r>
  <r>
    <s v="Lampaden"/>
    <n v="2015"/>
    <s v="Nordex"/>
    <s v="N60"/>
    <x v="1"/>
    <n v="1"/>
    <x v="9"/>
    <n v="41000"/>
    <x v="1"/>
  </r>
  <r>
    <s v="Lampaden"/>
    <n v="2015"/>
    <s v="Nordex"/>
    <s v="N60"/>
    <x v="1"/>
    <n v="1"/>
    <x v="10"/>
    <n v="41000"/>
    <x v="1"/>
  </r>
  <r>
    <s v="Lampaden"/>
    <n v="2015"/>
    <s v="Nordex"/>
    <s v="S70"/>
    <x v="0"/>
    <n v="1"/>
    <x v="4"/>
    <n v="50500"/>
    <x v="1"/>
  </r>
  <r>
    <s v="Lampaden"/>
    <n v="2015"/>
    <s v="Nordex"/>
    <s v="S70"/>
    <x v="0"/>
    <n v="1"/>
    <x v="5"/>
    <n v="50500"/>
    <x v="1"/>
  </r>
  <r>
    <s v="Lampaden"/>
    <n v="2015"/>
    <s v="Nordex"/>
    <s v="S70"/>
    <x v="0"/>
    <n v="1"/>
    <x v="6"/>
    <n v="50500"/>
    <x v="1"/>
  </r>
  <r>
    <s v="Lampaden"/>
    <n v="2015"/>
    <s v="Nordex"/>
    <s v="S70"/>
    <x v="0"/>
    <n v="1"/>
    <x v="7"/>
    <n v="50500"/>
    <x v="1"/>
  </r>
  <r>
    <s v="Lampaden"/>
    <n v="2015"/>
    <s v="Nordex"/>
    <s v="S70"/>
    <x v="0"/>
    <n v="1"/>
    <x v="8"/>
    <n v="50500"/>
    <x v="1"/>
  </r>
  <r>
    <s v="Lampaden"/>
    <n v="2015"/>
    <s v="Nordex"/>
    <s v="S70"/>
    <x v="0"/>
    <n v="1"/>
    <x v="9"/>
    <n v="52500"/>
    <x v="1"/>
  </r>
  <r>
    <s v="Lampaden"/>
    <n v="2015"/>
    <s v="Nordex"/>
    <s v="S70"/>
    <x v="0"/>
    <n v="1"/>
    <x v="10"/>
    <n v="52500"/>
    <x v="1"/>
  </r>
  <r>
    <s v="Le Plateau"/>
    <n v="2016"/>
    <s v="Nordex"/>
    <s v="N90"/>
    <x v="3"/>
    <n v="3"/>
    <x v="1"/>
    <n v="58000"/>
    <x v="0"/>
  </r>
  <r>
    <s v="Le Plateau"/>
    <n v="2016"/>
    <s v="Nordex"/>
    <s v="N90"/>
    <x v="3"/>
    <n v="3"/>
    <x v="2"/>
    <n v="58000"/>
    <x v="0"/>
  </r>
  <r>
    <s v="Le Plateau"/>
    <n v="2016"/>
    <s v="Nordex"/>
    <s v="N90"/>
    <x v="3"/>
    <n v="3"/>
    <x v="3"/>
    <n v="61000"/>
    <x v="0"/>
  </r>
  <r>
    <s v="Le Plateau"/>
    <n v="2016"/>
    <s v="Nordex"/>
    <s v="N90"/>
    <x v="3"/>
    <n v="3"/>
    <x v="4"/>
    <n v="61000"/>
    <x v="0"/>
  </r>
  <r>
    <s v="Le Plateau"/>
    <n v="2016"/>
    <s v="Nordex"/>
    <s v="N90"/>
    <x v="3"/>
    <n v="3"/>
    <x v="5"/>
    <n v="61000"/>
    <x v="0"/>
  </r>
  <r>
    <s v="Le Plateau"/>
    <n v="2016"/>
    <s v="Nordex"/>
    <s v="N90"/>
    <x v="3"/>
    <n v="3"/>
    <x v="6"/>
    <n v="61000"/>
    <x v="0"/>
  </r>
  <r>
    <s v="Le Plateau"/>
    <n v="2016"/>
    <s v="Nordex"/>
    <s v="N90"/>
    <x v="3"/>
    <n v="3"/>
    <x v="7"/>
    <n v="65000"/>
    <x v="0"/>
  </r>
  <r>
    <s v="Le Plateau"/>
    <n v="2016"/>
    <s v="Nordex"/>
    <s v="N90"/>
    <x v="3"/>
    <n v="3"/>
    <x v="8"/>
    <n v="65000"/>
    <x v="0"/>
  </r>
  <r>
    <s v="Le Plateau"/>
    <n v="2016"/>
    <s v="Nordex"/>
    <s v="N90"/>
    <x v="3"/>
    <n v="3"/>
    <x v="9"/>
    <n v="65000"/>
    <x v="0"/>
  </r>
  <r>
    <s v="Le Plateau"/>
    <n v="2016"/>
    <s v="Nordex"/>
    <s v="N90"/>
    <x v="3"/>
    <n v="3"/>
    <x v="10"/>
    <n v="65000"/>
    <x v="0"/>
  </r>
  <r>
    <s v="Lilet"/>
    <n v="2016"/>
    <s v="Nordex"/>
    <s v="N90"/>
    <x v="3"/>
    <n v="2"/>
    <x v="0"/>
    <n v="61000"/>
    <x v="0"/>
  </r>
  <r>
    <s v="Lilet"/>
    <n v="2016"/>
    <s v="Nordex"/>
    <s v="N90"/>
    <x v="3"/>
    <n v="2"/>
    <x v="1"/>
    <n v="61000"/>
    <x v="0"/>
  </r>
  <r>
    <s v="Lilet"/>
    <n v="2016"/>
    <s v="Nordex"/>
    <s v="N90"/>
    <x v="3"/>
    <n v="2"/>
    <x v="2"/>
    <n v="61000"/>
    <x v="0"/>
  </r>
  <r>
    <s v="Lilet"/>
    <n v="2016"/>
    <s v="Nordex"/>
    <s v="N90"/>
    <x v="3"/>
    <n v="2"/>
    <x v="3"/>
    <n v="63500"/>
    <x v="0"/>
  </r>
  <r>
    <s v="Lilet"/>
    <n v="2016"/>
    <s v="Nordex"/>
    <s v="N90"/>
    <x v="3"/>
    <n v="2"/>
    <x v="4"/>
    <n v="63500"/>
    <x v="0"/>
  </r>
  <r>
    <s v="Lilet"/>
    <n v="2016"/>
    <s v="Nordex"/>
    <s v="N90"/>
    <x v="3"/>
    <n v="2"/>
    <x v="5"/>
    <n v="63500"/>
    <x v="0"/>
  </r>
  <r>
    <s v="Lilet"/>
    <n v="2016"/>
    <s v="Nordex"/>
    <s v="N90"/>
    <x v="3"/>
    <n v="2"/>
    <x v="6"/>
    <n v="66000"/>
    <x v="0"/>
  </r>
  <r>
    <s v="Lilet"/>
    <n v="2016"/>
    <s v="Nordex"/>
    <s v="N90"/>
    <x v="3"/>
    <n v="2"/>
    <x v="7"/>
    <n v="66000"/>
    <x v="0"/>
  </r>
  <r>
    <s v="Lilet"/>
    <n v="2016"/>
    <s v="Nordex"/>
    <s v="N90"/>
    <x v="3"/>
    <n v="2"/>
    <x v="8"/>
    <n v="66000"/>
    <x v="0"/>
  </r>
  <r>
    <s v="Lilet"/>
    <n v="2016"/>
    <s v="Nordex"/>
    <s v="N90"/>
    <x v="3"/>
    <n v="2"/>
    <x v="9"/>
    <n v="66000"/>
    <x v="0"/>
  </r>
  <r>
    <s v="Lilet"/>
    <n v="2016"/>
    <s v="Nordex"/>
    <s v="N90"/>
    <x v="3"/>
    <n v="2"/>
    <x v="10"/>
    <n v="66000"/>
    <x v="0"/>
  </r>
  <r>
    <s v="Lingerhahn"/>
    <n v="2016"/>
    <s v="Senvion"/>
    <s v="MM92"/>
    <x v="2"/>
    <n v="4"/>
    <x v="14"/>
    <n v="38500"/>
    <x v="1"/>
  </r>
  <r>
    <s v="Lingerhahn"/>
    <n v="2016"/>
    <s v="Senvion"/>
    <s v="MM92"/>
    <x v="2"/>
    <n v="4"/>
    <x v="15"/>
    <n v="38500"/>
    <x v="1"/>
  </r>
  <r>
    <s v="Lingerhahn"/>
    <n v="2016"/>
    <s v="Senvion"/>
    <s v="MM92"/>
    <x v="2"/>
    <n v="4"/>
    <x v="16"/>
    <n v="38500"/>
    <x v="1"/>
  </r>
  <r>
    <s v="Lingerhahn"/>
    <n v="2016"/>
    <s v="Senvion"/>
    <s v="MM92"/>
    <x v="2"/>
    <n v="4"/>
    <x v="17"/>
    <n v="41500"/>
    <x v="1"/>
  </r>
  <r>
    <s v="Lingerhahn"/>
    <n v="2016"/>
    <s v="Senvion"/>
    <s v="MM92"/>
    <x v="2"/>
    <n v="4"/>
    <x v="0"/>
    <n v="41500"/>
    <x v="1"/>
  </r>
  <r>
    <s v="Lingerhahn"/>
    <n v="2016"/>
    <s v="Senvion"/>
    <s v="MM92"/>
    <x v="2"/>
    <n v="4"/>
    <x v="1"/>
    <n v="41500"/>
    <x v="1"/>
  </r>
  <r>
    <s v="Lingerhahn"/>
    <n v="2016"/>
    <s v="Senvion"/>
    <s v="MM92"/>
    <x v="2"/>
    <n v="4"/>
    <x v="2"/>
    <n v="45000"/>
    <x v="1"/>
  </r>
  <r>
    <s v="Lingerhahn"/>
    <n v="2016"/>
    <s v="Senvion"/>
    <s v="MM92"/>
    <x v="2"/>
    <n v="4"/>
    <x v="3"/>
    <n v="45000"/>
    <x v="1"/>
  </r>
  <r>
    <s v="Lingerhahn"/>
    <n v="2016"/>
    <s v="Senvion"/>
    <s v="MM92"/>
    <x v="2"/>
    <n v="4"/>
    <x v="4"/>
    <n v="45000"/>
    <x v="1"/>
  </r>
  <r>
    <s v="Lingerhahn"/>
    <n v="2016"/>
    <s v="Senvion"/>
    <s v="MM92"/>
    <x v="2"/>
    <n v="4"/>
    <x v="5"/>
    <n v="45000"/>
    <x v="1"/>
  </r>
  <r>
    <s v="Lingerhahn"/>
    <n v="2016"/>
    <s v="Senvion"/>
    <s v="MM92"/>
    <x v="2"/>
    <n v="4"/>
    <x v="6"/>
    <n v="49500"/>
    <x v="1"/>
  </r>
  <r>
    <s v="Lingerhahn"/>
    <n v="2016"/>
    <s v="Senvion"/>
    <s v="MM92"/>
    <x v="2"/>
    <n v="4"/>
    <x v="7"/>
    <n v="49500"/>
    <x v="1"/>
  </r>
  <r>
    <s v="Lingerhahn"/>
    <n v="2016"/>
    <s v="Senvion"/>
    <s v="MM92"/>
    <x v="2"/>
    <n v="4"/>
    <x v="8"/>
    <n v="49500"/>
    <x v="1"/>
  </r>
  <r>
    <s v="Lingerhahn"/>
    <n v="2016"/>
    <s v="Senvion"/>
    <s v="MM92"/>
    <x v="2"/>
    <n v="4"/>
    <x v="9"/>
    <n v="49500"/>
    <x v="1"/>
  </r>
  <r>
    <s v="Lingerhahn"/>
    <n v="2016"/>
    <s v="Senvion"/>
    <s v="MM92"/>
    <x v="2"/>
    <n v="4"/>
    <x v="10"/>
    <n v="49500"/>
    <x v="1"/>
  </r>
  <r>
    <s v="Marklohe"/>
    <n v="2015"/>
    <s v="Fuhrländer"/>
    <s v="FL77"/>
    <x v="0"/>
    <n v="1"/>
    <x v="1"/>
    <n v="39500"/>
    <x v="1"/>
  </r>
  <r>
    <s v="Marklohe"/>
    <n v="2015"/>
    <s v="Fuhrländer"/>
    <s v="FL78"/>
    <x v="0"/>
    <n v="1"/>
    <x v="2"/>
    <n v="39500"/>
    <x v="1"/>
  </r>
  <r>
    <s v="Marklohe"/>
    <n v="2015"/>
    <s v="Fuhrländer"/>
    <s v="FL79"/>
    <x v="0"/>
    <n v="1"/>
    <x v="3"/>
    <n v="39500"/>
    <x v="1"/>
  </r>
  <r>
    <s v="Marklohe"/>
    <n v="2015"/>
    <s v="Fuhrländer"/>
    <s v="FL80"/>
    <x v="0"/>
    <n v="1"/>
    <x v="4"/>
    <n v="39500"/>
    <x v="1"/>
  </r>
  <r>
    <s v="Marklohe"/>
    <n v="2015"/>
    <s v="Fuhrländer"/>
    <s v="FL81"/>
    <x v="0"/>
    <n v="1"/>
    <x v="5"/>
    <n v="44000"/>
    <x v="1"/>
  </r>
  <r>
    <s v="Marklohe"/>
    <n v="2015"/>
    <s v="Fuhrländer"/>
    <s v="FL82"/>
    <x v="0"/>
    <n v="1"/>
    <x v="6"/>
    <n v="44000"/>
    <x v="1"/>
  </r>
  <r>
    <s v="Marklohe"/>
    <n v="2015"/>
    <s v="Fuhrländer"/>
    <s v="FL83"/>
    <x v="0"/>
    <n v="1"/>
    <x v="7"/>
    <n v="44000"/>
    <x v="1"/>
  </r>
  <r>
    <s v="Marklohe"/>
    <n v="2015"/>
    <s v="Fuhrländer"/>
    <s v="FL84"/>
    <x v="0"/>
    <n v="1"/>
    <x v="8"/>
    <n v="44000"/>
    <x v="1"/>
  </r>
  <r>
    <s v="Marklohe"/>
    <n v="2015"/>
    <s v="Fuhrländer"/>
    <s v="FL85"/>
    <x v="0"/>
    <n v="1"/>
    <x v="9"/>
    <n v="49500"/>
    <x v="1"/>
  </r>
  <r>
    <s v="Marklohe"/>
    <n v="2015"/>
    <s v="Fuhrländer"/>
    <s v="FL86"/>
    <x v="0"/>
    <n v="1"/>
    <x v="10"/>
    <n v="49500"/>
    <x v="1"/>
  </r>
  <r>
    <s v="Meckel/Gilzem"/>
    <n v="2014"/>
    <s v="Senvion"/>
    <s v="MD77"/>
    <x v="0"/>
    <n v="2"/>
    <x v="5"/>
    <n v="43500"/>
    <x v="0"/>
  </r>
  <r>
    <s v="Meckel/Gilzem"/>
    <n v="2014"/>
    <s v="Senvion"/>
    <s v="MD77"/>
    <x v="0"/>
    <n v="2"/>
    <x v="6"/>
    <n v="43500"/>
    <x v="0"/>
  </r>
  <r>
    <s v="Meckel/Gilzem"/>
    <n v="2014"/>
    <s v="Senvion"/>
    <s v="MD77"/>
    <x v="0"/>
    <n v="2"/>
    <x v="7"/>
    <n v="47000"/>
    <x v="0"/>
  </r>
  <r>
    <s v="Meckel/Gilzem"/>
    <n v="2014"/>
    <s v="Senvion"/>
    <s v="MD77"/>
    <x v="0"/>
    <n v="2"/>
    <x v="8"/>
    <n v="47000"/>
    <x v="0"/>
  </r>
  <r>
    <s v="Meckel/Gilzem"/>
    <n v="2014"/>
    <s v="Senvion"/>
    <s v="MD77"/>
    <x v="0"/>
    <n v="2"/>
    <x v="9"/>
    <n v="47000"/>
    <x v="0"/>
  </r>
  <r>
    <s v="Meckel/Gilzem"/>
    <n v="2014"/>
    <s v="Senvion"/>
    <s v="MD77"/>
    <x v="0"/>
    <n v="2"/>
    <x v="10"/>
    <n v="47000"/>
    <x v="0"/>
  </r>
  <r>
    <s v="Meckel/Gilzem"/>
    <n v="2014"/>
    <s v="Senvion"/>
    <s v="MD77"/>
    <x v="0"/>
    <n v="3"/>
    <x v="1"/>
    <n v="39500"/>
    <x v="0"/>
  </r>
  <r>
    <s v="Meckel/Gilzem"/>
    <n v="2014"/>
    <s v="Senvion"/>
    <s v="MD77"/>
    <x v="0"/>
    <n v="3"/>
    <x v="2"/>
    <n v="39500"/>
    <x v="0"/>
  </r>
  <r>
    <s v="Meckel/Gilzem"/>
    <n v="2014"/>
    <s v="Senvion"/>
    <s v="MD77"/>
    <x v="0"/>
    <n v="3"/>
    <x v="3"/>
    <n v="39500"/>
    <x v="0"/>
  </r>
  <r>
    <s v="Meckel/Gilzem"/>
    <n v="2014"/>
    <s v="Senvion"/>
    <s v="MD77"/>
    <x v="0"/>
    <n v="3"/>
    <x v="4"/>
    <n v="43500"/>
    <x v="0"/>
  </r>
  <r>
    <s v="Meckel/Gilzem"/>
    <n v="2014"/>
    <s v="Senvion"/>
    <s v="MD77"/>
    <x v="0"/>
    <n v="3"/>
    <x v="5"/>
    <n v="43500"/>
    <x v="0"/>
  </r>
  <r>
    <s v="Meckel/Gilzem"/>
    <n v="2014"/>
    <s v="Senvion"/>
    <s v="MD77"/>
    <x v="0"/>
    <n v="3"/>
    <x v="6"/>
    <n v="43500"/>
    <x v="0"/>
  </r>
  <r>
    <s v="Meckel/Gilzem"/>
    <n v="2014"/>
    <s v="Senvion"/>
    <s v="MD77"/>
    <x v="0"/>
    <n v="3"/>
    <x v="7"/>
    <n v="47000"/>
    <x v="0"/>
  </r>
  <r>
    <s v="Meckel/Gilzem"/>
    <n v="2014"/>
    <s v="Senvion"/>
    <s v="MD77"/>
    <x v="0"/>
    <n v="3"/>
    <x v="8"/>
    <n v="47000"/>
    <x v="0"/>
  </r>
  <r>
    <s v="Meckel/Gilzem"/>
    <n v="2014"/>
    <s v="Senvion"/>
    <s v="MD77"/>
    <x v="0"/>
    <n v="3"/>
    <x v="9"/>
    <n v="47000"/>
    <x v="0"/>
  </r>
  <r>
    <s v="Meckel/Gilzem"/>
    <n v="2014"/>
    <s v="Senvion"/>
    <s v="MD77"/>
    <x v="0"/>
    <n v="3"/>
    <x v="10"/>
    <n v="47000"/>
    <x v="0"/>
  </r>
  <r>
    <s v="Meckel/Gilzem"/>
    <n v="2014"/>
    <s v="Senvion"/>
    <s v="MM82"/>
    <x v="2"/>
    <n v="2"/>
    <x v="0"/>
    <n v="56500"/>
    <x v="0"/>
  </r>
  <r>
    <s v="Meckel/Gilzem"/>
    <n v="2014"/>
    <s v="Senvion"/>
    <s v="MM82"/>
    <x v="2"/>
    <n v="2"/>
    <x v="1"/>
    <n v="56500"/>
    <x v="0"/>
  </r>
  <r>
    <s v="Meckel/Gilzem"/>
    <n v="2014"/>
    <s v="Senvion"/>
    <s v="MM82"/>
    <x v="2"/>
    <n v="2"/>
    <x v="2"/>
    <n v="56500"/>
    <x v="0"/>
  </r>
  <r>
    <s v="Meckel/Gilzem"/>
    <n v="2014"/>
    <s v="Senvion"/>
    <s v="MM82"/>
    <x v="2"/>
    <n v="2"/>
    <x v="3"/>
    <n v="56500"/>
    <x v="0"/>
  </r>
  <r>
    <s v="Meckel/Gilzem"/>
    <n v="2014"/>
    <s v="Senvion"/>
    <s v="MM82"/>
    <x v="2"/>
    <n v="2"/>
    <x v="4"/>
    <n v="56500"/>
    <x v="0"/>
  </r>
  <r>
    <s v="Meckel/Gilzem"/>
    <n v="2014"/>
    <s v="Senvion"/>
    <s v="MM82"/>
    <x v="2"/>
    <n v="2"/>
    <x v="5"/>
    <n v="56500"/>
    <x v="0"/>
  </r>
  <r>
    <s v="Meckel/Gilzem"/>
    <n v="2014"/>
    <s v="Senvion"/>
    <s v="MM82"/>
    <x v="2"/>
    <n v="2"/>
    <x v="6"/>
    <n v="58500"/>
    <x v="0"/>
  </r>
  <r>
    <s v="Meckel/Gilzem"/>
    <n v="2014"/>
    <s v="Senvion"/>
    <s v="MM82"/>
    <x v="2"/>
    <n v="2"/>
    <x v="7"/>
    <n v="58500"/>
    <x v="0"/>
  </r>
  <r>
    <s v="Meckel/Gilzem"/>
    <n v="2014"/>
    <s v="Senvion"/>
    <s v="MM82"/>
    <x v="2"/>
    <n v="2"/>
    <x v="8"/>
    <n v="58500"/>
    <x v="0"/>
  </r>
  <r>
    <s v="Meckel/Gilzem"/>
    <n v="2014"/>
    <s v="Senvion"/>
    <s v="MM82"/>
    <x v="2"/>
    <n v="2"/>
    <x v="9"/>
    <n v="58500"/>
    <x v="0"/>
  </r>
  <r>
    <s v="Meckel/Gilzem"/>
    <n v="2014"/>
    <s v="Senvion"/>
    <s v="MM82"/>
    <x v="2"/>
    <n v="2"/>
    <x v="10"/>
    <n v="58500"/>
    <x v="0"/>
  </r>
  <r>
    <s v="Meyen West"/>
    <n v="2015"/>
    <s v="Nordex"/>
    <s v="S70"/>
    <x v="0"/>
    <n v="2"/>
    <x v="18"/>
    <n v="43500"/>
    <x v="0"/>
  </r>
  <r>
    <s v="Meyen West"/>
    <n v="2015"/>
    <s v="Nordex"/>
    <s v="S70"/>
    <x v="0"/>
    <n v="2"/>
    <x v="19"/>
    <n v="43500"/>
    <x v="0"/>
  </r>
  <r>
    <s v="Meyen West"/>
    <n v="2015"/>
    <s v="Nordex"/>
    <s v="S70"/>
    <x v="0"/>
    <n v="2"/>
    <x v="11"/>
    <n v="43500"/>
    <x v="0"/>
  </r>
  <r>
    <s v="Meyen West"/>
    <n v="2015"/>
    <s v="Nordex"/>
    <s v="S70"/>
    <x v="0"/>
    <n v="2"/>
    <x v="12"/>
    <n v="43500"/>
    <x v="0"/>
  </r>
  <r>
    <s v="Meyen West"/>
    <n v="2015"/>
    <s v="Nordex"/>
    <s v="S70"/>
    <x v="0"/>
    <n v="2"/>
    <x v="13"/>
    <n v="43500"/>
    <x v="0"/>
  </r>
  <r>
    <s v="Meyen West"/>
    <n v="2015"/>
    <s v="Nordex"/>
    <s v="S70"/>
    <x v="0"/>
    <n v="2"/>
    <x v="14"/>
    <n v="45000"/>
    <x v="0"/>
  </r>
  <r>
    <s v="Meyen West"/>
    <n v="2015"/>
    <s v="Nordex"/>
    <s v="S70"/>
    <x v="0"/>
    <n v="2"/>
    <x v="15"/>
    <n v="45000"/>
    <x v="0"/>
  </r>
  <r>
    <s v="Meyen West"/>
    <n v="2015"/>
    <s v="Nordex"/>
    <s v="S70"/>
    <x v="0"/>
    <n v="2"/>
    <x v="16"/>
    <n v="45000"/>
    <x v="0"/>
  </r>
  <r>
    <s v="Meyen West"/>
    <n v="2015"/>
    <s v="Nordex"/>
    <s v="S70"/>
    <x v="0"/>
    <n v="2"/>
    <x v="17"/>
    <n v="45000"/>
    <x v="0"/>
  </r>
  <r>
    <s v="Momerstroff"/>
    <n v="2015"/>
    <s v="Nordex"/>
    <s v="N90"/>
    <x v="3"/>
    <n v="5"/>
    <x v="0"/>
    <n v="59000"/>
    <x v="1"/>
  </r>
  <r>
    <s v="Momerstroff"/>
    <n v="2015"/>
    <s v="Nordex"/>
    <s v="N90"/>
    <x v="3"/>
    <n v="5"/>
    <x v="1"/>
    <n v="59000"/>
    <x v="1"/>
  </r>
  <r>
    <s v="Momerstroff"/>
    <n v="2015"/>
    <s v="Nordex"/>
    <s v="N90"/>
    <x v="3"/>
    <n v="5"/>
    <x v="2"/>
    <n v="59000"/>
    <x v="1"/>
  </r>
  <r>
    <s v="Momerstroff"/>
    <n v="2015"/>
    <s v="Nordex"/>
    <s v="N90"/>
    <x v="3"/>
    <n v="5"/>
    <x v="3"/>
    <n v="64000"/>
    <x v="1"/>
  </r>
  <r>
    <s v="Momerstroff"/>
    <n v="2015"/>
    <s v="Nordex"/>
    <s v="N90"/>
    <x v="3"/>
    <n v="5"/>
    <x v="4"/>
    <n v="64000"/>
    <x v="1"/>
  </r>
  <r>
    <s v="Momerstroff"/>
    <n v="2015"/>
    <s v="Nordex"/>
    <s v="N90"/>
    <x v="3"/>
    <n v="5"/>
    <x v="5"/>
    <n v="64000"/>
    <x v="1"/>
  </r>
  <r>
    <s v="Momerstroff"/>
    <n v="2015"/>
    <s v="Nordex"/>
    <s v="N90"/>
    <x v="3"/>
    <n v="5"/>
    <x v="6"/>
    <n v="64000"/>
    <x v="1"/>
  </r>
  <r>
    <s v="Momerstroff"/>
    <n v="2015"/>
    <s v="Nordex"/>
    <s v="N90"/>
    <x v="3"/>
    <n v="5"/>
    <x v="7"/>
    <n v="69000"/>
    <x v="1"/>
  </r>
  <r>
    <s v="Momerstroff"/>
    <n v="2015"/>
    <s v="Nordex"/>
    <s v="N90"/>
    <x v="3"/>
    <n v="5"/>
    <x v="8"/>
    <n v="69000"/>
    <x v="1"/>
  </r>
  <r>
    <s v="Momerstroff"/>
    <n v="2015"/>
    <s v="Nordex"/>
    <s v="N90"/>
    <x v="3"/>
    <n v="5"/>
    <x v="9"/>
    <n v="69000"/>
    <x v="1"/>
  </r>
  <r>
    <s v="Momerstroff"/>
    <n v="2015"/>
    <s v="Nordex"/>
    <s v="N90"/>
    <x v="3"/>
    <n v="5"/>
    <x v="10"/>
    <n v="69000"/>
    <x v="1"/>
  </r>
  <r>
    <s v="Neuengörs"/>
    <n v="2016"/>
    <s v="Senvion"/>
    <s v="MD77"/>
    <x v="0"/>
    <n v="6"/>
    <x v="5"/>
    <n v="41800"/>
    <x v="1"/>
  </r>
  <r>
    <s v="Neuengörs"/>
    <n v="2016"/>
    <s v="Senvion"/>
    <s v="MD77"/>
    <x v="0"/>
    <n v="6"/>
    <x v="6"/>
    <n v="41800"/>
    <x v="1"/>
  </r>
  <r>
    <s v="Neuengörs"/>
    <n v="2016"/>
    <s v="Senvion"/>
    <s v="MD77"/>
    <x v="0"/>
    <n v="6"/>
    <x v="7"/>
    <n v="41800"/>
    <x v="1"/>
  </r>
  <r>
    <s v="Neuengörs"/>
    <n v="2016"/>
    <s v="Senvion"/>
    <s v="MD77"/>
    <x v="0"/>
    <n v="6"/>
    <x v="8"/>
    <n v="41800"/>
    <x v="1"/>
  </r>
  <r>
    <s v="Neuengörs"/>
    <n v="2016"/>
    <s v="Senvion"/>
    <s v="MD77"/>
    <x v="0"/>
    <n v="6"/>
    <x v="9"/>
    <n v="41800"/>
    <x v="1"/>
  </r>
  <r>
    <s v="Neuengörs"/>
    <n v="2016"/>
    <s v="Senvion"/>
    <s v="MD77"/>
    <x v="0"/>
    <n v="6"/>
    <x v="10"/>
    <n v="41800"/>
    <x v="1"/>
  </r>
  <r>
    <s v="Nottuln"/>
    <n v="2016"/>
    <s v="Nordex"/>
    <s v="S77"/>
    <x v="0"/>
    <n v="4"/>
    <x v="0"/>
    <n v="39500"/>
    <x v="1"/>
  </r>
  <r>
    <s v="Nottuln"/>
    <n v="2016"/>
    <s v="Nordex"/>
    <s v="S77"/>
    <x v="0"/>
    <n v="4"/>
    <x v="1"/>
    <n v="39500"/>
    <x v="1"/>
  </r>
  <r>
    <s v="Nottuln"/>
    <n v="2016"/>
    <s v="Nordex"/>
    <s v="S77"/>
    <x v="0"/>
    <n v="4"/>
    <x v="2"/>
    <n v="39500"/>
    <x v="1"/>
  </r>
  <r>
    <s v="Nottuln"/>
    <n v="2016"/>
    <s v="Nordex"/>
    <s v="S77"/>
    <x v="0"/>
    <n v="4"/>
    <x v="3"/>
    <n v="42500"/>
    <x v="1"/>
  </r>
  <r>
    <s v="Nottuln"/>
    <n v="2016"/>
    <s v="Nordex"/>
    <s v="S77"/>
    <x v="0"/>
    <n v="4"/>
    <x v="4"/>
    <n v="42500"/>
    <x v="1"/>
  </r>
  <r>
    <s v="Nottuln"/>
    <n v="2016"/>
    <s v="Nordex"/>
    <s v="S77"/>
    <x v="0"/>
    <n v="4"/>
    <x v="5"/>
    <n v="42500"/>
    <x v="1"/>
  </r>
  <r>
    <s v="Nottuln"/>
    <n v="2016"/>
    <s v="Nordex"/>
    <s v="S77"/>
    <x v="0"/>
    <n v="4"/>
    <x v="6"/>
    <n v="46000"/>
    <x v="1"/>
  </r>
  <r>
    <s v="Nottuln"/>
    <n v="2016"/>
    <s v="Nordex"/>
    <s v="S77"/>
    <x v="0"/>
    <n v="4"/>
    <x v="7"/>
    <n v="46000"/>
    <x v="1"/>
  </r>
  <r>
    <s v="Nottuln"/>
    <n v="2016"/>
    <s v="Nordex"/>
    <s v="S77"/>
    <x v="0"/>
    <n v="4"/>
    <x v="8"/>
    <n v="46000"/>
    <x v="1"/>
  </r>
  <r>
    <s v="Nottuln"/>
    <n v="2016"/>
    <s v="Nordex"/>
    <s v="S77"/>
    <x v="0"/>
    <n v="4"/>
    <x v="9"/>
    <n v="48500"/>
    <x v="1"/>
  </r>
  <r>
    <s v="Nottuln"/>
    <n v="2016"/>
    <s v="Nordex"/>
    <s v="S77"/>
    <x v="0"/>
    <n v="4"/>
    <x v="10"/>
    <n v="48500"/>
    <x v="1"/>
  </r>
  <r>
    <s v="Ohe II"/>
    <n v="2016"/>
    <s v="Senvion"/>
    <s v="MD77"/>
    <x v="0"/>
    <n v="2"/>
    <x v="3"/>
    <n v="42500"/>
    <x v="0"/>
  </r>
  <r>
    <s v="Ohe II"/>
    <n v="2016"/>
    <s v="Senvion"/>
    <s v="MD77"/>
    <x v="0"/>
    <n v="2"/>
    <x v="4"/>
    <n v="42500"/>
    <x v="0"/>
  </r>
  <r>
    <s v="Ohe II"/>
    <n v="2016"/>
    <s v="Senvion"/>
    <s v="MD77"/>
    <x v="0"/>
    <n v="2"/>
    <x v="5"/>
    <n v="42500"/>
    <x v="0"/>
  </r>
  <r>
    <s v="Ohe II"/>
    <n v="2016"/>
    <s v="Senvion"/>
    <s v="MD77"/>
    <x v="0"/>
    <n v="2"/>
    <x v="6"/>
    <n v="42500"/>
    <x v="0"/>
  </r>
  <r>
    <s v="Ohe II"/>
    <n v="2016"/>
    <s v="Senvion"/>
    <s v="MD77"/>
    <x v="0"/>
    <n v="2"/>
    <x v="7"/>
    <n v="46500"/>
    <x v="0"/>
  </r>
  <r>
    <s v="Ohe II"/>
    <n v="2016"/>
    <s v="Senvion"/>
    <s v="MD77"/>
    <x v="0"/>
    <n v="2"/>
    <x v="8"/>
    <n v="46500"/>
    <x v="0"/>
  </r>
  <r>
    <s v="Ohe II"/>
    <n v="2016"/>
    <s v="Senvion"/>
    <s v="MD77"/>
    <x v="0"/>
    <n v="2"/>
    <x v="9"/>
    <n v="46500"/>
    <x v="0"/>
  </r>
  <r>
    <s v="Ohe II"/>
    <n v="2016"/>
    <s v="Senvion"/>
    <s v="MD77"/>
    <x v="0"/>
    <n v="2"/>
    <x v="10"/>
    <n v="46500"/>
    <x v="0"/>
  </r>
  <r>
    <s v="Olpe/Engelsberg"/>
    <n v="2016"/>
    <s v="Senvion"/>
    <s v="MD77"/>
    <x v="0"/>
    <n v="4"/>
    <x v="2"/>
    <n v="40500"/>
    <x v="1"/>
  </r>
  <r>
    <s v="Olpe/Engelsberg"/>
    <n v="2016"/>
    <s v="Senvion"/>
    <s v="MD77"/>
    <x v="0"/>
    <n v="4"/>
    <x v="3"/>
    <n v="40500"/>
    <x v="1"/>
  </r>
  <r>
    <s v="Olpe/Engelsberg"/>
    <n v="2016"/>
    <s v="Senvion"/>
    <s v="MD77"/>
    <x v="0"/>
    <n v="4"/>
    <x v="4"/>
    <n v="40500"/>
    <x v="1"/>
  </r>
  <r>
    <s v="Olpe/Engelsberg"/>
    <n v="2016"/>
    <s v="Senvion"/>
    <s v="MD77"/>
    <x v="0"/>
    <n v="4"/>
    <x v="5"/>
    <n v="44500"/>
    <x v="1"/>
  </r>
  <r>
    <s v="Olpe/Engelsberg"/>
    <n v="2016"/>
    <s v="Senvion"/>
    <s v="MD77"/>
    <x v="0"/>
    <n v="4"/>
    <x v="6"/>
    <n v="44500"/>
    <x v="1"/>
  </r>
  <r>
    <s v="Olpe/Engelsberg"/>
    <n v="2016"/>
    <s v="Senvion"/>
    <s v="MD77"/>
    <x v="0"/>
    <n v="4"/>
    <x v="7"/>
    <n v="47500"/>
    <x v="1"/>
  </r>
  <r>
    <s v="Olpe/Engelsberg"/>
    <n v="2016"/>
    <s v="Senvion"/>
    <s v="MD77"/>
    <x v="0"/>
    <n v="4"/>
    <x v="8"/>
    <n v="47500"/>
    <x v="1"/>
  </r>
  <r>
    <s v="Olpe/Engelsberg"/>
    <n v="2016"/>
    <s v="Senvion"/>
    <s v="MD77"/>
    <x v="0"/>
    <n v="4"/>
    <x v="9"/>
    <n v="47500"/>
    <x v="1"/>
  </r>
  <r>
    <s v="Olpe/Engelsberg"/>
    <n v="2016"/>
    <s v="Senvion"/>
    <s v="MD77"/>
    <x v="0"/>
    <n v="4"/>
    <x v="10"/>
    <n v="47500"/>
    <x v="1"/>
  </r>
  <r>
    <s v="Olzheim"/>
    <n v="2016"/>
    <s v="Nordex"/>
    <s v="S77"/>
    <x v="0"/>
    <n v="1"/>
    <x v="3"/>
    <n v="51500"/>
    <x v="1"/>
  </r>
  <r>
    <s v="Olzheim"/>
    <n v="2016"/>
    <s v="Nordex"/>
    <s v="S77"/>
    <x v="0"/>
    <n v="1"/>
    <x v="4"/>
    <n v="51500"/>
    <x v="1"/>
  </r>
  <r>
    <s v="Olzheim"/>
    <n v="2016"/>
    <s v="Nordex"/>
    <s v="S77"/>
    <x v="0"/>
    <n v="1"/>
    <x v="5"/>
    <n v="51500"/>
    <x v="1"/>
  </r>
  <r>
    <s v="Olzheim"/>
    <n v="2016"/>
    <s v="Nordex"/>
    <s v="S77"/>
    <x v="0"/>
    <n v="1"/>
    <x v="6"/>
    <n v="56500"/>
    <x v="1"/>
  </r>
  <r>
    <s v="Olzheim"/>
    <n v="2016"/>
    <s v="Nordex"/>
    <s v="S77"/>
    <x v="0"/>
    <n v="1"/>
    <x v="7"/>
    <n v="56500"/>
    <x v="1"/>
  </r>
  <r>
    <s v="Olzheim"/>
    <n v="2016"/>
    <s v="Nordex"/>
    <s v="S77"/>
    <x v="0"/>
    <n v="1"/>
    <x v="8"/>
    <n v="56500"/>
    <x v="1"/>
  </r>
  <r>
    <s v="Olzheim"/>
    <n v="2016"/>
    <s v="Nordex"/>
    <s v="S77"/>
    <x v="0"/>
    <n v="1"/>
    <x v="9"/>
    <n v="56500"/>
    <x v="1"/>
  </r>
  <r>
    <s v="Olzheim"/>
    <n v="2016"/>
    <s v="Nordex"/>
    <s v="S77"/>
    <x v="0"/>
    <n v="1"/>
    <x v="10"/>
    <n v="56500"/>
    <x v="1"/>
  </r>
  <r>
    <s v="Osterwurth"/>
    <n v="2015"/>
    <s v="Senvion"/>
    <s v="MD70"/>
    <x v="0"/>
    <n v="1"/>
    <x v="3"/>
    <n v="43500"/>
    <x v="0"/>
  </r>
  <r>
    <s v="Osterwurth"/>
    <n v="2015"/>
    <s v="Senvion"/>
    <s v="MD70"/>
    <x v="0"/>
    <n v="1"/>
    <x v="4"/>
    <n v="43500"/>
    <x v="0"/>
  </r>
  <r>
    <s v="Osterwurth"/>
    <n v="2015"/>
    <s v="Senvion"/>
    <s v="MD70"/>
    <x v="0"/>
    <n v="1"/>
    <x v="5"/>
    <n v="45500"/>
    <x v="0"/>
  </r>
  <r>
    <s v="Osterwurth"/>
    <n v="2015"/>
    <s v="Senvion"/>
    <s v="MD70"/>
    <x v="0"/>
    <n v="1"/>
    <x v="6"/>
    <n v="45500"/>
    <x v="0"/>
  </r>
  <r>
    <s v="Osterwurth"/>
    <n v="2015"/>
    <s v="Senvion"/>
    <s v="MD70"/>
    <x v="0"/>
    <n v="1"/>
    <x v="7"/>
    <n v="45500"/>
    <x v="0"/>
  </r>
  <r>
    <s v="Osterwurth"/>
    <n v="2015"/>
    <s v="Senvion"/>
    <s v="MD70"/>
    <x v="0"/>
    <n v="1"/>
    <x v="8"/>
    <n v="47500"/>
    <x v="0"/>
  </r>
  <r>
    <s v="Osterwurth"/>
    <n v="2015"/>
    <s v="Senvion"/>
    <s v="MD70"/>
    <x v="0"/>
    <n v="1"/>
    <x v="9"/>
    <n v="47500"/>
    <x v="0"/>
  </r>
  <r>
    <s v="Osterwurth"/>
    <n v="2015"/>
    <s v="Senvion"/>
    <s v="MD70"/>
    <x v="0"/>
    <n v="1"/>
    <x v="10"/>
    <n v="47500"/>
    <x v="0"/>
  </r>
  <r>
    <s v="Pattensen"/>
    <n v="2017"/>
    <s v="Senvion"/>
    <s v="MM92"/>
    <x v="2"/>
    <n v="2"/>
    <x v="1"/>
    <n v="38500"/>
    <x v="1"/>
  </r>
  <r>
    <s v="Pattensen"/>
    <n v="2017"/>
    <s v="Senvion"/>
    <s v="MM92"/>
    <x v="2"/>
    <n v="2"/>
    <x v="2"/>
    <n v="38500"/>
    <x v="1"/>
  </r>
  <r>
    <s v="Pattensen"/>
    <n v="2017"/>
    <s v="Senvion"/>
    <s v="MM92"/>
    <x v="2"/>
    <n v="2"/>
    <x v="3"/>
    <n v="42500"/>
    <x v="1"/>
  </r>
  <r>
    <s v="Pattensen"/>
    <n v="2017"/>
    <s v="Senvion"/>
    <s v="MM92"/>
    <x v="2"/>
    <n v="2"/>
    <x v="4"/>
    <n v="42500"/>
    <x v="1"/>
  </r>
  <r>
    <s v="Pattensen"/>
    <n v="2017"/>
    <s v="Senvion"/>
    <s v="MM92"/>
    <x v="2"/>
    <n v="2"/>
    <x v="5"/>
    <n v="42500"/>
    <x v="1"/>
  </r>
  <r>
    <s v="Pattensen"/>
    <n v="2017"/>
    <s v="Senvion"/>
    <s v="MM92"/>
    <x v="2"/>
    <n v="2"/>
    <x v="6"/>
    <n v="42500"/>
    <x v="1"/>
  </r>
  <r>
    <s v="Pattensen"/>
    <n v="2017"/>
    <s v="Senvion"/>
    <s v="MM92"/>
    <x v="2"/>
    <n v="2"/>
    <x v="7"/>
    <n v="47000"/>
    <x v="1"/>
  </r>
  <r>
    <s v="Pattensen"/>
    <n v="2017"/>
    <s v="Senvion"/>
    <s v="MM92"/>
    <x v="2"/>
    <n v="2"/>
    <x v="8"/>
    <n v="47000"/>
    <x v="1"/>
  </r>
  <r>
    <s v="Pattensen"/>
    <n v="2017"/>
    <s v="Senvion"/>
    <s v="MM92"/>
    <x v="2"/>
    <n v="2"/>
    <x v="9"/>
    <n v="47000"/>
    <x v="1"/>
  </r>
  <r>
    <s v="Pattensen"/>
    <n v="2017"/>
    <s v="Senvion"/>
    <s v="MM92"/>
    <x v="2"/>
    <n v="2"/>
    <x v="10"/>
    <n v="47000"/>
    <x v="1"/>
  </r>
  <r>
    <s v="Pölzig"/>
    <n v="2014"/>
    <s v="Senvion"/>
    <s v="3.2M"/>
    <x v="6"/>
    <n v="2"/>
    <x v="11"/>
    <n v="76000"/>
    <x v="0"/>
  </r>
  <r>
    <s v="Pölzig"/>
    <n v="2014"/>
    <s v="Senvion"/>
    <s v="3.2M"/>
    <x v="6"/>
    <n v="2"/>
    <x v="12"/>
    <n v="76000"/>
    <x v="0"/>
  </r>
  <r>
    <s v="Pölzig"/>
    <n v="2014"/>
    <s v="Senvion"/>
    <s v="3.2M"/>
    <x v="6"/>
    <n v="2"/>
    <x v="13"/>
    <n v="76000"/>
    <x v="0"/>
  </r>
  <r>
    <s v="Pölzig"/>
    <n v="2014"/>
    <s v="Senvion"/>
    <s v="3.2M"/>
    <x v="6"/>
    <n v="2"/>
    <x v="14"/>
    <n v="87000"/>
    <x v="0"/>
  </r>
  <r>
    <s v="Pölzig"/>
    <n v="2014"/>
    <s v="Senvion"/>
    <s v="3.2M"/>
    <x v="6"/>
    <n v="2"/>
    <x v="15"/>
    <n v="87000"/>
    <x v="0"/>
  </r>
  <r>
    <s v="Pölzig"/>
    <n v="2014"/>
    <s v="Senvion"/>
    <s v="3.2M"/>
    <x v="6"/>
    <n v="2"/>
    <x v="16"/>
    <n v="87000"/>
    <x v="0"/>
  </r>
  <r>
    <s v="Pölzig"/>
    <n v="2014"/>
    <s v="Senvion"/>
    <s v="3.2M"/>
    <x v="6"/>
    <n v="2"/>
    <x v="17"/>
    <n v="87000"/>
    <x v="0"/>
  </r>
  <r>
    <s v="Pölzig"/>
    <n v="2014"/>
    <s v="Senvion"/>
    <s v="3.2M"/>
    <x v="6"/>
    <n v="2"/>
    <x v="0"/>
    <n v="96000"/>
    <x v="0"/>
  </r>
  <r>
    <s v="Pölzig"/>
    <n v="2014"/>
    <s v="Senvion"/>
    <s v="3.2M"/>
    <x v="6"/>
    <n v="2"/>
    <x v="1"/>
    <n v="96000"/>
    <x v="0"/>
  </r>
  <r>
    <s v="Pölzig"/>
    <n v="2014"/>
    <s v="Senvion"/>
    <s v="3.2M"/>
    <x v="6"/>
    <n v="2"/>
    <x v="2"/>
    <n v="96000"/>
    <x v="0"/>
  </r>
  <r>
    <s v="Pölzig"/>
    <n v="2014"/>
    <s v="Senvion"/>
    <s v="3.2M"/>
    <x v="6"/>
    <n v="2"/>
    <x v="3"/>
    <n v="96000"/>
    <x v="0"/>
  </r>
  <r>
    <s v="Pölzig"/>
    <n v="2014"/>
    <s v="Senvion"/>
    <s v="3.2M"/>
    <x v="6"/>
    <n v="2"/>
    <x v="4"/>
    <n v="96000"/>
    <x v="0"/>
  </r>
  <r>
    <s v="Pölzig"/>
    <n v="2014"/>
    <s v="Senvion"/>
    <s v="3.2M"/>
    <x v="6"/>
    <n v="2"/>
    <x v="5"/>
    <n v="96000"/>
    <x v="0"/>
  </r>
  <r>
    <s v="Pölzig"/>
    <n v="2014"/>
    <s v="Senvion"/>
    <s v="3.2M"/>
    <x v="6"/>
    <n v="2"/>
    <x v="6"/>
    <n v="115000"/>
    <x v="0"/>
  </r>
  <r>
    <s v="Pölzig"/>
    <n v="2014"/>
    <s v="Senvion"/>
    <s v="3.2M"/>
    <x v="6"/>
    <n v="2"/>
    <x v="7"/>
    <n v="115000"/>
    <x v="0"/>
  </r>
  <r>
    <s v="Pölzig"/>
    <n v="2014"/>
    <s v="Senvion"/>
    <s v="3.2M"/>
    <x v="6"/>
    <n v="2"/>
    <x v="8"/>
    <n v="115000"/>
    <x v="0"/>
  </r>
  <r>
    <s v="Pölzig"/>
    <n v="2014"/>
    <s v="Senvion"/>
    <s v="3.2M"/>
    <x v="6"/>
    <n v="2"/>
    <x v="9"/>
    <n v="115000"/>
    <x v="0"/>
  </r>
  <r>
    <s v="Pölzig"/>
    <n v="2014"/>
    <s v="Senvion"/>
    <s v="3.2M"/>
    <x v="6"/>
    <n v="2"/>
    <x v="10"/>
    <n v="115000"/>
    <x v="0"/>
  </r>
  <r>
    <s v="Ponitz"/>
    <n v="2016"/>
    <s v="Senvion"/>
    <s v="MD77"/>
    <x v="0"/>
    <n v="2"/>
    <x v="3"/>
    <n v="40000"/>
    <x v="0"/>
  </r>
  <r>
    <s v="Ponitz"/>
    <n v="2016"/>
    <s v="Senvion"/>
    <s v="MD77"/>
    <x v="0"/>
    <n v="2"/>
    <x v="4"/>
    <n v="40000"/>
    <x v="0"/>
  </r>
  <r>
    <s v="Ponitz"/>
    <n v="2016"/>
    <s v="Senvion"/>
    <s v="MD77"/>
    <x v="0"/>
    <n v="2"/>
    <x v="5"/>
    <n v="44000"/>
    <x v="0"/>
  </r>
  <r>
    <s v="Ponitz"/>
    <n v="2016"/>
    <s v="Senvion"/>
    <s v="MD77"/>
    <x v="0"/>
    <n v="2"/>
    <x v="6"/>
    <n v="44000"/>
    <x v="0"/>
  </r>
  <r>
    <s v="Ponitz"/>
    <n v="2016"/>
    <s v="Senvion"/>
    <s v="MD77"/>
    <x v="0"/>
    <n v="2"/>
    <x v="7"/>
    <n v="47000"/>
    <x v="0"/>
  </r>
  <r>
    <s v="Ponitz"/>
    <n v="2016"/>
    <s v="Senvion"/>
    <s v="MD77"/>
    <x v="0"/>
    <n v="2"/>
    <x v="8"/>
    <n v="47000"/>
    <x v="0"/>
  </r>
  <r>
    <s v="Ponitz"/>
    <n v="2016"/>
    <s v="Senvion"/>
    <s v="MD77"/>
    <x v="0"/>
    <n v="2"/>
    <x v="9"/>
    <n v="47000"/>
    <x v="0"/>
  </r>
  <r>
    <s v="Ponitz"/>
    <n v="2016"/>
    <s v="Senvion"/>
    <s v="MD77"/>
    <x v="0"/>
    <n v="2"/>
    <x v="10"/>
    <n v="47000"/>
    <x v="0"/>
  </r>
  <r>
    <s v="Poznan"/>
    <n v="2016"/>
    <s v="Nordex"/>
    <s v="N117"/>
    <x v="5"/>
    <n v="22"/>
    <x v="11"/>
    <n v="54000"/>
    <x v="0"/>
  </r>
  <r>
    <s v="Poznan"/>
    <n v="2016"/>
    <s v="Nordex"/>
    <s v="N117"/>
    <x v="5"/>
    <n v="22"/>
    <x v="12"/>
    <n v="54000"/>
    <x v="0"/>
  </r>
  <r>
    <s v="Poznan"/>
    <n v="2016"/>
    <s v="Nordex"/>
    <s v="N117"/>
    <x v="5"/>
    <n v="22"/>
    <x v="13"/>
    <n v="54000"/>
    <x v="0"/>
  </r>
  <r>
    <s v="Poznan"/>
    <n v="2016"/>
    <s v="Nordex"/>
    <s v="N117"/>
    <x v="5"/>
    <n v="22"/>
    <x v="14"/>
    <n v="59000"/>
    <x v="0"/>
  </r>
  <r>
    <s v="Poznan"/>
    <n v="2016"/>
    <s v="Nordex"/>
    <s v="N117"/>
    <x v="5"/>
    <n v="22"/>
    <x v="15"/>
    <n v="59000"/>
    <x v="0"/>
  </r>
  <r>
    <s v="Poznan"/>
    <n v="2016"/>
    <s v="Nordex"/>
    <s v="N117"/>
    <x v="5"/>
    <n v="22"/>
    <x v="16"/>
    <n v="59000"/>
    <x v="0"/>
  </r>
  <r>
    <s v="Poznan"/>
    <n v="2016"/>
    <s v="Nordex"/>
    <s v="N117"/>
    <x v="5"/>
    <n v="22"/>
    <x v="17"/>
    <n v="59000"/>
    <x v="0"/>
  </r>
  <r>
    <s v="Poznan"/>
    <n v="2016"/>
    <s v="Nordex"/>
    <s v="N117"/>
    <x v="5"/>
    <n v="22"/>
    <x v="0"/>
    <n v="59000"/>
    <x v="0"/>
  </r>
  <r>
    <s v="Poznan"/>
    <n v="2016"/>
    <s v="Nordex"/>
    <s v="N117"/>
    <x v="5"/>
    <n v="22"/>
    <x v="1"/>
    <n v="64000"/>
    <x v="0"/>
  </r>
  <r>
    <s v="Poznan"/>
    <n v="2016"/>
    <s v="Nordex"/>
    <s v="N117"/>
    <x v="5"/>
    <n v="22"/>
    <x v="2"/>
    <n v="64000"/>
    <x v="0"/>
  </r>
  <r>
    <s v="Poznan"/>
    <n v="2016"/>
    <s v="Nordex"/>
    <s v="N117"/>
    <x v="5"/>
    <n v="22"/>
    <x v="3"/>
    <n v="64000"/>
    <x v="0"/>
  </r>
  <r>
    <s v="Poznan"/>
    <n v="2016"/>
    <s v="Nordex"/>
    <s v="N117"/>
    <x v="5"/>
    <n v="22"/>
    <x v="4"/>
    <n v="64000"/>
    <x v="0"/>
  </r>
  <r>
    <s v="Poznan"/>
    <n v="2016"/>
    <s v="Nordex"/>
    <s v="N117"/>
    <x v="5"/>
    <n v="22"/>
    <x v="5"/>
    <n v="64000"/>
    <x v="0"/>
  </r>
  <r>
    <s v="Poznan"/>
    <n v="2016"/>
    <s v="Nordex"/>
    <s v="N117"/>
    <x v="5"/>
    <n v="22"/>
    <x v="6"/>
    <n v="70000"/>
    <x v="0"/>
  </r>
  <r>
    <s v="Poznan"/>
    <n v="2016"/>
    <s v="Nordex"/>
    <s v="N117"/>
    <x v="5"/>
    <n v="22"/>
    <x v="7"/>
    <n v="70000"/>
    <x v="0"/>
  </r>
  <r>
    <s v="Poznan"/>
    <n v="2016"/>
    <s v="Nordex"/>
    <s v="N117"/>
    <x v="5"/>
    <n v="22"/>
    <x v="8"/>
    <n v="70000"/>
    <x v="0"/>
  </r>
  <r>
    <s v="Poznan"/>
    <n v="2016"/>
    <s v="Nordex"/>
    <s v="N117"/>
    <x v="5"/>
    <n v="22"/>
    <x v="9"/>
    <n v="70000"/>
    <x v="0"/>
  </r>
  <r>
    <s v="Poznan"/>
    <n v="2016"/>
    <s v="Nordex"/>
    <s v="N117"/>
    <x v="5"/>
    <n v="22"/>
    <x v="10"/>
    <n v="70000"/>
    <x v="0"/>
  </r>
  <r>
    <s v="Premslin"/>
    <n v="2016"/>
    <s v="Senvion"/>
    <s v="MD77"/>
    <x v="0"/>
    <n v="12"/>
    <x v="3"/>
    <n v="40200"/>
    <x v="1"/>
  </r>
  <r>
    <s v="Premslin"/>
    <n v="2016"/>
    <s v="Senvion"/>
    <s v="MD77"/>
    <x v="0"/>
    <n v="12"/>
    <x v="4"/>
    <n v="40200"/>
    <x v="1"/>
  </r>
  <r>
    <s v="Premslin"/>
    <n v="2016"/>
    <s v="Senvion"/>
    <s v="MD77"/>
    <x v="0"/>
    <n v="12"/>
    <x v="5"/>
    <n v="43700"/>
    <x v="1"/>
  </r>
  <r>
    <s v="Premslin"/>
    <n v="2016"/>
    <s v="Senvion"/>
    <s v="MD77"/>
    <x v="0"/>
    <n v="12"/>
    <x v="6"/>
    <n v="43700"/>
    <x v="1"/>
  </r>
  <r>
    <s v="Premslin"/>
    <n v="2016"/>
    <s v="Senvion"/>
    <s v="MD77"/>
    <x v="0"/>
    <n v="12"/>
    <x v="7"/>
    <n v="47000"/>
    <x v="1"/>
  </r>
  <r>
    <s v="Premslin"/>
    <n v="2016"/>
    <s v="Senvion"/>
    <s v="MD77"/>
    <x v="0"/>
    <n v="12"/>
    <x v="8"/>
    <n v="47000"/>
    <x v="1"/>
  </r>
  <r>
    <s v="Premslin"/>
    <n v="2016"/>
    <s v="Senvion"/>
    <s v="MD77"/>
    <x v="0"/>
    <n v="12"/>
    <x v="9"/>
    <n v="47000"/>
    <x v="1"/>
  </r>
  <r>
    <s v="Premslin"/>
    <n v="2016"/>
    <s v="Senvion"/>
    <s v="MD77"/>
    <x v="0"/>
    <n v="12"/>
    <x v="10"/>
    <n v="47000"/>
    <x v="1"/>
  </r>
  <r>
    <s v="Ravenstein"/>
    <n v="2015"/>
    <s v="Senvion"/>
    <s v="MD77"/>
    <x v="0"/>
    <n v="2"/>
    <x v="3"/>
    <n v="44000"/>
    <x v="0"/>
  </r>
  <r>
    <s v="Ravenstein"/>
    <n v="2015"/>
    <s v="Senvion"/>
    <s v="MD77"/>
    <x v="0"/>
    <n v="2"/>
    <x v="4"/>
    <n v="44000"/>
    <x v="0"/>
  </r>
  <r>
    <s v="Ravenstein"/>
    <n v="2015"/>
    <s v="Senvion"/>
    <s v="MD77"/>
    <x v="0"/>
    <n v="2"/>
    <x v="5"/>
    <n v="44000"/>
    <x v="0"/>
  </r>
  <r>
    <s v="Ravenstein"/>
    <n v="2015"/>
    <s v="Senvion"/>
    <s v="MD77"/>
    <x v="0"/>
    <n v="2"/>
    <x v="6"/>
    <n v="44000"/>
    <x v="0"/>
  </r>
  <r>
    <s v="Ravenstein"/>
    <n v="2015"/>
    <s v="Senvion"/>
    <s v="MD77"/>
    <x v="0"/>
    <n v="2"/>
    <x v="7"/>
    <n v="48000"/>
    <x v="0"/>
  </r>
  <r>
    <s v="Ravenstein"/>
    <n v="2015"/>
    <s v="Senvion"/>
    <s v="MD77"/>
    <x v="0"/>
    <n v="2"/>
    <x v="8"/>
    <n v="48000"/>
    <x v="0"/>
  </r>
  <r>
    <s v="Ravenstein"/>
    <n v="2015"/>
    <s v="Senvion"/>
    <s v="MD77"/>
    <x v="0"/>
    <n v="2"/>
    <x v="9"/>
    <n v="48000"/>
    <x v="0"/>
  </r>
  <r>
    <s v="Ravenstein"/>
    <n v="2015"/>
    <s v="Senvion"/>
    <s v="MD77"/>
    <x v="0"/>
    <n v="2"/>
    <x v="10"/>
    <n v="48000"/>
    <x v="0"/>
  </r>
  <r>
    <s v="Rurich"/>
    <n v="2017"/>
    <s v="Senvion"/>
    <s v="MD77"/>
    <x v="0"/>
    <n v="2"/>
    <x v="1"/>
    <n v="35000"/>
    <x v="1"/>
  </r>
  <r>
    <s v="Rurich"/>
    <n v="2017"/>
    <s v="Senvion"/>
    <s v="MD77"/>
    <x v="0"/>
    <n v="2"/>
    <x v="2"/>
    <n v="35000"/>
    <x v="1"/>
  </r>
  <r>
    <s v="Rurich"/>
    <n v="2017"/>
    <s v="Senvion"/>
    <s v="MD77"/>
    <x v="0"/>
    <n v="2"/>
    <x v="3"/>
    <n v="35000"/>
    <x v="1"/>
  </r>
  <r>
    <s v="Rurich"/>
    <n v="2017"/>
    <s v="Senvion"/>
    <s v="MD77"/>
    <x v="0"/>
    <n v="2"/>
    <x v="4"/>
    <n v="35000"/>
    <x v="1"/>
  </r>
  <r>
    <s v="Rurich"/>
    <n v="2017"/>
    <s v="Senvion"/>
    <s v="MD77"/>
    <x v="0"/>
    <n v="2"/>
    <x v="5"/>
    <n v="35000"/>
    <x v="1"/>
  </r>
  <r>
    <s v="Rurich"/>
    <n v="2017"/>
    <s v="Senvion"/>
    <s v="MD77"/>
    <x v="0"/>
    <n v="2"/>
    <x v="6"/>
    <n v="35000"/>
    <x v="1"/>
  </r>
  <r>
    <s v="Rurich"/>
    <n v="2017"/>
    <s v="Senvion"/>
    <s v="MD77"/>
    <x v="0"/>
    <n v="2"/>
    <x v="7"/>
    <n v="35000"/>
    <x v="1"/>
  </r>
  <r>
    <s v="Rurich"/>
    <n v="2017"/>
    <s v="Senvion"/>
    <s v="MD77"/>
    <x v="0"/>
    <n v="2"/>
    <x v="8"/>
    <n v="35000"/>
    <x v="1"/>
  </r>
  <r>
    <s v="Rurich"/>
    <n v="2017"/>
    <s v="Senvion"/>
    <s v="MD77"/>
    <x v="0"/>
    <n v="2"/>
    <x v="9"/>
    <n v="35000"/>
    <x v="1"/>
  </r>
  <r>
    <s v="Rurich"/>
    <n v="2017"/>
    <s v="Senvion"/>
    <s v="MD77"/>
    <x v="0"/>
    <n v="2"/>
    <x v="10"/>
    <n v="35000"/>
    <x v="1"/>
  </r>
  <r>
    <s v="Scheibelberg"/>
    <n v="2016"/>
    <s v="Senvion"/>
    <s v="MM92"/>
    <x v="2"/>
    <n v="4"/>
    <x v="16"/>
    <n v="41000"/>
    <x v="0"/>
  </r>
  <r>
    <s v="Scheibelberg"/>
    <n v="2016"/>
    <s v="Senvion"/>
    <s v="MM92"/>
    <x v="2"/>
    <n v="4"/>
    <x v="12"/>
    <n v="36000"/>
    <x v="0"/>
  </r>
  <r>
    <s v="Scheibelberg"/>
    <n v="2016"/>
    <s v="Senvion"/>
    <s v="MM92"/>
    <x v="2"/>
    <n v="4"/>
    <x v="13"/>
    <n v="41000"/>
    <x v="0"/>
  </r>
  <r>
    <s v="Scheibelberg"/>
    <n v="2016"/>
    <s v="Senvion"/>
    <s v="MM92"/>
    <x v="2"/>
    <n v="4"/>
    <x v="14"/>
    <n v="41000"/>
    <x v="0"/>
  </r>
  <r>
    <s v="Scheibelberg"/>
    <n v="2016"/>
    <s v="Senvion"/>
    <s v="MM92"/>
    <x v="2"/>
    <n v="4"/>
    <x v="15"/>
    <n v="41000"/>
    <x v="0"/>
  </r>
  <r>
    <s v="Scheibelberg"/>
    <n v="2016"/>
    <s v="Senvion"/>
    <s v="MM92"/>
    <x v="2"/>
    <n v="4"/>
    <x v="17"/>
    <n v="45000"/>
    <x v="0"/>
  </r>
  <r>
    <s v="Scheibelberg"/>
    <n v="2016"/>
    <s v="Senvion"/>
    <s v="MM92"/>
    <x v="2"/>
    <n v="4"/>
    <x v="0"/>
    <n v="45000"/>
    <x v="0"/>
  </r>
  <r>
    <s v="Scheibelberg"/>
    <n v="2016"/>
    <s v="Senvion"/>
    <s v="MM92"/>
    <x v="2"/>
    <n v="4"/>
    <x v="1"/>
    <n v="48000"/>
    <x v="0"/>
  </r>
  <r>
    <s v="Scheibelberg"/>
    <n v="2016"/>
    <s v="Senvion"/>
    <s v="MM92"/>
    <x v="2"/>
    <n v="4"/>
    <x v="2"/>
    <n v="48000"/>
    <x v="0"/>
  </r>
  <r>
    <s v="Scheibelberg"/>
    <n v="2016"/>
    <s v="Senvion"/>
    <s v="MM92"/>
    <x v="2"/>
    <n v="4"/>
    <x v="3"/>
    <n v="48000"/>
    <x v="0"/>
  </r>
  <r>
    <s v="Scheibelberg"/>
    <n v="2016"/>
    <s v="Senvion"/>
    <s v="MM92"/>
    <x v="2"/>
    <n v="4"/>
    <x v="4"/>
    <n v="48000"/>
    <x v="0"/>
  </r>
  <r>
    <s v="Scheibelberg"/>
    <n v="2016"/>
    <s v="Senvion"/>
    <s v="MM92"/>
    <x v="2"/>
    <n v="4"/>
    <x v="5"/>
    <n v="48000"/>
    <x v="0"/>
  </r>
  <r>
    <s v="Scheibelberg"/>
    <n v="2016"/>
    <s v="Senvion"/>
    <s v="MM92"/>
    <x v="2"/>
    <n v="4"/>
    <x v="6"/>
    <n v="53000"/>
    <x v="0"/>
  </r>
  <r>
    <s v="Scheibelberg"/>
    <n v="2016"/>
    <s v="Senvion"/>
    <s v="MM92"/>
    <x v="2"/>
    <n v="4"/>
    <x v="8"/>
    <n v="53000"/>
    <x v="0"/>
  </r>
  <r>
    <s v="Scheibelberg"/>
    <n v="2016"/>
    <s v="Senvion"/>
    <s v="MM92"/>
    <x v="2"/>
    <n v="4"/>
    <x v="9"/>
    <n v="53000"/>
    <x v="0"/>
  </r>
  <r>
    <s v="Scheibelberg"/>
    <n v="2016"/>
    <s v="Senvion"/>
    <s v="MM92"/>
    <x v="2"/>
    <n v="4"/>
    <x v="10"/>
    <n v="53000"/>
    <x v="0"/>
  </r>
  <r>
    <s v="Scheibelberg"/>
    <n v="2016"/>
    <s v="Senvion"/>
    <s v="MM92"/>
    <x v="2"/>
    <n v="4"/>
    <x v="7"/>
    <n v="53000"/>
    <x v="0"/>
  </r>
  <r>
    <s v="Scheibelberg"/>
    <n v="2016"/>
    <s v="Senvion"/>
    <s v="MM92"/>
    <x v="2"/>
    <n v="4"/>
    <x v="11"/>
    <n v="36000"/>
    <x v="0"/>
  </r>
  <r>
    <s v="Scheibe-Trattendorf"/>
    <n v="2016"/>
    <s v="Senvion"/>
    <s v="MM82"/>
    <x v="2"/>
    <n v="8"/>
    <x v="3"/>
    <n v="39000"/>
    <x v="0"/>
  </r>
  <r>
    <s v="Scheibe-Trattendorf"/>
    <n v="2016"/>
    <s v="Senvion"/>
    <s v="MM82"/>
    <x v="2"/>
    <n v="8"/>
    <x v="4"/>
    <n v="39000"/>
    <x v="0"/>
  </r>
  <r>
    <s v="Scheibe-Trattendorf"/>
    <n v="2016"/>
    <s v="Senvion"/>
    <s v="MM82"/>
    <x v="2"/>
    <n v="8"/>
    <x v="5"/>
    <n v="42000"/>
    <x v="0"/>
  </r>
  <r>
    <s v="Scheibe-Trattendorf"/>
    <n v="2016"/>
    <s v="Senvion"/>
    <s v="MM82"/>
    <x v="2"/>
    <n v="8"/>
    <x v="6"/>
    <n v="42000"/>
    <x v="0"/>
  </r>
  <r>
    <s v="Scheibe-Trattendorf"/>
    <n v="2016"/>
    <s v="Senvion"/>
    <s v="MM82"/>
    <x v="2"/>
    <n v="8"/>
    <x v="7"/>
    <n v="42000"/>
    <x v="0"/>
  </r>
  <r>
    <s v="Scheibe-Trattendorf"/>
    <n v="2016"/>
    <s v="Senvion"/>
    <s v="MM82"/>
    <x v="2"/>
    <n v="8"/>
    <x v="8"/>
    <n v="45000"/>
    <x v="0"/>
  </r>
  <r>
    <s v="Scheibe-Trattendorf"/>
    <n v="2016"/>
    <s v="Senvion"/>
    <s v="MM82"/>
    <x v="2"/>
    <n v="8"/>
    <x v="9"/>
    <n v="45000"/>
    <x v="0"/>
  </r>
  <r>
    <s v="Scheibe-Trattendorf"/>
    <n v="2016"/>
    <s v="Senvion"/>
    <s v="MM82"/>
    <x v="2"/>
    <n v="8"/>
    <x v="10"/>
    <n v="45000"/>
    <x v="0"/>
  </r>
  <r>
    <s v="Schliekum"/>
    <n v="2017"/>
    <s v="Nordex"/>
    <s v="N90"/>
    <x v="3"/>
    <n v="3"/>
    <x v="3"/>
    <n v="65150"/>
    <x v="1"/>
  </r>
  <r>
    <s v="Schliekum"/>
    <n v="2017"/>
    <s v="Nordex"/>
    <s v="N90"/>
    <x v="3"/>
    <n v="3"/>
    <x v="4"/>
    <n v="65150"/>
    <x v="1"/>
  </r>
  <r>
    <s v="Schliekum"/>
    <n v="2017"/>
    <s v="Nordex"/>
    <s v="N90"/>
    <x v="3"/>
    <n v="3"/>
    <x v="5"/>
    <n v="65150"/>
    <x v="1"/>
  </r>
  <r>
    <s v="Schliekum"/>
    <n v="2017"/>
    <s v="Nordex"/>
    <s v="N90"/>
    <x v="3"/>
    <n v="3"/>
    <x v="6"/>
    <n v="70150"/>
    <x v="1"/>
  </r>
  <r>
    <s v="Schliekum"/>
    <n v="2017"/>
    <s v="Nordex"/>
    <s v="N90"/>
    <x v="3"/>
    <n v="3"/>
    <x v="7"/>
    <n v="70150"/>
    <x v="1"/>
  </r>
  <r>
    <s v="Schliekum"/>
    <n v="2017"/>
    <s v="Nordex"/>
    <s v="N90"/>
    <x v="3"/>
    <n v="3"/>
    <x v="8"/>
    <n v="70150"/>
    <x v="1"/>
  </r>
  <r>
    <s v="Schliekum"/>
    <n v="2017"/>
    <s v="Nordex"/>
    <s v="N90"/>
    <x v="3"/>
    <n v="3"/>
    <x v="9"/>
    <n v="70150"/>
    <x v="1"/>
  </r>
  <r>
    <s v="Schliekum"/>
    <n v="2017"/>
    <s v="Nordex"/>
    <s v="N90"/>
    <x v="3"/>
    <n v="3"/>
    <x v="10"/>
    <n v="70150"/>
    <x v="1"/>
  </r>
  <r>
    <s v="Schliekum"/>
    <n v="2017"/>
    <s v="Nordex"/>
    <s v="S77"/>
    <x v="0"/>
    <n v="2"/>
    <x v="3"/>
    <n v="44150"/>
    <x v="1"/>
  </r>
  <r>
    <s v="Schliekum"/>
    <n v="2017"/>
    <s v="Nordex"/>
    <s v="S77"/>
    <x v="0"/>
    <n v="2"/>
    <x v="4"/>
    <n v="44150"/>
    <x v="1"/>
  </r>
  <r>
    <s v="Schliekum"/>
    <n v="2017"/>
    <s v="Nordex"/>
    <s v="S77"/>
    <x v="0"/>
    <n v="2"/>
    <x v="5"/>
    <n v="44150"/>
    <x v="1"/>
  </r>
  <r>
    <s v="Schliekum"/>
    <n v="2017"/>
    <s v="Nordex"/>
    <s v="S77"/>
    <x v="0"/>
    <n v="2"/>
    <x v="6"/>
    <n v="50150"/>
    <x v="1"/>
  </r>
  <r>
    <s v="Schliekum"/>
    <n v="2017"/>
    <s v="Nordex"/>
    <s v="S77"/>
    <x v="0"/>
    <n v="2"/>
    <x v="7"/>
    <n v="50150"/>
    <x v="1"/>
  </r>
  <r>
    <s v="Schliekum"/>
    <n v="2017"/>
    <s v="Nordex"/>
    <s v="S77"/>
    <x v="0"/>
    <n v="2"/>
    <x v="8"/>
    <n v="50150"/>
    <x v="1"/>
  </r>
  <r>
    <s v="Schliekum"/>
    <n v="2017"/>
    <s v="Nordex"/>
    <s v="S77"/>
    <x v="0"/>
    <n v="2"/>
    <x v="9"/>
    <n v="50150"/>
    <x v="1"/>
  </r>
  <r>
    <s v="Schliekum"/>
    <n v="2017"/>
    <s v="Nordex"/>
    <s v="S77"/>
    <x v="0"/>
    <n v="2"/>
    <x v="10"/>
    <n v="50150"/>
    <x v="1"/>
  </r>
  <r>
    <s v="Schwatte Poele"/>
    <n v="2017"/>
    <s v="Senvion"/>
    <s v="3.2M"/>
    <x v="6"/>
    <n v="14"/>
    <x v="18"/>
    <n v="32500"/>
    <x v="0"/>
  </r>
  <r>
    <s v="Schwatte Poele"/>
    <n v="2017"/>
    <s v="Senvion"/>
    <s v="3.2M"/>
    <x v="6"/>
    <n v="14"/>
    <x v="19"/>
    <n v="32500"/>
    <x v="0"/>
  </r>
  <r>
    <s v="Schwatte Poele"/>
    <n v="2017"/>
    <s v="Senvion"/>
    <s v="3.2M"/>
    <x v="6"/>
    <n v="14"/>
    <x v="11"/>
    <n v="54000"/>
    <x v="0"/>
  </r>
  <r>
    <s v="Schwatte Poele"/>
    <n v="2017"/>
    <s v="Senvion"/>
    <s v="3.2M"/>
    <x v="6"/>
    <n v="14"/>
    <x v="12"/>
    <n v="54000"/>
    <x v="0"/>
  </r>
  <r>
    <s v="Schwatte Poele"/>
    <n v="2017"/>
    <s v="Senvion"/>
    <s v="3.2M"/>
    <x v="6"/>
    <n v="14"/>
    <x v="13"/>
    <n v="54000"/>
    <x v="0"/>
  </r>
  <r>
    <s v="Schwatte Poele"/>
    <n v="2017"/>
    <s v="Senvion"/>
    <s v="3.2M"/>
    <x v="6"/>
    <n v="14"/>
    <x v="14"/>
    <n v="61000"/>
    <x v="0"/>
  </r>
  <r>
    <s v="Schwatte Poele"/>
    <n v="2017"/>
    <s v="Senvion"/>
    <s v="3.2M"/>
    <x v="6"/>
    <n v="14"/>
    <x v="15"/>
    <n v="61000"/>
    <x v="0"/>
  </r>
  <r>
    <s v="Schwatte Poele"/>
    <n v="2017"/>
    <s v="Senvion"/>
    <s v="3.2M"/>
    <x v="6"/>
    <n v="14"/>
    <x v="16"/>
    <n v="61000"/>
    <x v="0"/>
  </r>
  <r>
    <s v="Schwatte Poele"/>
    <n v="2017"/>
    <s v="Senvion"/>
    <s v="3.2M"/>
    <x v="6"/>
    <n v="14"/>
    <x v="17"/>
    <n v="61000"/>
    <x v="0"/>
  </r>
  <r>
    <s v="Schwatte Poele"/>
    <n v="2017"/>
    <s v="Senvion"/>
    <s v="3.2M"/>
    <x v="6"/>
    <n v="14"/>
    <x v="0"/>
    <n v="61000"/>
    <x v="0"/>
  </r>
  <r>
    <s v="Schwatte Poele"/>
    <n v="2017"/>
    <s v="Senvion"/>
    <s v="3.2M"/>
    <x v="6"/>
    <n v="14"/>
    <x v="1"/>
    <n v="70000"/>
    <x v="0"/>
  </r>
  <r>
    <s v="Schwatte Poele"/>
    <n v="2017"/>
    <s v="Senvion"/>
    <s v="3.2M"/>
    <x v="6"/>
    <n v="14"/>
    <x v="2"/>
    <n v="70000"/>
    <x v="0"/>
  </r>
  <r>
    <s v="Schwatte Poele"/>
    <n v="2017"/>
    <s v="Senvion"/>
    <s v="3.2M"/>
    <x v="6"/>
    <n v="14"/>
    <x v="3"/>
    <n v="70000"/>
    <x v="0"/>
  </r>
  <r>
    <s v="Schwatte Poele"/>
    <n v="2017"/>
    <s v="Senvion"/>
    <s v="3.2M"/>
    <x v="6"/>
    <n v="14"/>
    <x v="4"/>
    <n v="70000"/>
    <x v="0"/>
  </r>
  <r>
    <s v="Schwatte Poele"/>
    <n v="2017"/>
    <s v="Senvion"/>
    <s v="3.2M"/>
    <x v="6"/>
    <n v="14"/>
    <x v="5"/>
    <n v="70000"/>
    <x v="0"/>
  </r>
  <r>
    <s v="Schwatte Poele"/>
    <n v="2017"/>
    <s v="Senvion"/>
    <s v="3.2M"/>
    <x v="6"/>
    <n v="14"/>
    <x v="6"/>
    <n v="70000"/>
    <x v="0"/>
  </r>
  <r>
    <s v="Schwatte Poele"/>
    <n v="2017"/>
    <s v="Senvion"/>
    <s v="3.2M"/>
    <x v="6"/>
    <n v="14"/>
    <x v="7"/>
    <n v="85000"/>
    <x v="0"/>
  </r>
  <r>
    <s v="Schwatte Poele"/>
    <n v="2017"/>
    <s v="Senvion"/>
    <s v="3.2M"/>
    <x v="6"/>
    <n v="14"/>
    <x v="8"/>
    <n v="85000"/>
    <x v="0"/>
  </r>
  <r>
    <s v="Schwatte Poele"/>
    <n v="2017"/>
    <s v="Senvion"/>
    <s v="3.2M"/>
    <x v="6"/>
    <n v="14"/>
    <x v="9"/>
    <n v="85000"/>
    <x v="0"/>
  </r>
  <r>
    <s v="Schwatte Poele"/>
    <n v="2017"/>
    <s v="Senvion"/>
    <s v="3.2M"/>
    <x v="6"/>
    <n v="14"/>
    <x v="10"/>
    <n v="85000"/>
    <x v="0"/>
  </r>
  <r>
    <s v="Seewiesen"/>
    <n v="2015"/>
    <s v="Senvion"/>
    <s v="MD77"/>
    <x v="0"/>
    <n v="3"/>
    <x v="1"/>
    <n v="38500"/>
    <x v="0"/>
  </r>
  <r>
    <s v="Seewiesen"/>
    <n v="2015"/>
    <s v="Senvion"/>
    <s v="MD77"/>
    <x v="0"/>
    <n v="3"/>
    <x v="2"/>
    <n v="38500"/>
    <x v="0"/>
  </r>
  <r>
    <s v="Seewiesen"/>
    <n v="2015"/>
    <s v="Senvion"/>
    <s v="MD77"/>
    <x v="0"/>
    <n v="3"/>
    <x v="3"/>
    <n v="41500"/>
    <x v="0"/>
  </r>
  <r>
    <s v="Seewiesen"/>
    <n v="2015"/>
    <s v="Senvion"/>
    <s v="MD77"/>
    <x v="0"/>
    <n v="3"/>
    <x v="4"/>
    <n v="41500"/>
    <x v="0"/>
  </r>
  <r>
    <s v="Seewiesen"/>
    <n v="2015"/>
    <s v="Senvion"/>
    <s v="MD77"/>
    <x v="0"/>
    <n v="3"/>
    <x v="5"/>
    <n v="44500"/>
    <x v="0"/>
  </r>
  <r>
    <s v="Seewiesen"/>
    <n v="2015"/>
    <s v="Senvion"/>
    <s v="MD77"/>
    <x v="0"/>
    <n v="3"/>
    <x v="6"/>
    <n v="44500"/>
    <x v="0"/>
  </r>
  <r>
    <s v="Seewiesen"/>
    <n v="2015"/>
    <s v="Senvion"/>
    <s v="MD77"/>
    <x v="0"/>
    <n v="3"/>
    <x v="7"/>
    <n v="44500"/>
    <x v="0"/>
  </r>
  <r>
    <s v="Seewiesen"/>
    <n v="2015"/>
    <s v="Senvion"/>
    <s v="MD77"/>
    <x v="0"/>
    <n v="3"/>
    <x v="8"/>
    <n v="44500"/>
    <x v="0"/>
  </r>
  <r>
    <s v="Seewiesen"/>
    <n v="2015"/>
    <s v="Senvion"/>
    <s v="MD77"/>
    <x v="0"/>
    <n v="3"/>
    <x v="9"/>
    <n v="44500"/>
    <x v="0"/>
  </r>
  <r>
    <s v="Seewiesen"/>
    <n v="2015"/>
    <s v="Senvion"/>
    <s v="MD77"/>
    <x v="0"/>
    <n v="3"/>
    <x v="10"/>
    <n v="44500"/>
    <x v="0"/>
  </r>
  <r>
    <s v="Siegbach"/>
    <n v="2017"/>
    <s v="Nordex"/>
    <s v="N100"/>
    <x v="3"/>
    <n v="3"/>
    <x v="14"/>
    <n v="47500"/>
    <x v="1"/>
  </r>
  <r>
    <s v="Siegbach"/>
    <n v="2017"/>
    <s v="Nordex"/>
    <s v="N100"/>
    <x v="3"/>
    <n v="3"/>
    <x v="15"/>
    <n v="47500"/>
    <x v="1"/>
  </r>
  <r>
    <s v="Siegbach"/>
    <n v="2017"/>
    <s v="Nordex"/>
    <s v="N100"/>
    <x v="3"/>
    <n v="3"/>
    <x v="16"/>
    <n v="47500"/>
    <x v="1"/>
  </r>
  <r>
    <s v="Siegbach"/>
    <n v="2017"/>
    <s v="Nordex"/>
    <s v="N100"/>
    <x v="3"/>
    <n v="3"/>
    <x v="17"/>
    <n v="47500"/>
    <x v="1"/>
  </r>
  <r>
    <s v="Siegbach"/>
    <n v="2017"/>
    <s v="Nordex"/>
    <s v="N100"/>
    <x v="3"/>
    <n v="3"/>
    <x v="0"/>
    <n v="50000"/>
    <x v="1"/>
  </r>
  <r>
    <s v="Siegbach"/>
    <n v="2017"/>
    <s v="Nordex"/>
    <s v="N100"/>
    <x v="3"/>
    <n v="3"/>
    <x v="1"/>
    <n v="50000"/>
    <x v="1"/>
  </r>
  <r>
    <s v="Siegbach"/>
    <n v="2017"/>
    <s v="Nordex"/>
    <s v="N100"/>
    <x v="3"/>
    <n v="3"/>
    <x v="2"/>
    <n v="50000"/>
    <x v="1"/>
  </r>
  <r>
    <s v="Siegbach"/>
    <n v="2017"/>
    <s v="Nordex"/>
    <s v="N100"/>
    <x v="3"/>
    <n v="3"/>
    <x v="3"/>
    <n v="55000"/>
    <x v="1"/>
  </r>
  <r>
    <s v="Siegbach"/>
    <n v="2017"/>
    <s v="Nordex"/>
    <s v="N100"/>
    <x v="3"/>
    <n v="3"/>
    <x v="4"/>
    <n v="55000"/>
    <x v="1"/>
  </r>
  <r>
    <s v="Siegbach"/>
    <n v="2017"/>
    <s v="Nordex"/>
    <s v="N100"/>
    <x v="3"/>
    <n v="3"/>
    <x v="5"/>
    <n v="55000"/>
    <x v="1"/>
  </r>
  <r>
    <s v="Siegbach"/>
    <n v="2017"/>
    <s v="Nordex"/>
    <s v="N100"/>
    <x v="3"/>
    <n v="3"/>
    <x v="6"/>
    <n v="58500"/>
    <x v="1"/>
  </r>
  <r>
    <s v="Siegbach"/>
    <n v="2017"/>
    <s v="Nordex"/>
    <s v="N100"/>
    <x v="3"/>
    <n v="3"/>
    <x v="7"/>
    <n v="58500"/>
    <x v="1"/>
  </r>
  <r>
    <s v="Siegbach"/>
    <n v="2017"/>
    <s v="Nordex"/>
    <s v="N100"/>
    <x v="3"/>
    <n v="3"/>
    <x v="8"/>
    <n v="58500"/>
    <x v="1"/>
  </r>
  <r>
    <s v="Siegbach"/>
    <n v="2017"/>
    <s v="Nordex"/>
    <s v="N100"/>
    <x v="3"/>
    <n v="3"/>
    <x v="9"/>
    <n v="58500"/>
    <x v="1"/>
  </r>
  <r>
    <s v="Siegbach"/>
    <n v="2017"/>
    <s v="Nordex"/>
    <s v="N100"/>
    <x v="3"/>
    <n v="3"/>
    <x v="10"/>
    <n v="58500"/>
    <x v="1"/>
  </r>
  <r>
    <s v="SPDM"/>
    <n v="2016"/>
    <s v="Fuhrländer"/>
    <s v="FL2500"/>
    <x v="4"/>
    <n v="10"/>
    <x v="14"/>
    <n v="61200"/>
    <x v="1"/>
  </r>
  <r>
    <s v="SPDM"/>
    <n v="2016"/>
    <s v="Fuhrländer"/>
    <s v="FL2500"/>
    <x v="4"/>
    <n v="10"/>
    <x v="15"/>
    <n v="61200"/>
    <x v="1"/>
  </r>
  <r>
    <s v="SPDM"/>
    <n v="2016"/>
    <s v="Fuhrländer"/>
    <s v="FL2500"/>
    <x v="4"/>
    <n v="10"/>
    <x v="16"/>
    <n v="61200"/>
    <x v="1"/>
  </r>
  <r>
    <s v="SPDM"/>
    <n v="2016"/>
    <s v="Fuhrländer"/>
    <s v="FL2500"/>
    <x v="4"/>
    <n v="10"/>
    <x v="17"/>
    <n v="61200"/>
    <x v="1"/>
  </r>
  <r>
    <s v="SPDM"/>
    <n v="2016"/>
    <s v="Fuhrländer"/>
    <s v="FL2500"/>
    <x v="4"/>
    <n v="10"/>
    <x v="0"/>
    <n v="61200"/>
    <x v="1"/>
  </r>
  <r>
    <s v="SPDM"/>
    <n v="2016"/>
    <s v="Fuhrländer"/>
    <s v="FL2500"/>
    <x v="4"/>
    <n v="10"/>
    <x v="1"/>
    <n v="71185"/>
    <x v="1"/>
  </r>
  <r>
    <s v="SPDM"/>
    <n v="2016"/>
    <s v="Fuhrländer"/>
    <s v="FL2500"/>
    <x v="4"/>
    <n v="10"/>
    <x v="2"/>
    <n v="71185"/>
    <x v="1"/>
  </r>
  <r>
    <s v="SPDM"/>
    <n v="2016"/>
    <s v="Fuhrländer"/>
    <s v="FL2500"/>
    <x v="4"/>
    <n v="10"/>
    <x v="3"/>
    <n v="71185"/>
    <x v="1"/>
  </r>
  <r>
    <s v="SPDM"/>
    <n v="2016"/>
    <s v="Fuhrländer"/>
    <s v="FL2500"/>
    <x v="4"/>
    <n v="10"/>
    <x v="4"/>
    <n v="71185"/>
    <x v="1"/>
  </r>
  <r>
    <s v="SPDM"/>
    <n v="2016"/>
    <s v="Fuhrländer"/>
    <s v="FL2500"/>
    <x v="4"/>
    <n v="10"/>
    <x v="5"/>
    <n v="71185"/>
    <x v="1"/>
  </r>
  <r>
    <s v="SPDM"/>
    <n v="2016"/>
    <s v="Fuhrländer"/>
    <s v="FL2500"/>
    <x v="4"/>
    <n v="10"/>
    <x v="6"/>
    <n v="81575"/>
    <x v="1"/>
  </r>
  <r>
    <s v="SPDM"/>
    <n v="2016"/>
    <s v="Fuhrländer"/>
    <s v="FL2500"/>
    <x v="4"/>
    <n v="10"/>
    <x v="7"/>
    <n v="81575"/>
    <x v="1"/>
  </r>
  <r>
    <s v="SPDM"/>
    <n v="2016"/>
    <s v="Fuhrländer"/>
    <s v="FL2500"/>
    <x v="4"/>
    <n v="10"/>
    <x v="8"/>
    <n v="81575"/>
    <x v="1"/>
  </r>
  <r>
    <s v="SPDM"/>
    <n v="2016"/>
    <s v="Fuhrländer"/>
    <s v="FL2500"/>
    <x v="4"/>
    <n v="10"/>
    <x v="9"/>
    <n v="81575"/>
    <x v="1"/>
  </r>
  <r>
    <s v="SPDM"/>
    <n v="2016"/>
    <s v="Fuhrländer"/>
    <s v="FL2500"/>
    <x v="4"/>
    <n v="10"/>
    <x v="10"/>
    <n v="81575"/>
    <x v="1"/>
  </r>
  <r>
    <s v="Stachenhausen"/>
    <n v="2016"/>
    <s v="Senvion"/>
    <s v="MD77"/>
    <x v="0"/>
    <n v="1"/>
    <x v="3"/>
    <n v="40000"/>
    <x v="1"/>
  </r>
  <r>
    <s v="Stachenhausen"/>
    <n v="2016"/>
    <s v="Senvion"/>
    <s v="MD77"/>
    <x v="0"/>
    <n v="1"/>
    <x v="4"/>
    <n v="40000"/>
    <x v="1"/>
  </r>
  <r>
    <s v="Stachenhausen"/>
    <n v="2016"/>
    <s v="Senvion"/>
    <s v="MD77"/>
    <x v="0"/>
    <n v="1"/>
    <x v="5"/>
    <n v="40000"/>
    <x v="1"/>
  </r>
  <r>
    <s v="Stachenhausen"/>
    <n v="2016"/>
    <s v="Senvion"/>
    <s v="MD77"/>
    <x v="0"/>
    <n v="1"/>
    <x v="6"/>
    <n v="44000"/>
    <x v="1"/>
  </r>
  <r>
    <s v="Stachenhausen"/>
    <n v="2016"/>
    <s v="Senvion"/>
    <s v="MD77"/>
    <x v="0"/>
    <n v="1"/>
    <x v="7"/>
    <n v="44000"/>
    <x v="1"/>
  </r>
  <r>
    <s v="Stachenhausen"/>
    <n v="2016"/>
    <s v="Senvion"/>
    <s v="MD77"/>
    <x v="0"/>
    <n v="1"/>
    <x v="8"/>
    <n v="44000"/>
    <x v="1"/>
  </r>
  <r>
    <s v="Stachenhausen"/>
    <n v="2016"/>
    <s v="Senvion"/>
    <s v="MD77"/>
    <x v="0"/>
    <n v="1"/>
    <x v="9"/>
    <n v="44000"/>
    <x v="1"/>
  </r>
  <r>
    <s v="Stachenhausen"/>
    <n v="2016"/>
    <s v="Senvion"/>
    <s v="MD77"/>
    <x v="0"/>
    <n v="1"/>
    <x v="10"/>
    <n v="44000"/>
    <x v="1"/>
  </r>
  <r>
    <s v="Stypulow"/>
    <n v="2014"/>
    <s v="Fuhrländer"/>
    <s v="MD77"/>
    <x v="0"/>
    <n v="3"/>
    <x v="14"/>
    <n v="43000"/>
    <x v="0"/>
  </r>
  <r>
    <s v="Stypulow"/>
    <n v="2014"/>
    <s v="Fuhrländer"/>
    <s v="MD77"/>
    <x v="0"/>
    <n v="3"/>
    <x v="15"/>
    <n v="43000"/>
    <x v="0"/>
  </r>
  <r>
    <s v="Stypulow"/>
    <n v="2014"/>
    <s v="Fuhrländer"/>
    <s v="MD77"/>
    <x v="0"/>
    <n v="3"/>
    <x v="16"/>
    <n v="43000"/>
    <x v="0"/>
  </r>
  <r>
    <s v="Stypulow"/>
    <n v="2014"/>
    <s v="Fuhrländer"/>
    <s v="MD77"/>
    <x v="0"/>
    <n v="3"/>
    <x v="17"/>
    <n v="43000"/>
    <x v="0"/>
  </r>
  <r>
    <s v="Stypulow"/>
    <n v="2014"/>
    <s v="Fuhrländer"/>
    <s v="MD77"/>
    <x v="0"/>
    <n v="3"/>
    <x v="0"/>
    <n v="43000"/>
    <x v="0"/>
  </r>
  <r>
    <s v="Stypulow"/>
    <n v="2014"/>
    <s v="Fuhrländer"/>
    <s v="MD77"/>
    <x v="0"/>
    <n v="3"/>
    <x v="1"/>
    <n v="47500"/>
    <x v="0"/>
  </r>
  <r>
    <s v="Stypulow"/>
    <n v="2014"/>
    <s v="Fuhrländer"/>
    <s v="MD77"/>
    <x v="0"/>
    <n v="3"/>
    <x v="2"/>
    <n v="47500"/>
    <x v="0"/>
  </r>
  <r>
    <s v="Stypulow"/>
    <n v="2014"/>
    <s v="Fuhrländer"/>
    <s v="MD77"/>
    <x v="0"/>
    <n v="3"/>
    <x v="3"/>
    <n v="47500"/>
    <x v="0"/>
  </r>
  <r>
    <s v="Stypulow"/>
    <n v="2014"/>
    <s v="Fuhrländer"/>
    <s v="MD77"/>
    <x v="0"/>
    <n v="3"/>
    <x v="4"/>
    <n v="47500"/>
    <x v="0"/>
  </r>
  <r>
    <s v="Stypulow"/>
    <n v="2014"/>
    <s v="Fuhrländer"/>
    <s v="MD77"/>
    <x v="0"/>
    <n v="3"/>
    <x v="5"/>
    <n v="47500"/>
    <x v="0"/>
  </r>
  <r>
    <s v="Stypulow"/>
    <n v="2014"/>
    <s v="Fuhrländer"/>
    <s v="MD77"/>
    <x v="0"/>
    <n v="3"/>
    <x v="6"/>
    <n v="52000"/>
    <x v="0"/>
  </r>
  <r>
    <s v="Stypulow"/>
    <n v="2014"/>
    <s v="Fuhrländer"/>
    <s v="MD77"/>
    <x v="0"/>
    <n v="3"/>
    <x v="7"/>
    <n v="52000"/>
    <x v="0"/>
  </r>
  <r>
    <s v="Stypulow"/>
    <n v="2014"/>
    <s v="Fuhrländer"/>
    <s v="MD77"/>
    <x v="0"/>
    <n v="3"/>
    <x v="8"/>
    <n v="52000"/>
    <x v="0"/>
  </r>
  <r>
    <s v="Stypulow"/>
    <n v="2014"/>
    <s v="Fuhrländer"/>
    <s v="MD77"/>
    <x v="0"/>
    <n v="3"/>
    <x v="9"/>
    <n v="52000"/>
    <x v="0"/>
  </r>
  <r>
    <s v="Stypulow"/>
    <n v="2014"/>
    <s v="Fuhrländer"/>
    <s v="MD77"/>
    <x v="0"/>
    <n v="3"/>
    <x v="10"/>
    <n v="52000"/>
    <x v="0"/>
  </r>
  <r>
    <s v="Ueliltz"/>
    <n v="2015"/>
    <s v="Nordex"/>
    <s v="N90"/>
    <x v="3"/>
    <n v="4"/>
    <x v="1"/>
    <n v="54500"/>
    <x v="0"/>
  </r>
  <r>
    <s v="Ueliltz"/>
    <n v="2015"/>
    <s v="Nordex"/>
    <s v="N90"/>
    <x v="3"/>
    <n v="4"/>
    <x v="2"/>
    <n v="54500"/>
    <x v="0"/>
  </r>
  <r>
    <s v="Ueliltz"/>
    <n v="2015"/>
    <s v="Nordex"/>
    <s v="N90"/>
    <x v="3"/>
    <n v="4"/>
    <x v="3"/>
    <n v="54500"/>
    <x v="0"/>
  </r>
  <r>
    <s v="Ueliltz"/>
    <n v="2015"/>
    <s v="Nordex"/>
    <s v="N90"/>
    <x v="3"/>
    <n v="4"/>
    <x v="4"/>
    <n v="54500"/>
    <x v="0"/>
  </r>
  <r>
    <s v="Ueliltz"/>
    <n v="2015"/>
    <s v="Nordex"/>
    <s v="N90"/>
    <x v="3"/>
    <n v="4"/>
    <x v="5"/>
    <n v="57000"/>
    <x v="0"/>
  </r>
  <r>
    <s v="Ueliltz"/>
    <n v="2015"/>
    <s v="Nordex"/>
    <s v="N90"/>
    <x v="3"/>
    <n v="4"/>
    <x v="6"/>
    <n v="57000"/>
    <x v="0"/>
  </r>
  <r>
    <s v="Ueliltz"/>
    <n v="2015"/>
    <s v="Nordex"/>
    <s v="N90"/>
    <x v="3"/>
    <n v="4"/>
    <x v="7"/>
    <n v="57000"/>
    <x v="0"/>
  </r>
  <r>
    <s v="Ueliltz"/>
    <n v="2015"/>
    <s v="Nordex"/>
    <s v="N90"/>
    <x v="3"/>
    <n v="4"/>
    <x v="8"/>
    <n v="58500"/>
    <x v="0"/>
  </r>
  <r>
    <s v="Ueliltz"/>
    <n v="2015"/>
    <s v="Nordex"/>
    <s v="N90"/>
    <x v="3"/>
    <n v="4"/>
    <x v="9"/>
    <n v="58500"/>
    <x v="0"/>
  </r>
  <r>
    <s v="Ueliltz"/>
    <n v="2015"/>
    <s v="Nordex"/>
    <s v="N90"/>
    <x v="3"/>
    <n v="4"/>
    <x v="10"/>
    <n v="58500"/>
    <x v="0"/>
  </r>
  <r>
    <s v="Vogelsberg"/>
    <n v="2017"/>
    <s v="Fuhrländer"/>
    <s v="FL77"/>
    <x v="0"/>
    <n v="11"/>
    <x v="1"/>
    <n v="38500"/>
    <x v="0"/>
  </r>
  <r>
    <s v="Vogelsberg"/>
    <n v="2017"/>
    <s v="Fuhrländer"/>
    <s v="FL77"/>
    <x v="0"/>
    <n v="11"/>
    <x v="2"/>
    <n v="38500"/>
    <x v="0"/>
  </r>
  <r>
    <s v="Vogelsberg"/>
    <n v="2017"/>
    <s v="Fuhrländer"/>
    <s v="FL77"/>
    <x v="0"/>
    <n v="11"/>
    <x v="3"/>
    <n v="40500"/>
    <x v="0"/>
  </r>
  <r>
    <s v="Vogelsberg"/>
    <n v="2017"/>
    <s v="Fuhrländer"/>
    <s v="FL77"/>
    <x v="0"/>
    <n v="11"/>
    <x v="4"/>
    <n v="40500"/>
    <x v="0"/>
  </r>
  <r>
    <s v="Vogelsberg"/>
    <n v="2017"/>
    <s v="Fuhrländer"/>
    <s v="FL77"/>
    <x v="0"/>
    <n v="11"/>
    <x v="5"/>
    <n v="40500"/>
    <x v="0"/>
  </r>
  <r>
    <s v="Vogelsberg"/>
    <n v="2017"/>
    <s v="Fuhrländer"/>
    <s v="FL77"/>
    <x v="0"/>
    <n v="11"/>
    <x v="6"/>
    <n v="42500"/>
    <x v="0"/>
  </r>
  <r>
    <s v="Vogelsberg"/>
    <n v="2017"/>
    <s v="Fuhrländer"/>
    <s v="FL77"/>
    <x v="0"/>
    <n v="11"/>
    <x v="7"/>
    <n v="42500"/>
    <x v="0"/>
  </r>
  <r>
    <s v="Vogelsberg"/>
    <n v="2017"/>
    <s v="Fuhrländer"/>
    <s v="FL77"/>
    <x v="0"/>
    <n v="11"/>
    <x v="8"/>
    <n v="42500"/>
    <x v="0"/>
  </r>
  <r>
    <s v="Vogelsberg"/>
    <n v="2017"/>
    <s v="Fuhrländer"/>
    <s v="FL77"/>
    <x v="0"/>
    <n v="11"/>
    <x v="9"/>
    <n v="42500"/>
    <x v="0"/>
  </r>
  <r>
    <s v="Vogelsberg"/>
    <n v="2017"/>
    <s v="Fuhrländer"/>
    <s v="FL77"/>
    <x v="0"/>
    <n v="11"/>
    <x v="10"/>
    <n v="42500"/>
    <x v="0"/>
  </r>
  <r>
    <s v="Voltlage-Höckel"/>
    <n v="2015"/>
    <s v="Nordex"/>
    <s v="S77"/>
    <x v="0"/>
    <n v="7"/>
    <x v="7"/>
    <n v="46000"/>
    <x v="0"/>
  </r>
  <r>
    <s v="Voltlage-Höckel"/>
    <n v="2015"/>
    <s v="Nordex"/>
    <s v="S77"/>
    <x v="0"/>
    <n v="7"/>
    <x v="2"/>
    <n v="43000"/>
    <x v="0"/>
  </r>
  <r>
    <s v="Voltlage-Höckel"/>
    <n v="2015"/>
    <s v="Nordex"/>
    <s v="S77"/>
    <x v="0"/>
    <n v="7"/>
    <x v="1"/>
    <n v="43000"/>
    <x v="0"/>
  </r>
  <r>
    <s v="Voltlage-Höckel"/>
    <n v="2015"/>
    <s v="Nordex"/>
    <s v="S77"/>
    <x v="0"/>
    <n v="7"/>
    <x v="3"/>
    <n v="43000"/>
    <x v="0"/>
  </r>
  <r>
    <s v="Voltlage-Höckel"/>
    <n v="2015"/>
    <s v="Nordex"/>
    <s v="S77"/>
    <x v="0"/>
    <n v="7"/>
    <x v="4"/>
    <n v="44000"/>
    <x v="0"/>
  </r>
  <r>
    <s v="Voltlage-Höckel"/>
    <n v="2015"/>
    <s v="Nordex"/>
    <s v="S77"/>
    <x v="0"/>
    <n v="7"/>
    <x v="5"/>
    <n v="44000"/>
    <x v="0"/>
  </r>
  <r>
    <s v="Voltlage-Höckel"/>
    <n v="2015"/>
    <s v="Nordex"/>
    <s v="S77"/>
    <x v="0"/>
    <n v="7"/>
    <x v="6"/>
    <n v="44000"/>
    <x v="0"/>
  </r>
  <r>
    <s v="Voltlage-Höckel"/>
    <n v="2015"/>
    <s v="Nordex"/>
    <s v="S77"/>
    <x v="0"/>
    <n v="7"/>
    <x v="8"/>
    <n v="46000"/>
    <x v="0"/>
  </r>
  <r>
    <s v="Voltlage-Höckel"/>
    <n v="2015"/>
    <s v="Nordex"/>
    <s v="S77"/>
    <x v="0"/>
    <n v="7"/>
    <x v="9"/>
    <n v="46000"/>
    <x v="0"/>
  </r>
  <r>
    <s v="Voltlage-Höckel"/>
    <n v="2015"/>
    <s v="Nordex"/>
    <s v="S77"/>
    <x v="0"/>
    <n v="7"/>
    <x v="10"/>
    <n v="46000"/>
    <x v="0"/>
  </r>
  <r>
    <s v="Wedemark"/>
    <n v="2015"/>
    <s v="Nordex"/>
    <s v="S77"/>
    <x v="0"/>
    <n v="1"/>
    <x v="5"/>
    <n v="53000"/>
    <x v="1"/>
  </r>
  <r>
    <s v="Wedemark"/>
    <n v="2015"/>
    <s v="Nordex"/>
    <s v="S77"/>
    <x v="0"/>
    <n v="1"/>
    <x v="6"/>
    <n v="53000"/>
    <x v="1"/>
  </r>
  <r>
    <s v="Wedemark"/>
    <n v="2015"/>
    <s v="Nordex"/>
    <s v="S77"/>
    <x v="0"/>
    <n v="1"/>
    <x v="7"/>
    <n v="53000"/>
    <x v="1"/>
  </r>
  <r>
    <s v="Wedemark"/>
    <n v="2015"/>
    <s v="Nordex"/>
    <s v="S77"/>
    <x v="0"/>
    <n v="1"/>
    <x v="8"/>
    <n v="53000"/>
    <x v="1"/>
  </r>
  <r>
    <s v="Wedemark"/>
    <n v="2015"/>
    <s v="Nordex"/>
    <s v="S77"/>
    <x v="0"/>
    <n v="1"/>
    <x v="9"/>
    <n v="53000"/>
    <x v="1"/>
  </r>
  <r>
    <s v="Wedemark"/>
    <n v="2015"/>
    <s v="Nordex"/>
    <s v="S77"/>
    <x v="0"/>
    <n v="1"/>
    <x v="10"/>
    <n v="53000"/>
    <x v="1"/>
  </r>
  <r>
    <s v="Werl-Budberg"/>
    <n v="2016"/>
    <s v="Senvion"/>
    <s v="MD77"/>
    <x v="0"/>
    <n v="1"/>
    <x v="3"/>
    <n v="41800"/>
    <x v="1"/>
  </r>
  <r>
    <s v="Werl-Budberg"/>
    <n v="2016"/>
    <s v="Senvion"/>
    <s v="MD77"/>
    <x v="0"/>
    <n v="1"/>
    <x v="4"/>
    <n v="41800"/>
    <x v="1"/>
  </r>
  <r>
    <s v="Werl-Budberg"/>
    <n v="2016"/>
    <s v="Senvion"/>
    <s v="MD77"/>
    <x v="0"/>
    <n v="1"/>
    <x v="5"/>
    <n v="41800"/>
    <x v="1"/>
  </r>
  <r>
    <s v="Werl-Budberg"/>
    <n v="2016"/>
    <s v="Senvion"/>
    <s v="MD77"/>
    <x v="0"/>
    <n v="1"/>
    <x v="6"/>
    <n v="41800"/>
    <x v="1"/>
  </r>
  <r>
    <s v="Werl-Budberg"/>
    <n v="2016"/>
    <s v="Senvion"/>
    <s v="MD77"/>
    <x v="0"/>
    <n v="1"/>
    <x v="7"/>
    <n v="41800"/>
    <x v="1"/>
  </r>
  <r>
    <s v="Werl-Budberg"/>
    <n v="2016"/>
    <s v="Senvion"/>
    <s v="MD77"/>
    <x v="0"/>
    <n v="1"/>
    <x v="8"/>
    <n v="41800"/>
    <x v="1"/>
  </r>
  <r>
    <s v="Werl-Budberg"/>
    <n v="2016"/>
    <s v="Senvion"/>
    <s v="MD77"/>
    <x v="0"/>
    <n v="1"/>
    <x v="9"/>
    <n v="41800"/>
    <x v="1"/>
  </r>
  <r>
    <s v="Werl-Budberg"/>
    <n v="2016"/>
    <s v="Senvion"/>
    <s v="MD77"/>
    <x v="0"/>
    <n v="1"/>
    <x v="10"/>
    <n v="41800"/>
    <x v="1"/>
  </r>
  <r>
    <s v="Werl-Hilbeck"/>
    <n v="2016"/>
    <s v="Senvion"/>
    <s v="MD77"/>
    <x v="0"/>
    <n v="1"/>
    <x v="3"/>
    <n v="41800"/>
    <x v="1"/>
  </r>
  <r>
    <s v="Werl-Hilbeck"/>
    <n v="2016"/>
    <s v="Senvion"/>
    <s v="MD77"/>
    <x v="0"/>
    <n v="1"/>
    <x v="4"/>
    <n v="41800"/>
    <x v="1"/>
  </r>
  <r>
    <s v="Werl-Hilbeck"/>
    <n v="2016"/>
    <s v="Senvion"/>
    <s v="MD77"/>
    <x v="0"/>
    <n v="1"/>
    <x v="5"/>
    <n v="41800"/>
    <x v="1"/>
  </r>
  <r>
    <s v="Werl-Hilbeck"/>
    <n v="2016"/>
    <s v="Senvion"/>
    <s v="MD77"/>
    <x v="0"/>
    <n v="1"/>
    <x v="6"/>
    <n v="41800"/>
    <x v="1"/>
  </r>
  <r>
    <s v="Werl-Hilbeck"/>
    <n v="2016"/>
    <s v="Senvion"/>
    <s v="MD77"/>
    <x v="0"/>
    <n v="1"/>
    <x v="7"/>
    <n v="41800"/>
    <x v="1"/>
  </r>
  <r>
    <s v="Werl-Hilbeck"/>
    <n v="2016"/>
    <s v="Senvion"/>
    <s v="MD77"/>
    <x v="0"/>
    <n v="1"/>
    <x v="8"/>
    <n v="41800"/>
    <x v="1"/>
  </r>
  <r>
    <s v="Werl-Hilbeck"/>
    <n v="2016"/>
    <s v="Senvion"/>
    <s v="MD77"/>
    <x v="0"/>
    <n v="1"/>
    <x v="9"/>
    <n v="41800"/>
    <x v="1"/>
  </r>
  <r>
    <s v="Werl-Hilbeck"/>
    <n v="2016"/>
    <s v="Senvion"/>
    <s v="MD77"/>
    <x v="0"/>
    <n v="1"/>
    <x v="10"/>
    <n v="41800"/>
    <x v="1"/>
  </r>
  <r>
    <s v="Westerheim II"/>
    <n v="2016"/>
    <s v="Nordex"/>
    <s v="S70"/>
    <x v="0"/>
    <n v="1"/>
    <x v="5"/>
    <n v="46000"/>
    <x v="1"/>
  </r>
  <r>
    <s v="Westerheim II"/>
    <n v="2016"/>
    <s v="Nordex"/>
    <s v="S70"/>
    <x v="0"/>
    <n v="1"/>
    <x v="6"/>
    <n v="46000"/>
    <x v="1"/>
  </r>
  <r>
    <s v="Westerheim II"/>
    <n v="2016"/>
    <s v="Nordex"/>
    <s v="S70"/>
    <x v="0"/>
    <n v="1"/>
    <x v="7"/>
    <n v="46000"/>
    <x v="1"/>
  </r>
  <r>
    <s v="Westerheim II"/>
    <n v="2016"/>
    <s v="Nordex"/>
    <s v="S70"/>
    <x v="0"/>
    <n v="1"/>
    <x v="8"/>
    <n v="46000"/>
    <x v="1"/>
  </r>
  <r>
    <s v="Westerheim II"/>
    <n v="2016"/>
    <s v="Nordex"/>
    <s v="S70"/>
    <x v="0"/>
    <n v="1"/>
    <x v="9"/>
    <n v="46000"/>
    <x v="1"/>
  </r>
  <r>
    <s v="Westerheim II"/>
    <n v="2016"/>
    <s v="Nordex"/>
    <s v="S70"/>
    <x v="0"/>
    <n v="1"/>
    <x v="10"/>
    <n v="46000"/>
    <x v="1"/>
  </r>
  <r>
    <s v="Wilsickow II"/>
    <n v="2016"/>
    <s v="Senvion"/>
    <s v="MM82"/>
    <x v="2"/>
    <n v="6"/>
    <x v="1"/>
    <n v="37500"/>
    <x v="0"/>
  </r>
  <r>
    <s v="Wilsickow II"/>
    <n v="2016"/>
    <s v="Senvion"/>
    <s v="MM82"/>
    <x v="2"/>
    <n v="6"/>
    <x v="2"/>
    <n v="37500"/>
    <x v="0"/>
  </r>
  <r>
    <s v="Wilsickow II"/>
    <n v="2016"/>
    <s v="Senvion"/>
    <s v="MM82"/>
    <x v="2"/>
    <n v="6"/>
    <x v="3"/>
    <n v="37500"/>
    <x v="0"/>
  </r>
  <r>
    <s v="Wilsickow II"/>
    <n v="2016"/>
    <s v="Senvion"/>
    <s v="MM82"/>
    <x v="2"/>
    <n v="6"/>
    <x v="4"/>
    <n v="42000"/>
    <x v="0"/>
  </r>
  <r>
    <s v="Wilsickow II"/>
    <n v="2016"/>
    <s v="Senvion"/>
    <s v="MM82"/>
    <x v="2"/>
    <n v="6"/>
    <x v="5"/>
    <n v="42000"/>
    <x v="0"/>
  </r>
  <r>
    <s v="Wilsickow II"/>
    <n v="2016"/>
    <s v="Senvion"/>
    <s v="MM82"/>
    <x v="2"/>
    <n v="6"/>
    <x v="6"/>
    <n v="42000"/>
    <x v="0"/>
  </r>
  <r>
    <s v="Wilsickow II"/>
    <n v="2016"/>
    <s v="Senvion"/>
    <s v="MM82"/>
    <x v="2"/>
    <n v="6"/>
    <x v="7"/>
    <n v="45500"/>
    <x v="0"/>
  </r>
  <r>
    <s v="Wilsickow II"/>
    <n v="2016"/>
    <s v="Senvion"/>
    <s v="MM82"/>
    <x v="2"/>
    <n v="6"/>
    <x v="8"/>
    <n v="45500"/>
    <x v="0"/>
  </r>
  <r>
    <s v="Wilsickow II"/>
    <n v="2016"/>
    <s v="Senvion"/>
    <s v="MM82"/>
    <x v="2"/>
    <n v="6"/>
    <x v="9"/>
    <n v="45500"/>
    <x v="0"/>
  </r>
  <r>
    <s v="Wilsickow II"/>
    <n v="2016"/>
    <s v="Senvion"/>
    <s v="MM82"/>
    <x v="2"/>
    <n v="6"/>
    <x v="10"/>
    <n v="45500"/>
    <x v="0"/>
  </r>
  <r>
    <s v="Wittstock-Dosse"/>
    <n v="2015"/>
    <s v="Fuhrländer"/>
    <s v="FL77"/>
    <x v="0"/>
    <n v="3"/>
    <x v="1"/>
    <n v="47500"/>
    <x v="0"/>
  </r>
  <r>
    <s v="Wittstock-Dosse"/>
    <n v="2015"/>
    <s v="Fuhrländer"/>
    <s v="FL77"/>
    <x v="0"/>
    <n v="3"/>
    <x v="2"/>
    <n v="47500"/>
    <x v="0"/>
  </r>
  <r>
    <s v="Wittstock-Dosse"/>
    <n v="2015"/>
    <s v="Fuhrländer"/>
    <s v="FL77"/>
    <x v="0"/>
    <n v="3"/>
    <x v="3"/>
    <n v="49500"/>
    <x v="0"/>
  </r>
  <r>
    <s v="Wittstock-Dosse"/>
    <n v="2015"/>
    <s v="Fuhrländer"/>
    <s v="FL77"/>
    <x v="0"/>
    <n v="3"/>
    <x v="4"/>
    <n v="49500"/>
    <x v="0"/>
  </r>
  <r>
    <s v="Wittstock-Dosse"/>
    <n v="2015"/>
    <s v="Fuhrländer"/>
    <s v="FL77"/>
    <x v="0"/>
    <n v="3"/>
    <x v="5"/>
    <n v="49500"/>
    <x v="0"/>
  </r>
  <r>
    <s v="Wittstock-Dosse"/>
    <n v="2015"/>
    <s v="Fuhrländer"/>
    <s v="FL77"/>
    <x v="0"/>
    <n v="3"/>
    <x v="6"/>
    <n v="49500"/>
    <x v="0"/>
  </r>
  <r>
    <s v="Wittstock-Dosse"/>
    <n v="2015"/>
    <s v="Fuhrländer"/>
    <s v="FL77"/>
    <x v="0"/>
    <n v="3"/>
    <x v="7"/>
    <n v="52500"/>
    <x v="0"/>
  </r>
  <r>
    <s v="Wittstock-Dosse"/>
    <n v="2015"/>
    <s v="Fuhrländer"/>
    <s v="FL77"/>
    <x v="0"/>
    <n v="3"/>
    <x v="8"/>
    <n v="52500"/>
    <x v="0"/>
  </r>
  <r>
    <s v="Wittstock-Dosse"/>
    <n v="2015"/>
    <s v="Fuhrländer"/>
    <s v="FL77"/>
    <x v="0"/>
    <n v="3"/>
    <x v="9"/>
    <n v="52500"/>
    <x v="0"/>
  </r>
  <r>
    <s v="Wittstock-Dosse"/>
    <n v="2015"/>
    <s v="Fuhrländer"/>
    <s v="FL77"/>
    <x v="0"/>
    <n v="3"/>
    <x v="10"/>
    <n v="52500"/>
    <x v="0"/>
  </r>
  <r>
    <s v="Wolgast II"/>
    <n v="2017"/>
    <s v="Senvion"/>
    <s v="MD77"/>
    <x v="0"/>
    <n v="1"/>
    <x v="3"/>
    <n v="40200"/>
    <x v="1"/>
  </r>
  <r>
    <s v="Wolgast II"/>
    <n v="2017"/>
    <s v="Senvion"/>
    <s v="MD77"/>
    <x v="0"/>
    <n v="1"/>
    <x v="4"/>
    <n v="40200"/>
    <x v="1"/>
  </r>
  <r>
    <s v="Wolgast II"/>
    <n v="2017"/>
    <s v="Senvion"/>
    <s v="MD77"/>
    <x v="0"/>
    <n v="1"/>
    <x v="5"/>
    <n v="43700"/>
    <x v="1"/>
  </r>
  <r>
    <s v="Wolgast II"/>
    <n v="2017"/>
    <s v="Senvion"/>
    <s v="MD77"/>
    <x v="0"/>
    <n v="1"/>
    <x v="6"/>
    <n v="43700"/>
    <x v="1"/>
  </r>
  <r>
    <s v="Wolgast II"/>
    <n v="2017"/>
    <s v="Senvion"/>
    <s v="MD77"/>
    <x v="0"/>
    <n v="1"/>
    <x v="7"/>
    <n v="47000"/>
    <x v="1"/>
  </r>
  <r>
    <s v="Wolgast II"/>
    <n v="2017"/>
    <s v="Senvion"/>
    <s v="MD77"/>
    <x v="0"/>
    <n v="1"/>
    <x v="8"/>
    <n v="47000"/>
    <x v="1"/>
  </r>
  <r>
    <s v="Wolgast II"/>
    <n v="2017"/>
    <s v="Senvion"/>
    <s v="MD77"/>
    <x v="0"/>
    <n v="1"/>
    <x v="9"/>
    <n v="47000"/>
    <x v="1"/>
  </r>
  <r>
    <s v="Wolgast II"/>
    <n v="2017"/>
    <s v="Senvion"/>
    <s v="MD77"/>
    <x v="0"/>
    <n v="1"/>
    <x v="10"/>
    <n v="47000"/>
    <x v="1"/>
  </r>
  <r>
    <s v="Wölkisch"/>
    <n v="2014"/>
    <s v="Senvion"/>
    <s v="MM92"/>
    <x v="2"/>
    <n v="11"/>
    <x v="18"/>
    <n v="17000"/>
    <x v="0"/>
  </r>
  <r>
    <s v="Wölkisch"/>
    <n v="2014"/>
    <s v="Senvion"/>
    <s v="MM92"/>
    <x v="2"/>
    <n v="11"/>
    <x v="19"/>
    <n v="38500"/>
    <x v="0"/>
  </r>
  <r>
    <s v="Wölkisch"/>
    <n v="2014"/>
    <s v="Senvion"/>
    <s v="MM92"/>
    <x v="2"/>
    <n v="11"/>
    <x v="11"/>
    <n v="38500"/>
    <x v="0"/>
  </r>
  <r>
    <s v="Wölkisch"/>
    <n v="2014"/>
    <s v="Senvion"/>
    <s v="MM92"/>
    <x v="2"/>
    <n v="11"/>
    <x v="12"/>
    <n v="38500"/>
    <x v="0"/>
  </r>
  <r>
    <s v="Wölkisch"/>
    <n v="2014"/>
    <s v="Senvion"/>
    <s v="MM92"/>
    <x v="2"/>
    <n v="11"/>
    <x v="13"/>
    <n v="43500"/>
    <x v="0"/>
  </r>
  <r>
    <s v="Wölkisch"/>
    <n v="2014"/>
    <s v="Senvion"/>
    <s v="MM92"/>
    <x v="2"/>
    <n v="11"/>
    <x v="14"/>
    <n v="43500"/>
    <x v="0"/>
  </r>
  <r>
    <s v="Wölkisch"/>
    <n v="2014"/>
    <s v="Senvion"/>
    <s v="MM92"/>
    <x v="2"/>
    <n v="11"/>
    <x v="15"/>
    <n v="43500"/>
    <x v="0"/>
  </r>
  <r>
    <s v="Wölkisch"/>
    <n v="2014"/>
    <s v="Senvion"/>
    <s v="MM92"/>
    <x v="2"/>
    <n v="11"/>
    <x v="16"/>
    <n v="43500"/>
    <x v="0"/>
  </r>
  <r>
    <s v="Wölkisch"/>
    <n v="2014"/>
    <s v="Senvion"/>
    <s v="MM92"/>
    <x v="2"/>
    <n v="11"/>
    <x v="17"/>
    <n v="48000"/>
    <x v="0"/>
  </r>
  <r>
    <s v="Wölkisch"/>
    <n v="2014"/>
    <s v="Senvion"/>
    <s v="MM92"/>
    <x v="2"/>
    <n v="11"/>
    <x v="0"/>
    <n v="48000"/>
    <x v="0"/>
  </r>
  <r>
    <s v="Wölkisch"/>
    <n v="2014"/>
    <s v="Senvion"/>
    <s v="MM92"/>
    <x v="2"/>
    <n v="11"/>
    <x v="1"/>
    <n v="51000"/>
    <x v="0"/>
  </r>
  <r>
    <s v="Wölkisch"/>
    <n v="2014"/>
    <s v="Senvion"/>
    <s v="MM92"/>
    <x v="2"/>
    <n v="11"/>
    <x v="2"/>
    <n v="51000"/>
    <x v="0"/>
  </r>
  <r>
    <s v="Wölkisch"/>
    <n v="2014"/>
    <s v="Senvion"/>
    <s v="MM92"/>
    <x v="2"/>
    <n v="11"/>
    <x v="3"/>
    <n v="51000"/>
    <x v="0"/>
  </r>
  <r>
    <s v="Wölkisch"/>
    <n v="2014"/>
    <s v="Senvion"/>
    <s v="MM92"/>
    <x v="2"/>
    <n v="11"/>
    <x v="4"/>
    <n v="51000"/>
    <x v="0"/>
  </r>
  <r>
    <s v="Wölkisch"/>
    <n v="2014"/>
    <s v="Senvion"/>
    <s v="MM92"/>
    <x v="2"/>
    <n v="11"/>
    <x v="5"/>
    <n v="51000"/>
    <x v="0"/>
  </r>
  <r>
    <s v="Wölkisch"/>
    <n v="2014"/>
    <s v="Senvion"/>
    <s v="MM92"/>
    <x v="2"/>
    <n v="11"/>
    <x v="6"/>
    <n v="56500"/>
    <x v="0"/>
  </r>
  <r>
    <s v="Wölkisch"/>
    <n v="2014"/>
    <s v="Senvion"/>
    <s v="MM92"/>
    <x v="2"/>
    <n v="11"/>
    <x v="7"/>
    <n v="56500"/>
    <x v="0"/>
  </r>
  <r>
    <s v="Wölkisch"/>
    <n v="2014"/>
    <s v="Senvion"/>
    <s v="MM92"/>
    <x v="2"/>
    <n v="11"/>
    <x v="8"/>
    <n v="56500"/>
    <x v="0"/>
  </r>
  <r>
    <s v="Wölkisch"/>
    <n v="2014"/>
    <s v="Senvion"/>
    <s v="MM92"/>
    <x v="2"/>
    <n v="11"/>
    <x v="9"/>
    <n v="56500"/>
    <x v="0"/>
  </r>
  <r>
    <s v="Wölkisch"/>
    <n v="2014"/>
    <s v="Senvion"/>
    <s v="MM92"/>
    <x v="2"/>
    <n v="11"/>
    <x v="10"/>
    <n v="56500"/>
    <x v="0"/>
  </r>
  <r>
    <s v="Twedt"/>
    <n v="2017"/>
    <s v="Senvion"/>
    <s v="3.4M114"/>
    <x v="6"/>
    <n v="7"/>
    <x v="18"/>
    <n v="33500"/>
    <x v="0"/>
  </r>
  <r>
    <s v="Twedt"/>
    <n v="2017"/>
    <s v="Senvion"/>
    <s v="3.4M114"/>
    <x v="6"/>
    <n v="7"/>
    <x v="19"/>
    <n v="33500"/>
    <x v="0"/>
  </r>
  <r>
    <s v="Twedt"/>
    <n v="2017"/>
    <s v="Senvion"/>
    <s v="3.4M114"/>
    <x v="6"/>
    <n v="7"/>
    <x v="11"/>
    <n v="54500"/>
    <x v="0"/>
  </r>
  <r>
    <s v="Twedt"/>
    <n v="2017"/>
    <s v="Senvion"/>
    <s v="3.4M114"/>
    <x v="6"/>
    <n v="7"/>
    <x v="12"/>
    <n v="54500"/>
    <x v="0"/>
  </r>
  <r>
    <s v="Twedt"/>
    <n v="2017"/>
    <s v="Senvion"/>
    <s v="3.4M114"/>
    <x v="6"/>
    <n v="7"/>
    <x v="13"/>
    <n v="54500"/>
    <x v="0"/>
  </r>
  <r>
    <s v="Twedt"/>
    <n v="2017"/>
    <s v="Senvion"/>
    <s v="3.4M114"/>
    <x v="6"/>
    <n v="7"/>
    <x v="14"/>
    <n v="63500"/>
    <x v="0"/>
  </r>
  <r>
    <s v="Twedt"/>
    <n v="2017"/>
    <s v="Senvion"/>
    <s v="3.4M114"/>
    <x v="6"/>
    <n v="7"/>
    <x v="15"/>
    <n v="63500"/>
    <x v="0"/>
  </r>
  <r>
    <s v="Twedt"/>
    <n v="2017"/>
    <s v="Senvion"/>
    <s v="3.4M114"/>
    <x v="6"/>
    <n v="7"/>
    <x v="16"/>
    <n v="63500"/>
    <x v="0"/>
  </r>
  <r>
    <s v="Twedt"/>
    <n v="2017"/>
    <s v="Senvion"/>
    <s v="3.4M114"/>
    <x v="6"/>
    <n v="7"/>
    <x v="17"/>
    <n v="63500"/>
    <x v="0"/>
  </r>
  <r>
    <s v="Twedt"/>
    <n v="2017"/>
    <s v="Senvion"/>
    <s v="3.4M114"/>
    <x v="6"/>
    <n v="7"/>
    <x v="0"/>
    <n v="63500"/>
    <x v="0"/>
  </r>
  <r>
    <s v="Twedt"/>
    <n v="2017"/>
    <s v="Senvion"/>
    <s v="3.4M114"/>
    <x v="6"/>
    <n v="7"/>
    <x v="1"/>
    <n v="78500"/>
    <x v="0"/>
  </r>
  <r>
    <s v="Twedt"/>
    <n v="2017"/>
    <s v="Senvion"/>
    <s v="3.4M114"/>
    <x v="6"/>
    <n v="7"/>
    <x v="2"/>
    <n v="78500"/>
    <x v="0"/>
  </r>
  <r>
    <s v="Twedt"/>
    <n v="2017"/>
    <s v="Senvion"/>
    <s v="3.4M114"/>
    <x v="6"/>
    <n v="7"/>
    <x v="3"/>
    <n v="78500"/>
    <x v="0"/>
  </r>
  <r>
    <s v="Twedt"/>
    <n v="2017"/>
    <s v="Senvion"/>
    <s v="3.4M114"/>
    <x v="6"/>
    <n v="7"/>
    <x v="4"/>
    <n v="78500"/>
    <x v="0"/>
  </r>
  <r>
    <s v="Twedt"/>
    <n v="2017"/>
    <s v="Senvion"/>
    <s v="3.4M114"/>
    <x v="6"/>
    <n v="7"/>
    <x v="5"/>
    <n v="78500"/>
    <x v="0"/>
  </r>
  <r>
    <s v="Twedt"/>
    <n v="2017"/>
    <s v="Senvion"/>
    <s v="3.4M114"/>
    <x v="6"/>
    <n v="7"/>
    <x v="6"/>
    <n v="78500"/>
    <x v="0"/>
  </r>
  <r>
    <s v="Twedt"/>
    <n v="2017"/>
    <s v="Senvion"/>
    <s v="3.4M114"/>
    <x v="6"/>
    <n v="7"/>
    <x v="7"/>
    <n v="88500"/>
    <x v="0"/>
  </r>
  <r>
    <s v="Twedt"/>
    <n v="2017"/>
    <s v="Senvion"/>
    <s v="3.4M114"/>
    <x v="6"/>
    <n v="7"/>
    <x v="8"/>
    <n v="88500"/>
    <x v="0"/>
  </r>
  <r>
    <s v="Twedt"/>
    <n v="2017"/>
    <s v="Senvion"/>
    <s v="3.4M114"/>
    <x v="6"/>
    <n v="7"/>
    <x v="9"/>
    <n v="88500"/>
    <x v="0"/>
  </r>
  <r>
    <s v="Twedt"/>
    <n v="2017"/>
    <s v="Senvion"/>
    <s v="3.4M114"/>
    <x v="6"/>
    <n v="7"/>
    <x v="10"/>
    <n v="88500"/>
    <x v="0"/>
  </r>
  <r>
    <s v="Langenbrügge"/>
    <n v="2017"/>
    <s v="Senvion"/>
    <s v="MM100"/>
    <x v="2"/>
    <n v="1"/>
    <x v="19"/>
    <n v="32000"/>
    <x v="1"/>
  </r>
  <r>
    <s v="Langenbrügge"/>
    <n v="2017"/>
    <s v="Senvion"/>
    <s v="MM100"/>
    <x v="2"/>
    <n v="1"/>
    <x v="11"/>
    <n v="32480"/>
    <x v="1"/>
  </r>
  <r>
    <s v="Langenbrügge"/>
    <n v="2017"/>
    <s v="Senvion"/>
    <s v="MM100"/>
    <x v="2"/>
    <n v="1"/>
    <x v="12"/>
    <n v="38487"/>
    <x v="1"/>
  </r>
  <r>
    <s v="Langenbrügge"/>
    <n v="2017"/>
    <s v="Senvion"/>
    <s v="MM100"/>
    <x v="2"/>
    <n v="1"/>
    <x v="13"/>
    <n v="39065"/>
    <x v="1"/>
  </r>
  <r>
    <s v="Langenbrügge"/>
    <n v="2017"/>
    <s v="Senvion"/>
    <s v="MM100"/>
    <x v="2"/>
    <n v="1"/>
    <x v="14"/>
    <n v="39650"/>
    <x v="1"/>
  </r>
  <r>
    <s v="Langenbrügge"/>
    <n v="2017"/>
    <s v="Senvion"/>
    <s v="MM100"/>
    <x v="2"/>
    <n v="1"/>
    <x v="15"/>
    <n v="40245"/>
    <x v="1"/>
  </r>
  <r>
    <s v="Langenbrügge"/>
    <n v="2017"/>
    <s v="Senvion"/>
    <s v="MM100"/>
    <x v="2"/>
    <n v="1"/>
    <x v="16"/>
    <n v="43000"/>
    <x v="1"/>
  </r>
  <r>
    <s v="Langenbrügge"/>
    <n v="2017"/>
    <s v="Senvion"/>
    <s v="MM100"/>
    <x v="2"/>
    <n v="1"/>
    <x v="17"/>
    <n v="43645"/>
    <x v="1"/>
  </r>
  <r>
    <s v="Langenbrügge"/>
    <n v="2017"/>
    <s v="Senvion"/>
    <s v="MM100"/>
    <x v="2"/>
    <n v="1"/>
    <x v="0"/>
    <n v="45655"/>
    <x v="1"/>
  </r>
  <r>
    <s v="Langenbrügge"/>
    <n v="2017"/>
    <s v="Senvion"/>
    <s v="MM100"/>
    <x v="2"/>
    <n v="1"/>
    <x v="1"/>
    <n v="46339"/>
    <x v="1"/>
  </r>
  <r>
    <s v="Langenbrügge"/>
    <n v="2017"/>
    <s v="Senvion"/>
    <s v="MM100"/>
    <x v="2"/>
    <n v="1"/>
    <x v="2"/>
    <n v="47035"/>
    <x v="1"/>
  </r>
  <r>
    <s v="Langenbrügge"/>
    <n v="2017"/>
    <s v="Senvion"/>
    <s v="MM100"/>
    <x v="2"/>
    <n v="1"/>
    <x v="3"/>
    <n v="47740"/>
    <x v="1"/>
  </r>
  <r>
    <s v="Langenbrügge"/>
    <n v="2017"/>
    <s v="Senvion"/>
    <s v="MM100"/>
    <x v="2"/>
    <n v="1"/>
    <x v="4"/>
    <n v="48456"/>
    <x v="1"/>
  </r>
  <r>
    <s v="Langenbrügge"/>
    <n v="2017"/>
    <s v="Senvion"/>
    <s v="MM100"/>
    <x v="2"/>
    <n v="1"/>
    <x v="5"/>
    <n v="54000"/>
    <x v="1"/>
  </r>
  <r>
    <s v="Langenbrügge"/>
    <n v="2017"/>
    <s v="Senvion"/>
    <s v="MM100"/>
    <x v="2"/>
    <n v="1"/>
    <x v="6"/>
    <n v="54810"/>
    <x v="1"/>
  </r>
  <r>
    <s v="Langenbrügge"/>
    <n v="2017"/>
    <s v="Senvion"/>
    <s v="MM100"/>
    <x v="2"/>
    <n v="1"/>
    <x v="7"/>
    <n v="55632"/>
    <x v="1"/>
  </r>
  <r>
    <s v="Langenbrügge"/>
    <n v="2017"/>
    <s v="Senvion"/>
    <s v="MM100"/>
    <x v="2"/>
    <n v="1"/>
    <x v="8"/>
    <n v="56467"/>
    <x v="1"/>
  </r>
  <r>
    <s v="Langenbrügge"/>
    <n v="2017"/>
    <s v="Senvion"/>
    <s v="MM100"/>
    <x v="2"/>
    <n v="1"/>
    <x v="9"/>
    <n v="57314"/>
    <x v="1"/>
  </r>
  <r>
    <s v="Langenbrügge"/>
    <n v="2017"/>
    <s v="Senvion"/>
    <s v="MM100"/>
    <x v="2"/>
    <n v="1"/>
    <x v="10"/>
    <n v="58173"/>
    <x v="1"/>
  </r>
  <r>
    <s v="Hemme"/>
    <n v="2017"/>
    <s v="Senvion"/>
    <s v="MM82"/>
    <x v="2"/>
    <n v="1"/>
    <x v="3"/>
    <n v="42000"/>
    <x v="0"/>
  </r>
  <r>
    <s v="Hemme"/>
    <n v="2017"/>
    <s v="Senvion"/>
    <s v="MM82"/>
    <x v="2"/>
    <n v="1"/>
    <x v="4"/>
    <n v="42000"/>
    <x v="0"/>
  </r>
  <r>
    <s v="Hemme"/>
    <n v="2017"/>
    <s v="Senvion"/>
    <s v="MM82"/>
    <x v="2"/>
    <n v="1"/>
    <x v="5"/>
    <n v="45000"/>
    <x v="0"/>
  </r>
  <r>
    <s v="Hemme"/>
    <n v="2017"/>
    <s v="Senvion"/>
    <s v="MM82"/>
    <x v="2"/>
    <n v="1"/>
    <x v="6"/>
    <n v="45000"/>
    <x v="0"/>
  </r>
  <r>
    <s v="Hemme"/>
    <n v="2017"/>
    <s v="Senvion"/>
    <s v="MM82"/>
    <x v="2"/>
    <n v="1"/>
    <x v="7"/>
    <n v="45000"/>
    <x v="0"/>
  </r>
  <r>
    <s v="Hemme"/>
    <n v="2017"/>
    <s v="Senvion"/>
    <s v="MM82"/>
    <x v="2"/>
    <n v="1"/>
    <x v="8"/>
    <n v="51000"/>
    <x v="0"/>
  </r>
  <r>
    <s v="Hemme"/>
    <n v="2017"/>
    <s v="Senvion"/>
    <s v="MM82"/>
    <x v="2"/>
    <n v="1"/>
    <x v="9"/>
    <n v="51000"/>
    <x v="0"/>
  </r>
  <r>
    <s v="Hemme"/>
    <n v="2017"/>
    <s v="Senvion"/>
    <s v="MM82"/>
    <x v="2"/>
    <n v="1"/>
    <x v="10"/>
    <n v="51000"/>
    <x v="0"/>
  </r>
  <r>
    <s v="Sengwarden"/>
    <n v="2017"/>
    <s v="Senvion"/>
    <s v="MM82"/>
    <x v="2"/>
    <n v="1"/>
    <x v="16"/>
    <n v="41000"/>
    <x v="0"/>
  </r>
  <r>
    <s v="Sengwarden"/>
    <n v="2017"/>
    <s v="Senvion"/>
    <s v="MM82"/>
    <x v="2"/>
    <n v="1"/>
    <x v="17"/>
    <n v="41000"/>
    <x v="0"/>
  </r>
  <r>
    <s v="Sengwarden"/>
    <n v="2017"/>
    <s v="Senvion"/>
    <s v="MM82"/>
    <x v="2"/>
    <n v="1"/>
    <x v="0"/>
    <n v="41000"/>
    <x v="0"/>
  </r>
  <r>
    <s v="Sengwarden"/>
    <n v="2017"/>
    <s v="Senvion"/>
    <s v="MM82"/>
    <x v="2"/>
    <n v="1"/>
    <x v="1"/>
    <n v="45500"/>
    <x v="0"/>
  </r>
  <r>
    <s v="Sengwarden"/>
    <n v="2017"/>
    <s v="Senvion"/>
    <s v="MM82"/>
    <x v="2"/>
    <n v="1"/>
    <x v="2"/>
    <n v="45500"/>
    <x v="0"/>
  </r>
  <r>
    <s v="Sengwarden"/>
    <n v="2017"/>
    <s v="Senvion"/>
    <s v="MM82"/>
    <x v="2"/>
    <n v="1"/>
    <x v="3"/>
    <n v="45500"/>
    <x v="0"/>
  </r>
  <r>
    <s v="Sengwarden"/>
    <n v="2017"/>
    <s v="Senvion"/>
    <s v="MM82"/>
    <x v="2"/>
    <n v="1"/>
    <x v="4"/>
    <n v="45500"/>
    <x v="0"/>
  </r>
  <r>
    <s v="Sengwarden"/>
    <n v="2017"/>
    <s v="Senvion"/>
    <s v="MM82"/>
    <x v="2"/>
    <n v="1"/>
    <x v="5"/>
    <n v="45500"/>
    <x v="0"/>
  </r>
  <r>
    <s v="Sengwarden"/>
    <n v="2017"/>
    <s v="Senvion"/>
    <s v="MM82"/>
    <x v="2"/>
    <n v="1"/>
    <x v="6"/>
    <n v="48500"/>
    <x v="0"/>
  </r>
  <r>
    <s v="Sengwarden"/>
    <n v="2017"/>
    <s v="Senvion"/>
    <s v="MM82"/>
    <x v="2"/>
    <n v="1"/>
    <x v="7"/>
    <n v="48500"/>
    <x v="0"/>
  </r>
  <r>
    <s v="Sengwarden"/>
    <n v="2017"/>
    <s v="Senvion"/>
    <s v="MM82"/>
    <x v="2"/>
    <n v="1"/>
    <x v="8"/>
    <n v="48500"/>
    <x v="0"/>
  </r>
  <r>
    <s v="Sengwarden"/>
    <n v="2017"/>
    <s v="Senvion"/>
    <s v="MM82"/>
    <x v="2"/>
    <n v="1"/>
    <x v="9"/>
    <n v="48500"/>
    <x v="0"/>
  </r>
  <r>
    <s v="Sengwarden"/>
    <n v="2017"/>
    <s v="Senvion"/>
    <s v="MM82"/>
    <x v="2"/>
    <n v="1"/>
    <x v="10"/>
    <n v="48500"/>
    <x v="0"/>
  </r>
  <r>
    <s v="Nähe Fulda"/>
    <n v="2017"/>
    <s v="Nordex"/>
    <s v="N117"/>
    <x v="5"/>
    <n v="9"/>
    <x v="18"/>
    <n v="20000"/>
    <x v="0"/>
  </r>
  <r>
    <s v="Nähe Fulda"/>
    <n v="2017"/>
    <s v="Nordex"/>
    <s v="N117"/>
    <x v="5"/>
    <n v="9"/>
    <x v="19"/>
    <n v="20000"/>
    <x v="0"/>
  </r>
  <r>
    <s v="Nähe Fulda"/>
    <n v="2017"/>
    <s v="Nordex"/>
    <s v="N117"/>
    <x v="5"/>
    <n v="9"/>
    <x v="11"/>
    <n v="47000"/>
    <x v="0"/>
  </r>
  <r>
    <s v="Nähe Fulda"/>
    <n v="2017"/>
    <s v="Nordex"/>
    <s v="N117"/>
    <x v="5"/>
    <n v="9"/>
    <x v="12"/>
    <n v="47000"/>
    <x v="0"/>
  </r>
  <r>
    <s v="Nähe Fulda"/>
    <n v="2017"/>
    <s v="Nordex"/>
    <s v="N117"/>
    <x v="5"/>
    <n v="9"/>
    <x v="13"/>
    <n v="47000"/>
    <x v="0"/>
  </r>
  <r>
    <s v="Nähe Fulda"/>
    <n v="2017"/>
    <s v="Nordex"/>
    <s v="N117"/>
    <x v="5"/>
    <n v="9"/>
    <x v="14"/>
    <n v="52500"/>
    <x v="0"/>
  </r>
  <r>
    <s v="Nähe Fulda"/>
    <n v="2017"/>
    <s v="Nordex"/>
    <s v="N117"/>
    <x v="5"/>
    <n v="9"/>
    <x v="15"/>
    <n v="52500"/>
    <x v="0"/>
  </r>
  <r>
    <s v="Nähe Fulda"/>
    <n v="2017"/>
    <s v="Nordex"/>
    <s v="N117"/>
    <x v="5"/>
    <n v="9"/>
    <x v="16"/>
    <n v="52500"/>
    <x v="0"/>
  </r>
  <r>
    <s v="Nähe Fulda"/>
    <n v="2017"/>
    <s v="Nordex"/>
    <s v="N117"/>
    <x v="5"/>
    <n v="9"/>
    <x v="17"/>
    <n v="52500"/>
    <x v="0"/>
  </r>
  <r>
    <s v="Nähe Fulda"/>
    <n v="2017"/>
    <s v="Nordex"/>
    <s v="N117"/>
    <x v="5"/>
    <n v="9"/>
    <x v="0"/>
    <n v="52500"/>
    <x v="0"/>
  </r>
  <r>
    <s v="Nähe Fulda"/>
    <n v="2017"/>
    <s v="Nordex"/>
    <s v="N117"/>
    <x v="5"/>
    <n v="9"/>
    <x v="1"/>
    <n v="57500"/>
    <x v="0"/>
  </r>
  <r>
    <s v="Nähe Fulda"/>
    <n v="2017"/>
    <s v="Nordex"/>
    <s v="N117"/>
    <x v="5"/>
    <n v="9"/>
    <x v="2"/>
    <n v="57500"/>
    <x v="0"/>
  </r>
  <r>
    <s v="Nähe Fulda"/>
    <n v="2017"/>
    <s v="Nordex"/>
    <s v="N117"/>
    <x v="5"/>
    <n v="9"/>
    <x v="3"/>
    <n v="57500"/>
    <x v="0"/>
  </r>
  <r>
    <s v="Nähe Fulda"/>
    <n v="2017"/>
    <s v="Nordex"/>
    <s v="N117"/>
    <x v="5"/>
    <n v="9"/>
    <x v="4"/>
    <n v="57500"/>
    <x v="0"/>
  </r>
  <r>
    <s v="Nähe Fulda"/>
    <n v="2017"/>
    <s v="Nordex"/>
    <s v="N117"/>
    <x v="5"/>
    <n v="9"/>
    <x v="5"/>
    <n v="57500"/>
    <x v="0"/>
  </r>
  <r>
    <s v="Nähe Fulda"/>
    <n v="2017"/>
    <s v="Nordex"/>
    <s v="N117"/>
    <x v="5"/>
    <n v="9"/>
    <x v="6"/>
    <n v="63500"/>
    <x v="0"/>
  </r>
  <r>
    <s v="Nähe Fulda"/>
    <n v="2017"/>
    <s v="Nordex"/>
    <s v="N117"/>
    <x v="5"/>
    <n v="9"/>
    <x v="7"/>
    <n v="63500"/>
    <x v="0"/>
  </r>
  <r>
    <s v="Nähe Fulda"/>
    <n v="2017"/>
    <s v="Nordex"/>
    <s v="N117"/>
    <x v="5"/>
    <n v="9"/>
    <x v="8"/>
    <n v="63500"/>
    <x v="0"/>
  </r>
  <r>
    <s v="Nähe Fulda"/>
    <n v="2017"/>
    <s v="Nordex"/>
    <s v="N117"/>
    <x v="5"/>
    <n v="9"/>
    <x v="9"/>
    <n v="63500"/>
    <x v="0"/>
  </r>
  <r>
    <s v="Nähe Fulda"/>
    <n v="2017"/>
    <s v="Nordex"/>
    <s v="N117"/>
    <x v="5"/>
    <n v="9"/>
    <x v="10"/>
    <n v="63500"/>
    <x v="0"/>
  </r>
  <r>
    <s v="Nähe Fulda"/>
    <n v="2017"/>
    <s v="Nordex"/>
    <s v="N117"/>
    <x v="5"/>
    <n v="9"/>
    <x v="20"/>
    <n v="76500"/>
    <x v="0"/>
  </r>
  <r>
    <s v="Nähe Fulda"/>
    <n v="2017"/>
    <s v="Nordex"/>
    <s v="N117"/>
    <x v="5"/>
    <n v="9"/>
    <x v="21"/>
    <n v="76500"/>
    <x v="0"/>
  </r>
  <r>
    <s v="Nähe Fulda"/>
    <n v="2017"/>
    <s v="Nordex"/>
    <s v="N117"/>
    <x v="5"/>
    <n v="9"/>
    <x v="22"/>
    <n v="76500"/>
    <x v="0"/>
  </r>
  <r>
    <s v="Nähe Fulda"/>
    <n v="2017"/>
    <s v="Nordex"/>
    <s v="N117"/>
    <x v="5"/>
    <n v="9"/>
    <x v="23"/>
    <n v="76500"/>
    <x v="0"/>
  </r>
  <r>
    <s v="Nähe Fulda"/>
    <n v="2017"/>
    <s v="Nordex"/>
    <s v="N117"/>
    <x v="5"/>
    <n v="9"/>
    <x v="24"/>
    <n v="76500"/>
    <x v="0"/>
  </r>
  <r>
    <s v="Wolbeck II"/>
    <n v="2017"/>
    <s v="Senvion"/>
    <s v="MM100"/>
    <x v="2"/>
    <n v="1"/>
    <x v="18"/>
    <n v="18000"/>
    <x v="0"/>
  </r>
  <r>
    <s v="Wolbeck II"/>
    <n v="2017"/>
    <s v="Senvion"/>
    <s v="MM100"/>
    <x v="2"/>
    <n v="1"/>
    <x v="19"/>
    <n v="18000"/>
    <x v="0"/>
  </r>
  <r>
    <s v="Wolbeck II"/>
    <n v="2017"/>
    <s v="Senvion"/>
    <s v="MM100"/>
    <x v="2"/>
    <n v="1"/>
    <x v="11"/>
    <n v="37000"/>
    <x v="0"/>
  </r>
  <r>
    <s v="Wolbeck II"/>
    <n v="2017"/>
    <s v="Senvion"/>
    <s v="MM100"/>
    <x v="2"/>
    <n v="1"/>
    <x v="12"/>
    <n v="37000"/>
    <x v="0"/>
  </r>
  <r>
    <s v="Wolbeck II"/>
    <n v="2017"/>
    <s v="Senvion"/>
    <s v="MM100"/>
    <x v="2"/>
    <n v="1"/>
    <x v="13"/>
    <n v="42000"/>
    <x v="0"/>
  </r>
  <r>
    <s v="Wolbeck II"/>
    <n v="2017"/>
    <s v="Senvion"/>
    <s v="MM100"/>
    <x v="2"/>
    <n v="1"/>
    <x v="14"/>
    <n v="42000"/>
    <x v="0"/>
  </r>
  <r>
    <s v="Wolbeck II"/>
    <n v="2017"/>
    <s v="Senvion"/>
    <s v="MM100"/>
    <x v="2"/>
    <n v="1"/>
    <x v="15"/>
    <n v="42000"/>
    <x v="0"/>
  </r>
  <r>
    <s v="Wolbeck II"/>
    <n v="2017"/>
    <s v="Senvion"/>
    <s v="MM100"/>
    <x v="2"/>
    <n v="1"/>
    <x v="16"/>
    <n v="42000"/>
    <x v="0"/>
  </r>
  <r>
    <s v="Wolbeck II"/>
    <n v="2017"/>
    <s v="Senvion"/>
    <s v="MM100"/>
    <x v="2"/>
    <n v="1"/>
    <x v="17"/>
    <n v="46500"/>
    <x v="0"/>
  </r>
  <r>
    <s v="Wolbeck II"/>
    <n v="2017"/>
    <s v="Senvion"/>
    <s v="MM100"/>
    <x v="2"/>
    <n v="1"/>
    <x v="0"/>
    <n v="46500"/>
    <x v="0"/>
  </r>
  <r>
    <s v="Wolbeck II"/>
    <n v="2017"/>
    <s v="Senvion"/>
    <s v="MM100"/>
    <x v="2"/>
    <n v="1"/>
    <x v="1"/>
    <n v="49000"/>
    <x v="0"/>
  </r>
  <r>
    <s v="Wolbeck II"/>
    <n v="2017"/>
    <s v="Senvion"/>
    <s v="MM100"/>
    <x v="2"/>
    <n v="1"/>
    <x v="2"/>
    <n v="49000"/>
    <x v="0"/>
  </r>
  <r>
    <s v="Wolbeck II"/>
    <n v="2017"/>
    <s v="Senvion"/>
    <s v="MM100"/>
    <x v="2"/>
    <n v="1"/>
    <x v="3"/>
    <n v="49000"/>
    <x v="0"/>
  </r>
  <r>
    <s v="Wolbeck II"/>
    <n v="2017"/>
    <s v="Senvion"/>
    <s v="MM100"/>
    <x v="2"/>
    <n v="1"/>
    <x v="4"/>
    <n v="49000"/>
    <x v="0"/>
  </r>
  <r>
    <s v="Wolbeck II"/>
    <n v="2017"/>
    <s v="Senvion"/>
    <s v="MM100"/>
    <x v="2"/>
    <n v="1"/>
    <x v="5"/>
    <n v="49000"/>
    <x v="0"/>
  </r>
  <r>
    <s v="Wolbeck II"/>
    <n v="2017"/>
    <s v="Senvion"/>
    <s v="MM100"/>
    <x v="2"/>
    <n v="1"/>
    <x v="6"/>
    <n v="54500"/>
    <x v="0"/>
  </r>
  <r>
    <s v="Wolbeck II"/>
    <n v="2017"/>
    <s v="Senvion"/>
    <s v="MM100"/>
    <x v="2"/>
    <n v="1"/>
    <x v="7"/>
    <n v="54500"/>
    <x v="0"/>
  </r>
  <r>
    <s v="Wolbeck II"/>
    <n v="2017"/>
    <s v="Senvion"/>
    <s v="MM100"/>
    <x v="2"/>
    <n v="1"/>
    <x v="8"/>
    <n v="54500"/>
    <x v="0"/>
  </r>
  <r>
    <s v="Wolbeck II"/>
    <n v="2017"/>
    <s v="Senvion"/>
    <s v="MM100"/>
    <x v="2"/>
    <n v="1"/>
    <x v="9"/>
    <n v="54500"/>
    <x v="0"/>
  </r>
  <r>
    <s v="Wolbeck II"/>
    <n v="2017"/>
    <s v="Senvion"/>
    <s v="MM100"/>
    <x v="2"/>
    <n v="1"/>
    <x v="10"/>
    <n v="54500"/>
    <x v="0"/>
  </r>
  <r>
    <s v="Westerburg"/>
    <n v="2017"/>
    <s v="Nordex"/>
    <s v="N117"/>
    <x v="5"/>
    <n v="3"/>
    <x v="12"/>
    <n v="43000"/>
    <x v="0"/>
  </r>
  <r>
    <s v="Westerburg"/>
    <n v="2017"/>
    <s v="Nordex"/>
    <s v="N117"/>
    <x v="5"/>
    <n v="3"/>
    <x v="13"/>
    <n v="43000"/>
    <x v="0"/>
  </r>
  <r>
    <s v="Westerburg"/>
    <n v="2017"/>
    <s v="Nordex"/>
    <s v="N117"/>
    <x v="5"/>
    <n v="3"/>
    <x v="14"/>
    <n v="49000"/>
    <x v="0"/>
  </r>
  <r>
    <s v="Westerburg"/>
    <n v="2017"/>
    <s v="Nordex"/>
    <s v="N117"/>
    <x v="5"/>
    <n v="3"/>
    <x v="15"/>
    <n v="49000"/>
    <x v="0"/>
  </r>
  <r>
    <s v="Westerburg"/>
    <n v="2017"/>
    <s v="Nordex"/>
    <s v="N117"/>
    <x v="5"/>
    <n v="3"/>
    <x v="16"/>
    <n v="49000"/>
    <x v="0"/>
  </r>
  <r>
    <s v="Westerburg"/>
    <n v="2017"/>
    <s v="Nordex"/>
    <s v="N117"/>
    <x v="5"/>
    <n v="3"/>
    <x v="17"/>
    <n v="49000"/>
    <x v="0"/>
  </r>
  <r>
    <s v="Westerburg"/>
    <n v="2017"/>
    <s v="Nordex"/>
    <s v="N117"/>
    <x v="5"/>
    <n v="3"/>
    <x v="0"/>
    <n v="49000"/>
    <x v="0"/>
  </r>
  <r>
    <s v="Westerburg"/>
    <n v="2017"/>
    <s v="Nordex"/>
    <s v="N117"/>
    <x v="5"/>
    <n v="3"/>
    <x v="1"/>
    <n v="54000"/>
    <x v="0"/>
  </r>
  <r>
    <s v="Westerburg"/>
    <n v="2017"/>
    <s v="Nordex"/>
    <s v="N117"/>
    <x v="5"/>
    <n v="3"/>
    <x v="2"/>
    <n v="54000"/>
    <x v="0"/>
  </r>
  <r>
    <s v="Westerburg"/>
    <n v="2017"/>
    <s v="Nordex"/>
    <s v="N117"/>
    <x v="5"/>
    <n v="3"/>
    <x v="3"/>
    <n v="54000"/>
    <x v="0"/>
  </r>
  <r>
    <s v="Westerburg"/>
    <n v="2017"/>
    <s v="Nordex"/>
    <s v="N117"/>
    <x v="5"/>
    <n v="3"/>
    <x v="4"/>
    <n v="54000"/>
    <x v="0"/>
  </r>
  <r>
    <s v="Westerburg"/>
    <n v="2017"/>
    <s v="Nordex"/>
    <s v="N117"/>
    <x v="5"/>
    <n v="3"/>
    <x v="5"/>
    <n v="54000"/>
    <x v="0"/>
  </r>
  <r>
    <s v="Westerburg"/>
    <n v="2017"/>
    <s v="Nordex"/>
    <s v="N117"/>
    <x v="5"/>
    <n v="3"/>
    <x v="6"/>
    <n v="60000"/>
    <x v="0"/>
  </r>
  <r>
    <s v="Westerburg"/>
    <n v="2017"/>
    <s v="Nordex"/>
    <s v="N117"/>
    <x v="5"/>
    <n v="3"/>
    <x v="7"/>
    <n v="60000"/>
    <x v="0"/>
  </r>
  <r>
    <s v="Westerburg"/>
    <n v="2017"/>
    <s v="Nordex"/>
    <s v="N117"/>
    <x v="5"/>
    <n v="3"/>
    <x v="8"/>
    <n v="60000"/>
    <x v="0"/>
  </r>
  <r>
    <s v="Westerburg"/>
    <n v="2017"/>
    <s v="Nordex"/>
    <s v="N117"/>
    <x v="5"/>
    <n v="3"/>
    <x v="9"/>
    <n v="60000"/>
    <x v="0"/>
  </r>
  <r>
    <s v="Westerburg"/>
    <n v="2017"/>
    <s v="Nordex"/>
    <s v="N117"/>
    <x v="5"/>
    <n v="3"/>
    <x v="10"/>
    <n v="60000"/>
    <x v="0"/>
  </r>
  <r>
    <s v="Brunsbüttel"/>
    <n v="2017"/>
    <s v="Senvion"/>
    <s v="3.2M"/>
    <x v="6"/>
    <n v="1"/>
    <x v="18"/>
    <n v="33500"/>
    <x v="0"/>
  </r>
  <r>
    <s v="Brunsbüttel"/>
    <n v="2017"/>
    <s v="Senvion"/>
    <s v="3.2M"/>
    <x v="6"/>
    <n v="1"/>
    <x v="19"/>
    <n v="33500"/>
    <x v="0"/>
  </r>
  <r>
    <s v="Brunsbüttel"/>
    <n v="2017"/>
    <s v="Senvion"/>
    <s v="3.2M"/>
    <x v="6"/>
    <n v="1"/>
    <x v="11"/>
    <n v="54500"/>
    <x v="0"/>
  </r>
  <r>
    <s v="Brunsbüttel"/>
    <n v="2017"/>
    <s v="Senvion"/>
    <s v="3.2M"/>
    <x v="6"/>
    <n v="1"/>
    <x v="12"/>
    <n v="54500"/>
    <x v="0"/>
  </r>
  <r>
    <s v="Brunsbüttel"/>
    <n v="2017"/>
    <s v="Senvion"/>
    <s v="3.2M"/>
    <x v="6"/>
    <n v="1"/>
    <x v="13"/>
    <n v="54500"/>
    <x v="0"/>
  </r>
  <r>
    <s v="Brunsbüttel"/>
    <n v="2017"/>
    <s v="Senvion"/>
    <s v="3.2M"/>
    <x v="6"/>
    <n v="1"/>
    <x v="14"/>
    <n v="63500"/>
    <x v="0"/>
  </r>
  <r>
    <s v="Brunsbüttel"/>
    <n v="2017"/>
    <s v="Senvion"/>
    <s v="3.2M"/>
    <x v="6"/>
    <n v="1"/>
    <x v="15"/>
    <n v="63500"/>
    <x v="0"/>
  </r>
  <r>
    <s v="Brunsbüttel"/>
    <n v="2017"/>
    <s v="Senvion"/>
    <s v="3.2M"/>
    <x v="6"/>
    <n v="1"/>
    <x v="16"/>
    <n v="63500"/>
    <x v="0"/>
  </r>
  <r>
    <s v="Brunsbüttel"/>
    <n v="2017"/>
    <s v="Senvion"/>
    <s v="3.2M"/>
    <x v="6"/>
    <n v="1"/>
    <x v="17"/>
    <n v="63500"/>
    <x v="0"/>
  </r>
  <r>
    <s v="Brunsbüttel"/>
    <n v="2017"/>
    <s v="Senvion"/>
    <s v="3.2M"/>
    <x v="6"/>
    <n v="1"/>
    <x v="0"/>
    <n v="63500"/>
    <x v="0"/>
  </r>
  <r>
    <s v="Brunsbüttel"/>
    <n v="2017"/>
    <s v="Senvion"/>
    <s v="3.2M"/>
    <x v="6"/>
    <n v="1"/>
    <x v="1"/>
    <n v="78500"/>
    <x v="0"/>
  </r>
  <r>
    <s v="Brunsbüttel"/>
    <n v="2017"/>
    <s v="Senvion"/>
    <s v="3.2M"/>
    <x v="6"/>
    <n v="1"/>
    <x v="2"/>
    <n v="78500"/>
    <x v="0"/>
  </r>
  <r>
    <s v="Brunsbüttel"/>
    <n v="2017"/>
    <s v="Senvion"/>
    <s v="3.2M"/>
    <x v="6"/>
    <n v="1"/>
    <x v="3"/>
    <n v="78500"/>
    <x v="0"/>
  </r>
  <r>
    <s v="Brunsbüttel"/>
    <n v="2017"/>
    <s v="Senvion"/>
    <s v="3.2M"/>
    <x v="6"/>
    <n v="1"/>
    <x v="4"/>
    <n v="78500"/>
    <x v="0"/>
  </r>
  <r>
    <s v="Brunsbüttel"/>
    <n v="2017"/>
    <s v="Senvion"/>
    <s v="3.2M"/>
    <x v="6"/>
    <n v="1"/>
    <x v="5"/>
    <n v="78500"/>
    <x v="0"/>
  </r>
  <r>
    <s v="Brunsbüttel"/>
    <n v="2017"/>
    <s v="Senvion"/>
    <s v="3.2M"/>
    <x v="6"/>
    <n v="1"/>
    <x v="6"/>
    <n v="78500"/>
    <x v="0"/>
  </r>
  <r>
    <s v="Brunsbüttel"/>
    <n v="2017"/>
    <s v="Senvion"/>
    <s v="3.2M"/>
    <x v="6"/>
    <n v="1"/>
    <x v="7"/>
    <n v="88500"/>
    <x v="0"/>
  </r>
  <r>
    <s v="Brunsbüttel"/>
    <n v="2017"/>
    <s v="Senvion"/>
    <s v="3.2M"/>
    <x v="6"/>
    <n v="1"/>
    <x v="8"/>
    <n v="88500"/>
    <x v="0"/>
  </r>
  <r>
    <s v="Brunsbüttel"/>
    <n v="2017"/>
    <s v="Senvion"/>
    <s v="3.2M"/>
    <x v="6"/>
    <n v="1"/>
    <x v="9"/>
    <n v="88500"/>
    <x v="0"/>
  </r>
  <r>
    <s v="Brunsbüttel"/>
    <n v="2017"/>
    <s v="Senvion"/>
    <s v="3.2M"/>
    <x v="6"/>
    <n v="1"/>
    <x v="10"/>
    <n v="88500"/>
    <x v="0"/>
  </r>
  <r>
    <s v="Dessow"/>
    <n v="2017"/>
    <s v="Senvion"/>
    <s v="MD77"/>
    <x v="0"/>
    <n v="2"/>
    <x v="3"/>
    <n v="37000"/>
    <x v="0"/>
  </r>
  <r>
    <s v="Dessow"/>
    <n v="2017"/>
    <s v="Senvion"/>
    <s v="MD77"/>
    <x v="0"/>
    <n v="2"/>
    <x v="4"/>
    <n v="37000"/>
    <x v="0"/>
  </r>
  <r>
    <s v="Dessow"/>
    <n v="2017"/>
    <s v="Senvion"/>
    <s v="MD77"/>
    <x v="0"/>
    <n v="2"/>
    <x v="5"/>
    <n v="37000"/>
    <x v="0"/>
  </r>
  <r>
    <s v="Dessow"/>
    <n v="2017"/>
    <s v="Senvion"/>
    <s v="MD77"/>
    <x v="0"/>
    <n v="2"/>
    <x v="6"/>
    <n v="40000"/>
    <x v="0"/>
  </r>
  <r>
    <s v="Dessow"/>
    <n v="2017"/>
    <s v="Senvion"/>
    <s v="MD77"/>
    <x v="0"/>
    <n v="2"/>
    <x v="7"/>
    <n v="40000"/>
    <x v="0"/>
  </r>
  <r>
    <s v="Dessow"/>
    <n v="2017"/>
    <s v="Senvion"/>
    <s v="MD77"/>
    <x v="0"/>
    <n v="2"/>
    <x v="8"/>
    <n v="40000"/>
    <x v="0"/>
  </r>
  <r>
    <s v="Dessow"/>
    <n v="2017"/>
    <s v="Senvion"/>
    <s v="MD77"/>
    <x v="0"/>
    <n v="2"/>
    <x v="9"/>
    <n v="42000"/>
    <x v="0"/>
  </r>
  <r>
    <s v="Dessow"/>
    <n v="2017"/>
    <s v="Senvion"/>
    <s v="MD77"/>
    <x v="0"/>
    <n v="2"/>
    <x v="10"/>
    <n v="42000"/>
    <x v="0"/>
  </r>
  <r>
    <s v="Fresnes-en-Saulnois"/>
    <n v="2017"/>
    <s v="Nordex"/>
    <s v="N90"/>
    <x v="7"/>
    <n v="5"/>
    <x v="0"/>
    <n v="50000"/>
    <x v="1"/>
  </r>
  <r>
    <s v="Fresnes-en-Saulnois"/>
    <n v="2017"/>
    <s v="Nordex"/>
    <s v="N90"/>
    <x v="7"/>
    <n v="5"/>
    <x v="1"/>
    <n v="50000"/>
    <x v="1"/>
  </r>
  <r>
    <s v="Fresnes-en-Saulnois"/>
    <n v="2017"/>
    <s v="Nordex"/>
    <s v="N90"/>
    <x v="7"/>
    <n v="5"/>
    <x v="2"/>
    <n v="50000"/>
    <x v="1"/>
  </r>
  <r>
    <s v="Fresnes-en-Saulnois"/>
    <n v="2017"/>
    <s v="Nordex"/>
    <s v="N90"/>
    <x v="7"/>
    <n v="5"/>
    <x v="3"/>
    <n v="56500"/>
    <x v="1"/>
  </r>
  <r>
    <s v="Fresnes-en-Saulnois"/>
    <n v="2017"/>
    <s v="Nordex"/>
    <s v="N90"/>
    <x v="7"/>
    <n v="5"/>
    <x v="4"/>
    <n v="56500"/>
    <x v="1"/>
  </r>
  <r>
    <s v="Fresnes-en-Saulnois"/>
    <n v="2017"/>
    <s v="Nordex"/>
    <s v="N90"/>
    <x v="7"/>
    <n v="5"/>
    <x v="5"/>
    <n v="56500"/>
    <x v="1"/>
  </r>
  <r>
    <s v="Fresnes-en-Saulnois"/>
    <n v="2017"/>
    <s v="Nordex"/>
    <s v="N90"/>
    <x v="7"/>
    <n v="5"/>
    <x v="6"/>
    <n v="59000"/>
    <x v="1"/>
  </r>
  <r>
    <s v="Fresnes-en-Saulnois"/>
    <n v="2017"/>
    <s v="Nordex"/>
    <s v="N90"/>
    <x v="7"/>
    <n v="5"/>
    <x v="7"/>
    <n v="59000"/>
    <x v="1"/>
  </r>
  <r>
    <s v="Fresnes-en-Saulnois"/>
    <n v="2017"/>
    <s v="Nordex"/>
    <s v="N90"/>
    <x v="7"/>
    <n v="5"/>
    <x v="8"/>
    <n v="59000"/>
    <x v="1"/>
  </r>
  <r>
    <s v="Fresnes-en-Saulnois"/>
    <n v="2017"/>
    <s v="Nordex"/>
    <s v="N90"/>
    <x v="7"/>
    <n v="5"/>
    <x v="9"/>
    <n v="59000"/>
    <x v="1"/>
  </r>
  <r>
    <s v="Fresnes-en-Saulnois"/>
    <n v="2017"/>
    <s v="Nordex"/>
    <s v="N90"/>
    <x v="7"/>
    <n v="5"/>
    <x v="10"/>
    <n v="59000"/>
    <x v="1"/>
  </r>
  <r>
    <s v="Ellerbeck"/>
    <n v="2017"/>
    <s v="Nordex"/>
    <s v="N100"/>
    <x v="7"/>
    <n v="1"/>
    <x v="12"/>
    <n v="36250"/>
    <x v="1"/>
  </r>
  <r>
    <s v="Ellerbeck"/>
    <n v="2017"/>
    <s v="Nordex"/>
    <s v="N100"/>
    <x v="7"/>
    <n v="1"/>
    <x v="13"/>
    <n v="36250"/>
    <x v="1"/>
  </r>
  <r>
    <s v="Ellerbeck"/>
    <n v="2017"/>
    <s v="Nordex"/>
    <s v="N100"/>
    <x v="7"/>
    <n v="1"/>
    <x v="14"/>
    <n v="43250"/>
    <x v="1"/>
  </r>
  <r>
    <s v="Ellerbeck"/>
    <n v="2017"/>
    <s v="Nordex"/>
    <s v="N100"/>
    <x v="7"/>
    <n v="1"/>
    <x v="15"/>
    <n v="43250"/>
    <x v="1"/>
  </r>
  <r>
    <s v="Ellerbeck"/>
    <n v="2017"/>
    <s v="Nordex"/>
    <s v="N100"/>
    <x v="7"/>
    <n v="1"/>
    <x v="16"/>
    <n v="43250"/>
    <x v="1"/>
  </r>
  <r>
    <s v="Ellerbeck"/>
    <n v="2017"/>
    <s v="Nordex"/>
    <s v="N100"/>
    <x v="7"/>
    <n v="1"/>
    <x v="17"/>
    <n v="43250"/>
    <x v="1"/>
  </r>
  <r>
    <s v="Ellerbeck"/>
    <n v="2017"/>
    <s v="Nordex"/>
    <s v="N100"/>
    <x v="7"/>
    <n v="1"/>
    <x v="0"/>
    <n v="43250"/>
    <x v="1"/>
  </r>
  <r>
    <s v="Ellerbeck"/>
    <n v="2017"/>
    <s v="Nordex"/>
    <s v="N100"/>
    <x v="7"/>
    <n v="1"/>
    <x v="1"/>
    <n v="50250"/>
    <x v="1"/>
  </r>
  <r>
    <s v="Ellerbeck"/>
    <n v="2017"/>
    <s v="Nordex"/>
    <s v="N100"/>
    <x v="7"/>
    <n v="1"/>
    <x v="2"/>
    <n v="50250"/>
    <x v="1"/>
  </r>
  <r>
    <s v="Ellerbeck"/>
    <n v="2017"/>
    <s v="Nordex"/>
    <s v="N100"/>
    <x v="7"/>
    <n v="1"/>
    <x v="3"/>
    <n v="50250"/>
    <x v="1"/>
  </r>
  <r>
    <s v="Ellerbeck"/>
    <n v="2017"/>
    <s v="Nordex"/>
    <s v="N100"/>
    <x v="7"/>
    <n v="1"/>
    <x v="4"/>
    <n v="50250"/>
    <x v="1"/>
  </r>
  <r>
    <s v="Ellerbeck"/>
    <n v="2017"/>
    <s v="Nordex"/>
    <s v="N100"/>
    <x v="7"/>
    <n v="1"/>
    <x v="5"/>
    <n v="50250"/>
    <x v="1"/>
  </r>
  <r>
    <s v="Ellerbeck"/>
    <n v="2017"/>
    <s v="Nordex"/>
    <s v="N100"/>
    <x v="7"/>
    <n v="1"/>
    <x v="6"/>
    <n v="50250"/>
    <x v="1"/>
  </r>
  <r>
    <s v="Ellerbeck"/>
    <n v="2017"/>
    <s v="Nordex"/>
    <s v="N100"/>
    <x v="7"/>
    <n v="1"/>
    <x v="7"/>
    <n v="57250"/>
    <x v="1"/>
  </r>
  <r>
    <s v="Ellerbeck"/>
    <n v="2017"/>
    <s v="Nordex"/>
    <s v="N100"/>
    <x v="7"/>
    <n v="1"/>
    <x v="8"/>
    <n v="57250"/>
    <x v="1"/>
  </r>
  <r>
    <s v="Ellerbeck"/>
    <n v="2017"/>
    <s v="Nordex"/>
    <s v="N100"/>
    <x v="7"/>
    <n v="1"/>
    <x v="9"/>
    <n v="57250"/>
    <x v="1"/>
  </r>
  <r>
    <s v="Ellerbeck"/>
    <n v="2017"/>
    <s v="Nordex"/>
    <s v="N100"/>
    <x v="7"/>
    <n v="1"/>
    <x v="10"/>
    <n v="57250"/>
    <x v="1"/>
  </r>
  <r>
    <s v="Wallmersbach"/>
    <n v="2017"/>
    <s v="Nordex"/>
    <s v="S77"/>
    <x v="0"/>
    <n v="1"/>
    <x v="6"/>
    <n v="55750"/>
    <x v="1"/>
  </r>
  <r>
    <s v="Wallmersbach"/>
    <n v="2017"/>
    <s v="Nordex"/>
    <s v="S77"/>
    <x v="0"/>
    <n v="1"/>
    <x v="7"/>
    <n v="55750"/>
    <x v="1"/>
  </r>
  <r>
    <s v="Wallmersbach"/>
    <n v="2017"/>
    <s v="Nordex"/>
    <s v="S77"/>
    <x v="0"/>
    <n v="1"/>
    <x v="8"/>
    <n v="57250"/>
    <x v="1"/>
  </r>
  <r>
    <s v="Wallmersbach"/>
    <n v="2017"/>
    <s v="Nordex"/>
    <s v="S77"/>
    <x v="0"/>
    <n v="1"/>
    <x v="9"/>
    <n v="57250"/>
    <x v="1"/>
  </r>
  <r>
    <s v="Wallmersbach"/>
    <n v="2017"/>
    <s v="Nordex"/>
    <s v="S77"/>
    <x v="0"/>
    <n v="1"/>
    <x v="10"/>
    <n v="57250"/>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4">
  <r>
    <n v="2016"/>
    <s v="Nordex"/>
    <s v="S77"/>
    <x v="0"/>
    <x v="0"/>
    <n v="10"/>
    <n v="39500"/>
    <x v="0"/>
  </r>
  <r>
    <n v="2016"/>
    <s v="Nordex"/>
    <s v="S77"/>
    <x v="0"/>
    <x v="0"/>
    <n v="11"/>
    <n v="39500"/>
    <x v="0"/>
  </r>
  <r>
    <n v="2016"/>
    <s v="Nordex"/>
    <s v="S77"/>
    <x v="0"/>
    <x v="0"/>
    <n v="12"/>
    <n v="39500"/>
    <x v="0"/>
  </r>
  <r>
    <n v="2016"/>
    <s v="Nordex"/>
    <s v="S77"/>
    <x v="0"/>
    <x v="0"/>
    <n v="13"/>
    <n v="43500"/>
    <x v="0"/>
  </r>
  <r>
    <n v="2016"/>
    <s v="Nordex"/>
    <s v="S77"/>
    <x v="0"/>
    <x v="0"/>
    <n v="14"/>
    <n v="43500"/>
    <x v="0"/>
  </r>
  <r>
    <n v="2016"/>
    <s v="Nordex"/>
    <s v="S77"/>
    <x v="0"/>
    <x v="0"/>
    <n v="15"/>
    <n v="43500"/>
    <x v="0"/>
  </r>
  <r>
    <n v="2016"/>
    <s v="Nordex"/>
    <s v="S77"/>
    <x v="0"/>
    <x v="0"/>
    <n v="16"/>
    <n v="47500"/>
    <x v="0"/>
  </r>
  <r>
    <n v="2016"/>
    <s v="Nordex"/>
    <s v="S77"/>
    <x v="0"/>
    <x v="0"/>
    <n v="17"/>
    <n v="47500"/>
    <x v="0"/>
  </r>
  <r>
    <n v="2016"/>
    <s v="Nordex"/>
    <s v="S77"/>
    <x v="0"/>
    <x v="0"/>
    <n v="18"/>
    <n v="47500"/>
    <x v="0"/>
  </r>
  <r>
    <n v="2016"/>
    <s v="Nordex"/>
    <s v="S77"/>
    <x v="0"/>
    <x v="0"/>
    <n v="19"/>
    <n v="47500"/>
    <x v="0"/>
  </r>
  <r>
    <n v="2016"/>
    <s v="Nordex"/>
    <s v="S77"/>
    <x v="0"/>
    <x v="0"/>
    <n v="20"/>
    <n v="47500"/>
    <x v="0"/>
  </r>
  <r>
    <n v="2016"/>
    <s v="Nordex"/>
    <s v="N60"/>
    <x v="1"/>
    <x v="0"/>
    <n v="20"/>
    <n v="39800"/>
    <x v="1"/>
  </r>
  <r>
    <n v="2016"/>
    <s v="Nordex"/>
    <s v="N60"/>
    <x v="1"/>
    <x v="0"/>
    <n v="16"/>
    <n v="39800"/>
    <x v="1"/>
  </r>
  <r>
    <n v="2016"/>
    <s v="Nordex"/>
    <s v="N60"/>
    <x v="1"/>
    <x v="0"/>
    <n v="17"/>
    <n v="39800"/>
    <x v="1"/>
  </r>
  <r>
    <n v="2016"/>
    <s v="Nordex"/>
    <s v="N60"/>
    <x v="1"/>
    <x v="0"/>
    <n v="18"/>
    <n v="39800"/>
    <x v="1"/>
  </r>
  <r>
    <n v="2016"/>
    <s v="Nordex"/>
    <s v="N60"/>
    <x v="1"/>
    <x v="0"/>
    <n v="19"/>
    <n v="39800"/>
    <x v="1"/>
  </r>
  <r>
    <n v="2016"/>
    <s v="Senvion"/>
    <s v="MM92"/>
    <x v="2"/>
    <x v="1"/>
    <n v="3"/>
    <n v="36000"/>
    <x v="0"/>
  </r>
  <r>
    <n v="2016"/>
    <s v="Senvion"/>
    <s v="MM92"/>
    <x v="2"/>
    <x v="1"/>
    <n v="4"/>
    <n v="36000"/>
    <x v="0"/>
  </r>
  <r>
    <n v="2016"/>
    <s v="Senvion"/>
    <s v="MM92"/>
    <x v="2"/>
    <x v="1"/>
    <n v="5"/>
    <n v="41000"/>
    <x v="0"/>
  </r>
  <r>
    <n v="2016"/>
    <s v="Senvion"/>
    <s v="MM92"/>
    <x v="2"/>
    <x v="1"/>
    <n v="6"/>
    <n v="41000"/>
    <x v="0"/>
  </r>
  <r>
    <n v="2016"/>
    <s v="Senvion"/>
    <s v="MM92"/>
    <x v="2"/>
    <x v="1"/>
    <n v="7"/>
    <n v="41000"/>
    <x v="0"/>
  </r>
  <r>
    <n v="2016"/>
    <s v="Senvion"/>
    <s v="MM92"/>
    <x v="2"/>
    <x v="1"/>
    <n v="8"/>
    <n v="41000"/>
    <x v="0"/>
  </r>
  <r>
    <n v="2016"/>
    <s v="Senvion"/>
    <s v="MM92"/>
    <x v="2"/>
    <x v="1"/>
    <n v="9"/>
    <n v="45000"/>
    <x v="0"/>
  </r>
  <r>
    <n v="2016"/>
    <s v="Senvion"/>
    <s v="MM92"/>
    <x v="2"/>
    <x v="1"/>
    <n v="10"/>
    <n v="45000"/>
    <x v="0"/>
  </r>
  <r>
    <n v="2016"/>
    <s v="Senvion"/>
    <s v="MM92"/>
    <x v="2"/>
    <x v="1"/>
    <n v="11"/>
    <n v="48000"/>
    <x v="0"/>
  </r>
  <r>
    <n v="2016"/>
    <s v="Senvion"/>
    <s v="MM92"/>
    <x v="2"/>
    <x v="1"/>
    <n v="12"/>
    <n v="48000"/>
    <x v="0"/>
  </r>
  <r>
    <n v="2016"/>
    <s v="Senvion"/>
    <s v="MM92"/>
    <x v="2"/>
    <x v="1"/>
    <n v="13"/>
    <n v="48000"/>
    <x v="0"/>
  </r>
  <r>
    <n v="2016"/>
    <s v="Senvion"/>
    <s v="MM92"/>
    <x v="2"/>
    <x v="1"/>
    <n v="14"/>
    <n v="48000"/>
    <x v="0"/>
  </r>
  <r>
    <n v="2016"/>
    <s v="Senvion"/>
    <s v="MM92"/>
    <x v="2"/>
    <x v="1"/>
    <n v="15"/>
    <n v="48000"/>
    <x v="0"/>
  </r>
  <r>
    <n v="2016"/>
    <s v="Senvion"/>
    <s v="MM92"/>
    <x v="2"/>
    <x v="1"/>
    <n v="16"/>
    <n v="53000"/>
    <x v="0"/>
  </r>
  <r>
    <n v="2016"/>
    <s v="Senvion"/>
    <s v="MM92"/>
    <x v="2"/>
    <x v="1"/>
    <n v="17"/>
    <n v="53000"/>
    <x v="0"/>
  </r>
  <r>
    <n v="2016"/>
    <s v="Senvion"/>
    <s v="MM92"/>
    <x v="2"/>
    <x v="1"/>
    <n v="18"/>
    <n v="53000"/>
    <x v="0"/>
  </r>
  <r>
    <n v="2016"/>
    <s v="Senvion"/>
    <s v="MM92"/>
    <x v="2"/>
    <x v="1"/>
    <n v="19"/>
    <n v="53000"/>
    <x v="0"/>
  </r>
  <r>
    <n v="2016"/>
    <s v="Senvion"/>
    <s v="MM92"/>
    <x v="2"/>
    <x v="1"/>
    <n v="20"/>
    <n v="53000"/>
    <x v="0"/>
  </r>
  <r>
    <n v="2015"/>
    <s v="Senvion"/>
    <s v="MD77"/>
    <x v="0"/>
    <x v="2"/>
    <n v="18"/>
    <n v="46000"/>
    <x v="0"/>
  </r>
  <r>
    <n v="2015"/>
    <s v="Senvion"/>
    <s v="MD77"/>
    <x v="0"/>
    <x v="2"/>
    <n v="13"/>
    <n v="43000"/>
    <x v="0"/>
  </r>
  <r>
    <n v="2015"/>
    <s v="Senvion"/>
    <s v="MD77"/>
    <x v="0"/>
    <x v="2"/>
    <n v="14"/>
    <n v="43000"/>
    <x v="0"/>
  </r>
  <r>
    <n v="2015"/>
    <s v="Senvion"/>
    <s v="MD77"/>
    <x v="0"/>
    <x v="2"/>
    <n v="15"/>
    <n v="43000"/>
    <x v="0"/>
  </r>
  <r>
    <n v="2015"/>
    <s v="Senvion"/>
    <s v="MD77"/>
    <x v="0"/>
    <x v="2"/>
    <n v="16"/>
    <n v="43000"/>
    <x v="0"/>
  </r>
  <r>
    <n v="2015"/>
    <s v="Senvion"/>
    <s v="MD77"/>
    <x v="0"/>
    <x v="2"/>
    <n v="17"/>
    <n v="46000"/>
    <x v="0"/>
  </r>
  <r>
    <n v="2015"/>
    <s v="Senvion"/>
    <s v="MD77"/>
    <x v="0"/>
    <x v="2"/>
    <n v="19"/>
    <n v="46000"/>
    <x v="0"/>
  </r>
  <r>
    <n v="2015"/>
    <s v="Senvion"/>
    <s v="MD77"/>
    <x v="0"/>
    <x v="2"/>
    <n v="20"/>
    <n v="46000"/>
    <x v="0"/>
  </r>
  <r>
    <n v="2014"/>
    <s v="Senvion"/>
    <s v="MD77"/>
    <x v="0"/>
    <x v="0"/>
    <n v="15"/>
    <n v="44000"/>
    <x v="1"/>
  </r>
  <r>
    <n v="2014"/>
    <s v="Senvion"/>
    <s v="MD77"/>
    <x v="0"/>
    <x v="0"/>
    <n v="11"/>
    <n v="41000"/>
    <x v="1"/>
  </r>
  <r>
    <n v="2014"/>
    <s v="Senvion"/>
    <s v="MD77"/>
    <x v="0"/>
    <x v="0"/>
    <n v="12"/>
    <n v="41000"/>
    <x v="1"/>
  </r>
  <r>
    <n v="2014"/>
    <s v="Senvion"/>
    <s v="MD77"/>
    <x v="0"/>
    <x v="0"/>
    <n v="13"/>
    <n v="41000"/>
    <x v="1"/>
  </r>
  <r>
    <n v="2014"/>
    <s v="Senvion"/>
    <s v="MD77"/>
    <x v="0"/>
    <x v="0"/>
    <n v="14"/>
    <n v="44000"/>
    <x v="1"/>
  </r>
  <r>
    <n v="2014"/>
    <s v="Senvion"/>
    <s v="MD77"/>
    <x v="0"/>
    <x v="0"/>
    <n v="16"/>
    <n v="44000"/>
    <x v="1"/>
  </r>
  <r>
    <n v="2014"/>
    <s v="Senvion"/>
    <s v="MD77"/>
    <x v="0"/>
    <x v="0"/>
    <n v="17"/>
    <n v="47000"/>
    <x v="1"/>
  </r>
  <r>
    <n v="2014"/>
    <s v="Senvion"/>
    <s v="MD77"/>
    <x v="0"/>
    <x v="0"/>
    <n v="18"/>
    <n v="47000"/>
    <x v="1"/>
  </r>
  <r>
    <n v="2014"/>
    <s v="Senvion"/>
    <s v="MD77"/>
    <x v="0"/>
    <x v="0"/>
    <n v="19"/>
    <n v="47000"/>
    <x v="1"/>
  </r>
  <r>
    <n v="2014"/>
    <s v="Senvion"/>
    <s v="MD77"/>
    <x v="0"/>
    <x v="0"/>
    <n v="20"/>
    <n v="47000"/>
    <x v="1"/>
  </r>
  <r>
    <n v="2016"/>
    <s v="Nordex"/>
    <s v="S70"/>
    <x v="0"/>
    <x v="1"/>
    <n v="16"/>
    <n v="42000"/>
    <x v="1"/>
  </r>
  <r>
    <n v="2016"/>
    <s v="Nordex"/>
    <s v="S70"/>
    <x v="0"/>
    <x v="1"/>
    <n v="17"/>
    <n v="42000"/>
    <x v="1"/>
  </r>
  <r>
    <n v="2016"/>
    <s v="Nordex"/>
    <s v="S70"/>
    <x v="0"/>
    <x v="1"/>
    <n v="18"/>
    <n v="42000"/>
    <x v="1"/>
  </r>
  <r>
    <n v="2016"/>
    <s v="Nordex"/>
    <s v="S70"/>
    <x v="0"/>
    <x v="1"/>
    <n v="19"/>
    <n v="42000"/>
    <x v="1"/>
  </r>
  <r>
    <n v="2016"/>
    <s v="Nordex"/>
    <s v="S70"/>
    <x v="0"/>
    <x v="1"/>
    <n v="20"/>
    <n v="42000"/>
    <x v="1"/>
  </r>
  <r>
    <n v="2016"/>
    <s v="Nordex"/>
    <s v="N90"/>
    <x v="3"/>
    <x v="3"/>
    <n v="11"/>
    <n v="55000"/>
    <x v="1"/>
  </r>
  <r>
    <n v="2016"/>
    <s v="Nordex"/>
    <s v="N90"/>
    <x v="3"/>
    <x v="3"/>
    <n v="12"/>
    <n v="55000"/>
    <x v="1"/>
  </r>
  <r>
    <n v="2016"/>
    <s v="Nordex"/>
    <s v="N90"/>
    <x v="3"/>
    <x v="3"/>
    <n v="13"/>
    <n v="59000"/>
    <x v="1"/>
  </r>
  <r>
    <n v="2016"/>
    <s v="Nordex"/>
    <s v="N90"/>
    <x v="3"/>
    <x v="3"/>
    <n v="14"/>
    <n v="59000"/>
    <x v="1"/>
  </r>
  <r>
    <n v="2016"/>
    <s v="Nordex"/>
    <s v="N90"/>
    <x v="3"/>
    <x v="3"/>
    <n v="15"/>
    <n v="59000"/>
    <x v="1"/>
  </r>
  <r>
    <n v="2016"/>
    <s v="Nordex"/>
    <s v="N90"/>
    <x v="3"/>
    <x v="3"/>
    <n v="16"/>
    <n v="59000"/>
    <x v="1"/>
  </r>
  <r>
    <n v="2016"/>
    <s v="Nordex"/>
    <s v="N90"/>
    <x v="3"/>
    <x v="3"/>
    <n v="17"/>
    <n v="64000"/>
    <x v="1"/>
  </r>
  <r>
    <n v="2016"/>
    <s v="Nordex"/>
    <s v="N90"/>
    <x v="3"/>
    <x v="3"/>
    <n v="18"/>
    <n v="64000"/>
    <x v="1"/>
  </r>
  <r>
    <n v="2016"/>
    <s v="Nordex"/>
    <s v="N90"/>
    <x v="3"/>
    <x v="3"/>
    <n v="19"/>
    <n v="64000"/>
    <x v="1"/>
  </r>
  <r>
    <n v="2016"/>
    <s v="Nordex"/>
    <s v="N90"/>
    <x v="3"/>
    <x v="3"/>
    <n v="20"/>
    <n v="64000"/>
    <x v="1"/>
  </r>
  <r>
    <n v="2016"/>
    <s v="Nordex"/>
    <s v="S70"/>
    <x v="0"/>
    <x v="0"/>
    <n v="11"/>
    <n v="40000"/>
    <x v="1"/>
  </r>
  <r>
    <n v="2016"/>
    <s v="Nordex"/>
    <s v="S70"/>
    <x v="0"/>
    <x v="0"/>
    <n v="12"/>
    <n v="40000"/>
    <x v="1"/>
  </r>
  <r>
    <n v="2016"/>
    <s v="Nordex"/>
    <s v="S70"/>
    <x v="0"/>
    <x v="0"/>
    <n v="13"/>
    <n v="43500"/>
    <x v="1"/>
  </r>
  <r>
    <n v="2016"/>
    <s v="Nordex"/>
    <s v="S70"/>
    <x v="0"/>
    <x v="0"/>
    <n v="14"/>
    <n v="43500"/>
    <x v="1"/>
  </r>
  <r>
    <n v="2016"/>
    <s v="Nordex"/>
    <s v="S70"/>
    <x v="0"/>
    <x v="0"/>
    <n v="15"/>
    <n v="43500"/>
    <x v="1"/>
  </r>
  <r>
    <n v="2016"/>
    <s v="Nordex"/>
    <s v="S70"/>
    <x v="0"/>
    <x v="0"/>
    <n v="16"/>
    <n v="43500"/>
    <x v="1"/>
  </r>
  <r>
    <n v="2016"/>
    <s v="Nordex"/>
    <s v="S70"/>
    <x v="0"/>
    <x v="0"/>
    <n v="17"/>
    <n v="47000"/>
    <x v="1"/>
  </r>
  <r>
    <n v="2016"/>
    <s v="Nordex"/>
    <s v="S70"/>
    <x v="0"/>
    <x v="0"/>
    <n v="18"/>
    <n v="47000"/>
    <x v="1"/>
  </r>
  <r>
    <n v="2016"/>
    <s v="Nordex"/>
    <s v="S70"/>
    <x v="0"/>
    <x v="0"/>
    <n v="19"/>
    <n v="47000"/>
    <x v="1"/>
  </r>
  <r>
    <n v="2016"/>
    <s v="Nordex"/>
    <s v="S70"/>
    <x v="0"/>
    <x v="0"/>
    <n v="20"/>
    <n v="47000"/>
    <x v="1"/>
  </r>
  <r>
    <n v="2015"/>
    <s v="Nordex"/>
    <s v="N90"/>
    <x v="3"/>
    <x v="4"/>
    <n v="15"/>
    <n v="54500"/>
    <x v="0"/>
  </r>
  <r>
    <n v="2015"/>
    <s v="Nordex"/>
    <s v="N90"/>
    <x v="3"/>
    <x v="4"/>
    <n v="8"/>
    <n v="44500"/>
    <x v="0"/>
  </r>
  <r>
    <n v="2015"/>
    <s v="Nordex"/>
    <s v="N90"/>
    <x v="3"/>
    <x v="4"/>
    <n v="9"/>
    <n v="44500"/>
    <x v="0"/>
  </r>
  <r>
    <n v="2015"/>
    <s v="Nordex"/>
    <s v="N90"/>
    <x v="3"/>
    <x v="4"/>
    <n v="10"/>
    <n v="49500"/>
    <x v="0"/>
  </r>
  <r>
    <n v="2015"/>
    <s v="Nordex"/>
    <s v="N90"/>
    <x v="3"/>
    <x v="4"/>
    <n v="11"/>
    <n v="49500"/>
    <x v="0"/>
  </r>
  <r>
    <n v="2015"/>
    <s v="Nordex"/>
    <s v="N90"/>
    <x v="3"/>
    <x v="4"/>
    <n v="12"/>
    <n v="49500"/>
    <x v="0"/>
  </r>
  <r>
    <n v="2015"/>
    <s v="Nordex"/>
    <s v="N90"/>
    <x v="3"/>
    <x v="4"/>
    <n v="13"/>
    <n v="49500"/>
    <x v="0"/>
  </r>
  <r>
    <n v="2015"/>
    <s v="Nordex"/>
    <s v="N90"/>
    <x v="3"/>
    <x v="4"/>
    <n v="14"/>
    <n v="54500"/>
    <x v="0"/>
  </r>
  <r>
    <n v="2015"/>
    <s v="Nordex"/>
    <s v="N90"/>
    <x v="3"/>
    <x v="4"/>
    <n v="16"/>
    <n v="54500"/>
    <x v="0"/>
  </r>
  <r>
    <n v="2015"/>
    <s v="Nordex"/>
    <s v="N90"/>
    <x v="3"/>
    <x v="4"/>
    <n v="17"/>
    <n v="54500"/>
    <x v="0"/>
  </r>
  <r>
    <n v="2015"/>
    <s v="Nordex"/>
    <s v="N90"/>
    <x v="3"/>
    <x v="4"/>
    <n v="18"/>
    <n v="54500"/>
    <x v="0"/>
  </r>
  <r>
    <n v="2015"/>
    <s v="Nordex"/>
    <s v="N90"/>
    <x v="3"/>
    <x v="4"/>
    <n v="19"/>
    <n v="59500"/>
    <x v="0"/>
  </r>
  <r>
    <n v="2015"/>
    <s v="Nordex"/>
    <s v="N90"/>
    <x v="3"/>
    <x v="4"/>
    <n v="20"/>
    <n v="59500"/>
    <x v="0"/>
  </r>
  <r>
    <n v="2016"/>
    <s v="Fuhrländer"/>
    <s v="FL2500"/>
    <x v="4"/>
    <x v="5"/>
    <n v="7"/>
    <n v="59100"/>
    <x v="1"/>
  </r>
  <r>
    <n v="2016"/>
    <s v="Fuhrländer"/>
    <s v="FL2500"/>
    <x v="4"/>
    <x v="5"/>
    <n v="8"/>
    <n v="59100"/>
    <x v="1"/>
  </r>
  <r>
    <n v="2016"/>
    <s v="Fuhrländer"/>
    <s v="FL2500"/>
    <x v="4"/>
    <x v="5"/>
    <n v="9"/>
    <n v="59100"/>
    <x v="1"/>
  </r>
  <r>
    <n v="2016"/>
    <s v="Fuhrländer"/>
    <s v="FL2500"/>
    <x v="4"/>
    <x v="5"/>
    <n v="10"/>
    <n v="59100"/>
    <x v="1"/>
  </r>
  <r>
    <n v="2016"/>
    <s v="Fuhrländer"/>
    <s v="FL2500"/>
    <x v="4"/>
    <x v="5"/>
    <n v="11"/>
    <n v="66400"/>
    <x v="1"/>
  </r>
  <r>
    <n v="2016"/>
    <s v="Fuhrländer"/>
    <s v="FL2500"/>
    <x v="4"/>
    <x v="5"/>
    <n v="12"/>
    <n v="66400"/>
    <x v="1"/>
  </r>
  <r>
    <n v="2016"/>
    <s v="Fuhrländer"/>
    <s v="FL2500"/>
    <x v="4"/>
    <x v="5"/>
    <n v="13"/>
    <n v="66400"/>
    <x v="1"/>
  </r>
  <r>
    <n v="2016"/>
    <s v="Fuhrländer"/>
    <s v="FL2500"/>
    <x v="4"/>
    <x v="5"/>
    <n v="14"/>
    <n v="66400"/>
    <x v="1"/>
  </r>
  <r>
    <n v="2016"/>
    <s v="Fuhrländer"/>
    <s v="FL2500"/>
    <x v="4"/>
    <x v="5"/>
    <n v="15"/>
    <n v="76900"/>
    <x v="1"/>
  </r>
  <r>
    <n v="2016"/>
    <s v="Fuhrländer"/>
    <s v="FL2500"/>
    <x v="4"/>
    <x v="5"/>
    <n v="16"/>
    <n v="76900"/>
    <x v="1"/>
  </r>
  <r>
    <n v="2016"/>
    <s v="Fuhrländer"/>
    <s v="FL2500"/>
    <x v="4"/>
    <x v="5"/>
    <n v="17"/>
    <n v="76900"/>
    <x v="1"/>
  </r>
  <r>
    <n v="2016"/>
    <s v="Fuhrländer"/>
    <s v="FL2500"/>
    <x v="4"/>
    <x v="5"/>
    <n v="18"/>
    <n v="76900"/>
    <x v="1"/>
  </r>
  <r>
    <n v="2016"/>
    <s v="Fuhrländer"/>
    <s v="FL2500"/>
    <x v="4"/>
    <x v="5"/>
    <n v="19"/>
    <n v="83200"/>
    <x v="1"/>
  </r>
  <r>
    <n v="2016"/>
    <s v="Fuhrländer"/>
    <s v="FL2500"/>
    <x v="4"/>
    <x v="5"/>
    <n v="20"/>
    <n v="83200"/>
    <x v="1"/>
  </r>
  <r>
    <n v="2015"/>
    <s v="Fuhrländer"/>
    <s v="FL77"/>
    <x v="0"/>
    <x v="3"/>
    <n v="15"/>
    <n v="46000"/>
    <x v="1"/>
  </r>
  <r>
    <n v="2015"/>
    <s v="Fuhrländer"/>
    <s v="FL77"/>
    <x v="0"/>
    <x v="3"/>
    <n v="16"/>
    <n v="46000"/>
    <x v="1"/>
  </r>
  <r>
    <n v="2015"/>
    <s v="Fuhrländer"/>
    <s v="FL77"/>
    <x v="0"/>
    <x v="3"/>
    <n v="17"/>
    <n v="46000"/>
    <x v="1"/>
  </r>
  <r>
    <n v="2015"/>
    <s v="Fuhrländer"/>
    <s v="FL77"/>
    <x v="0"/>
    <x v="3"/>
    <n v="18"/>
    <n v="46000"/>
    <x v="1"/>
  </r>
  <r>
    <n v="2015"/>
    <s v="Fuhrländer"/>
    <s v="FL77"/>
    <x v="0"/>
    <x v="3"/>
    <n v="19"/>
    <n v="46000"/>
    <x v="1"/>
  </r>
  <r>
    <n v="2015"/>
    <s v="Fuhrländer"/>
    <s v="FL77"/>
    <x v="0"/>
    <x v="3"/>
    <n v="20"/>
    <n v="46000"/>
    <x v="1"/>
  </r>
  <r>
    <n v="2016"/>
    <s v="Nordex"/>
    <s v="S70"/>
    <x v="0"/>
    <x v="5"/>
    <n v="15"/>
    <n v="46000"/>
    <x v="1"/>
  </r>
  <r>
    <n v="2016"/>
    <s v="Nordex"/>
    <s v="S70"/>
    <x v="0"/>
    <x v="5"/>
    <n v="16"/>
    <n v="46000"/>
    <x v="1"/>
  </r>
  <r>
    <n v="2016"/>
    <s v="Nordex"/>
    <s v="S70"/>
    <x v="0"/>
    <x v="5"/>
    <n v="17"/>
    <n v="46000"/>
    <x v="1"/>
  </r>
  <r>
    <n v="2016"/>
    <s v="Nordex"/>
    <s v="S70"/>
    <x v="0"/>
    <x v="5"/>
    <n v="18"/>
    <n v="46000"/>
    <x v="1"/>
  </r>
  <r>
    <n v="2016"/>
    <s v="Nordex"/>
    <s v="S70"/>
    <x v="0"/>
    <x v="5"/>
    <n v="19"/>
    <n v="46000"/>
    <x v="1"/>
  </r>
  <r>
    <n v="2016"/>
    <s v="Nordex"/>
    <s v="S70"/>
    <x v="0"/>
    <x v="5"/>
    <n v="20"/>
    <n v="46000"/>
    <x v="1"/>
  </r>
  <r>
    <n v="2015"/>
    <s v="Fuhrländer"/>
    <s v="FL77"/>
    <x v="0"/>
    <x v="3"/>
    <n v="9"/>
    <n v="40500"/>
    <x v="1"/>
  </r>
  <r>
    <n v="2015"/>
    <s v="Fuhrländer"/>
    <s v="FL77"/>
    <x v="0"/>
    <x v="3"/>
    <n v="10"/>
    <n v="40500"/>
    <x v="1"/>
  </r>
  <r>
    <n v="2015"/>
    <s v="Fuhrländer"/>
    <s v="FL77"/>
    <x v="0"/>
    <x v="3"/>
    <n v="11"/>
    <n v="40500"/>
    <x v="1"/>
  </r>
  <r>
    <n v="2015"/>
    <s v="Fuhrländer"/>
    <s v="FL77"/>
    <x v="0"/>
    <x v="3"/>
    <n v="12"/>
    <n v="40500"/>
    <x v="1"/>
  </r>
  <r>
    <n v="2015"/>
    <s v="Fuhrländer"/>
    <s v="FL77"/>
    <x v="0"/>
    <x v="3"/>
    <n v="13"/>
    <n v="43500"/>
    <x v="1"/>
  </r>
  <r>
    <n v="2015"/>
    <s v="Fuhrländer"/>
    <s v="FL77"/>
    <x v="0"/>
    <x v="3"/>
    <n v="14"/>
    <n v="43500"/>
    <x v="1"/>
  </r>
  <r>
    <n v="2015"/>
    <s v="Fuhrländer"/>
    <s v="FL77"/>
    <x v="0"/>
    <x v="3"/>
    <n v="15"/>
    <n v="43500"/>
    <x v="1"/>
  </r>
  <r>
    <n v="2015"/>
    <s v="Fuhrländer"/>
    <s v="FL77"/>
    <x v="0"/>
    <x v="3"/>
    <n v="16"/>
    <n v="43500"/>
    <x v="1"/>
  </r>
  <r>
    <n v="2015"/>
    <s v="Fuhrländer"/>
    <s v="FL77"/>
    <x v="0"/>
    <x v="3"/>
    <n v="17"/>
    <n v="46500"/>
    <x v="1"/>
  </r>
  <r>
    <n v="2015"/>
    <s v="Fuhrländer"/>
    <s v="FL77"/>
    <x v="0"/>
    <x v="3"/>
    <n v="18"/>
    <n v="46500"/>
    <x v="1"/>
  </r>
  <r>
    <n v="2015"/>
    <s v="Fuhrländer"/>
    <s v="FL77"/>
    <x v="0"/>
    <x v="3"/>
    <n v="19"/>
    <n v="46500"/>
    <x v="1"/>
  </r>
  <r>
    <n v="2015"/>
    <s v="Fuhrländer"/>
    <s v="FL77"/>
    <x v="0"/>
    <x v="3"/>
    <n v="20"/>
    <n v="46500"/>
    <x v="1"/>
  </r>
  <r>
    <n v="2016"/>
    <s v="Nordex"/>
    <s v="N90"/>
    <x v="3"/>
    <x v="1"/>
    <n v="10"/>
    <n v="53000"/>
    <x v="0"/>
  </r>
  <r>
    <n v="2016"/>
    <s v="Nordex"/>
    <s v="N90"/>
    <x v="3"/>
    <x v="1"/>
    <n v="11"/>
    <n v="53000"/>
    <x v="0"/>
  </r>
  <r>
    <n v="2016"/>
    <s v="Nordex"/>
    <s v="N90"/>
    <x v="3"/>
    <x v="1"/>
    <n v="12"/>
    <n v="53000"/>
    <x v="0"/>
  </r>
  <r>
    <n v="2016"/>
    <s v="Nordex"/>
    <s v="N90"/>
    <x v="3"/>
    <x v="1"/>
    <n v="13"/>
    <n v="53000"/>
    <x v="0"/>
  </r>
  <r>
    <n v="2016"/>
    <s v="Nordex"/>
    <s v="N90"/>
    <x v="3"/>
    <x v="1"/>
    <n v="14"/>
    <n v="57000"/>
    <x v="0"/>
  </r>
  <r>
    <n v="2016"/>
    <s v="Nordex"/>
    <s v="N90"/>
    <x v="3"/>
    <x v="1"/>
    <n v="15"/>
    <n v="57000"/>
    <x v="0"/>
  </r>
  <r>
    <n v="2016"/>
    <s v="Nordex"/>
    <s v="N90"/>
    <x v="3"/>
    <x v="1"/>
    <n v="16"/>
    <n v="57000"/>
    <x v="0"/>
  </r>
  <r>
    <n v="2016"/>
    <s v="Nordex"/>
    <s v="N90"/>
    <x v="3"/>
    <x v="1"/>
    <n v="17"/>
    <n v="62000"/>
    <x v="0"/>
  </r>
  <r>
    <n v="2016"/>
    <s v="Nordex"/>
    <s v="N90"/>
    <x v="3"/>
    <x v="1"/>
    <n v="18"/>
    <n v="62000"/>
    <x v="0"/>
  </r>
  <r>
    <n v="2016"/>
    <s v="Nordex"/>
    <s v="N90"/>
    <x v="3"/>
    <x v="1"/>
    <n v="19"/>
    <n v="64000"/>
    <x v="0"/>
  </r>
  <r>
    <n v="2016"/>
    <s v="Nordex"/>
    <s v="N90"/>
    <x v="3"/>
    <x v="1"/>
    <n v="20"/>
    <n v="64000"/>
    <x v="0"/>
  </r>
  <r>
    <n v="2016"/>
    <s v="Senvion"/>
    <s v="MM92"/>
    <x v="2"/>
    <x v="6"/>
    <n v="6"/>
    <n v="38500"/>
    <x v="1"/>
  </r>
  <r>
    <n v="2016"/>
    <s v="Senvion"/>
    <s v="MM92"/>
    <x v="2"/>
    <x v="6"/>
    <n v="7"/>
    <n v="38500"/>
    <x v="1"/>
  </r>
  <r>
    <n v="2016"/>
    <s v="Senvion"/>
    <s v="MM92"/>
    <x v="2"/>
    <x v="6"/>
    <n v="8"/>
    <n v="38500"/>
    <x v="1"/>
  </r>
  <r>
    <n v="2016"/>
    <s v="Senvion"/>
    <s v="MM92"/>
    <x v="2"/>
    <x v="6"/>
    <n v="9"/>
    <n v="41500"/>
    <x v="1"/>
  </r>
  <r>
    <n v="2016"/>
    <s v="Senvion"/>
    <s v="MM92"/>
    <x v="2"/>
    <x v="6"/>
    <n v="10"/>
    <n v="41500"/>
    <x v="1"/>
  </r>
  <r>
    <n v="2016"/>
    <s v="Senvion"/>
    <s v="MM92"/>
    <x v="2"/>
    <x v="6"/>
    <n v="11"/>
    <n v="41500"/>
    <x v="1"/>
  </r>
  <r>
    <n v="2016"/>
    <s v="Senvion"/>
    <s v="MM92"/>
    <x v="2"/>
    <x v="6"/>
    <n v="12"/>
    <n v="45000"/>
    <x v="1"/>
  </r>
  <r>
    <n v="2016"/>
    <s v="Senvion"/>
    <s v="MM92"/>
    <x v="2"/>
    <x v="6"/>
    <n v="13"/>
    <n v="45000"/>
    <x v="1"/>
  </r>
  <r>
    <n v="2016"/>
    <s v="Senvion"/>
    <s v="MM92"/>
    <x v="2"/>
    <x v="6"/>
    <n v="14"/>
    <n v="45000"/>
    <x v="1"/>
  </r>
  <r>
    <n v="2016"/>
    <s v="Senvion"/>
    <s v="MM92"/>
    <x v="2"/>
    <x v="6"/>
    <n v="15"/>
    <n v="45000"/>
    <x v="1"/>
  </r>
  <r>
    <n v="2016"/>
    <s v="Senvion"/>
    <s v="MM92"/>
    <x v="2"/>
    <x v="6"/>
    <n v="16"/>
    <n v="49500"/>
    <x v="1"/>
  </r>
  <r>
    <n v="2016"/>
    <s v="Senvion"/>
    <s v="MM92"/>
    <x v="2"/>
    <x v="6"/>
    <n v="17"/>
    <n v="49500"/>
    <x v="1"/>
  </r>
  <r>
    <n v="2016"/>
    <s v="Senvion"/>
    <s v="MM92"/>
    <x v="2"/>
    <x v="6"/>
    <n v="18"/>
    <n v="49500"/>
    <x v="1"/>
  </r>
  <r>
    <n v="2016"/>
    <s v="Senvion"/>
    <s v="MM92"/>
    <x v="2"/>
    <x v="6"/>
    <n v="19"/>
    <n v="49500"/>
    <x v="1"/>
  </r>
  <r>
    <n v="2016"/>
    <s v="Senvion"/>
    <s v="MM92"/>
    <x v="2"/>
    <x v="6"/>
    <n v="20"/>
    <n v="49500"/>
    <x v="1"/>
  </r>
  <r>
    <n v="2015"/>
    <s v="Senvion"/>
    <s v="MM70"/>
    <x v="0"/>
    <x v="0"/>
    <n v="13"/>
    <n v="41000"/>
    <x v="1"/>
  </r>
  <r>
    <n v="2015"/>
    <s v="Senvion"/>
    <s v="MM70"/>
    <x v="0"/>
    <x v="0"/>
    <n v="14"/>
    <n v="41000"/>
    <x v="1"/>
  </r>
  <r>
    <n v="2015"/>
    <s v="Senvion"/>
    <s v="MM70"/>
    <x v="0"/>
    <x v="0"/>
    <n v="15"/>
    <n v="41000"/>
    <x v="1"/>
  </r>
  <r>
    <n v="2015"/>
    <s v="Senvion"/>
    <s v="MM70"/>
    <x v="0"/>
    <x v="0"/>
    <n v="16"/>
    <n v="45000"/>
    <x v="1"/>
  </r>
  <r>
    <n v="2015"/>
    <s v="Senvion"/>
    <s v="MM70"/>
    <x v="0"/>
    <x v="0"/>
    <n v="17"/>
    <n v="45000"/>
    <x v="1"/>
  </r>
  <r>
    <n v="2015"/>
    <s v="Senvion"/>
    <s v="MM70"/>
    <x v="0"/>
    <x v="0"/>
    <n v="18"/>
    <n v="45000"/>
    <x v="1"/>
  </r>
  <r>
    <n v="2015"/>
    <s v="Senvion"/>
    <s v="MM70"/>
    <x v="0"/>
    <x v="0"/>
    <n v="19"/>
    <n v="45000"/>
    <x v="1"/>
  </r>
  <r>
    <n v="2015"/>
    <s v="Senvion"/>
    <s v="MM70"/>
    <x v="0"/>
    <x v="0"/>
    <n v="20"/>
    <n v="45000"/>
    <x v="1"/>
  </r>
  <r>
    <n v="2015"/>
    <s v="Senvion"/>
    <s v="MM70"/>
    <x v="2"/>
    <x v="0"/>
    <n v="13"/>
    <n v="45500"/>
    <x v="1"/>
  </r>
  <r>
    <n v="2015"/>
    <s v="Senvion"/>
    <s v="MM70"/>
    <x v="2"/>
    <x v="0"/>
    <n v="14"/>
    <n v="45500"/>
    <x v="1"/>
  </r>
  <r>
    <n v="2015"/>
    <s v="Senvion"/>
    <s v="MM70"/>
    <x v="2"/>
    <x v="0"/>
    <n v="15"/>
    <n v="45500"/>
    <x v="1"/>
  </r>
  <r>
    <n v="2015"/>
    <s v="Senvion"/>
    <s v="MM70"/>
    <x v="2"/>
    <x v="0"/>
    <n v="16"/>
    <n v="50500"/>
    <x v="1"/>
  </r>
  <r>
    <n v="2015"/>
    <s v="Senvion"/>
    <s v="MM70"/>
    <x v="2"/>
    <x v="0"/>
    <n v="17"/>
    <n v="50500"/>
    <x v="1"/>
  </r>
  <r>
    <n v="2015"/>
    <s v="Senvion"/>
    <s v="MM70"/>
    <x v="2"/>
    <x v="0"/>
    <n v="18"/>
    <n v="50500"/>
    <x v="1"/>
  </r>
  <r>
    <n v="2015"/>
    <s v="Senvion"/>
    <s v="MM70"/>
    <x v="2"/>
    <x v="0"/>
    <n v="19"/>
    <n v="50500"/>
    <x v="1"/>
  </r>
  <r>
    <n v="2015"/>
    <s v="Senvion"/>
    <s v="MM70"/>
    <x v="2"/>
    <x v="0"/>
    <n v="20"/>
    <n v="50500"/>
    <x v="1"/>
  </r>
  <r>
    <n v="2016"/>
    <s v="Nordex"/>
    <s v="N62"/>
    <x v="1"/>
    <x v="0"/>
    <n v="15"/>
    <n v="38150"/>
    <x v="1"/>
  </r>
  <r>
    <n v="2016"/>
    <s v="Nordex"/>
    <s v="N62"/>
    <x v="1"/>
    <x v="0"/>
    <n v="16"/>
    <n v="38150"/>
    <x v="1"/>
  </r>
  <r>
    <n v="2016"/>
    <s v="Nordex"/>
    <s v="N62"/>
    <x v="1"/>
    <x v="0"/>
    <n v="17"/>
    <n v="38150"/>
    <x v="1"/>
  </r>
  <r>
    <n v="2016"/>
    <s v="Nordex"/>
    <s v="N62"/>
    <x v="1"/>
    <x v="0"/>
    <n v="18"/>
    <n v="38150"/>
    <x v="1"/>
  </r>
  <r>
    <n v="2016"/>
    <s v="Nordex"/>
    <s v="N62"/>
    <x v="1"/>
    <x v="0"/>
    <n v="19"/>
    <n v="38150"/>
    <x v="1"/>
  </r>
  <r>
    <n v="2016"/>
    <s v="Nordex"/>
    <s v="N62"/>
    <x v="1"/>
    <x v="0"/>
    <n v="20"/>
    <n v="38150"/>
    <x v="1"/>
  </r>
  <r>
    <n v="2016"/>
    <s v="Nordex"/>
    <s v="N117"/>
    <x v="5"/>
    <x v="0"/>
    <n v="10"/>
    <n v="59000"/>
    <x v="0"/>
  </r>
  <r>
    <n v="2016"/>
    <s v="Nordex"/>
    <s v="N117"/>
    <x v="5"/>
    <x v="0"/>
    <n v="3"/>
    <n v="54000"/>
    <x v="0"/>
  </r>
  <r>
    <n v="2016"/>
    <s v="Nordex"/>
    <s v="N117"/>
    <x v="5"/>
    <x v="0"/>
    <n v="4"/>
    <n v="54000"/>
    <x v="0"/>
  </r>
  <r>
    <n v="2016"/>
    <s v="Nordex"/>
    <s v="N117"/>
    <x v="5"/>
    <x v="0"/>
    <n v="5"/>
    <n v="54000"/>
    <x v="0"/>
  </r>
  <r>
    <n v="2016"/>
    <s v="Nordex"/>
    <s v="N117"/>
    <x v="5"/>
    <x v="0"/>
    <n v="6"/>
    <n v="59000"/>
    <x v="0"/>
  </r>
  <r>
    <n v="2016"/>
    <s v="Nordex"/>
    <s v="N117"/>
    <x v="5"/>
    <x v="0"/>
    <n v="7"/>
    <n v="59000"/>
    <x v="0"/>
  </r>
  <r>
    <n v="2016"/>
    <s v="Nordex"/>
    <s v="N117"/>
    <x v="5"/>
    <x v="0"/>
    <n v="8"/>
    <n v="59000"/>
    <x v="0"/>
  </r>
  <r>
    <n v="2016"/>
    <s v="Nordex"/>
    <s v="N117"/>
    <x v="5"/>
    <x v="0"/>
    <n v="9"/>
    <n v="59000"/>
    <x v="0"/>
  </r>
  <r>
    <n v="2016"/>
    <s v="Nordex"/>
    <s v="N117"/>
    <x v="5"/>
    <x v="0"/>
    <n v="11"/>
    <n v="64000"/>
    <x v="0"/>
  </r>
  <r>
    <n v="2016"/>
    <s v="Nordex"/>
    <s v="N117"/>
    <x v="5"/>
    <x v="0"/>
    <n v="12"/>
    <n v="64000"/>
    <x v="0"/>
  </r>
  <r>
    <n v="2016"/>
    <s v="Nordex"/>
    <s v="N117"/>
    <x v="5"/>
    <x v="0"/>
    <n v="13"/>
    <n v="64000"/>
    <x v="0"/>
  </r>
  <r>
    <n v="2016"/>
    <s v="Nordex"/>
    <s v="N117"/>
    <x v="5"/>
    <x v="0"/>
    <n v="14"/>
    <n v="64000"/>
    <x v="0"/>
  </r>
  <r>
    <n v="2016"/>
    <s v="Nordex"/>
    <s v="N117"/>
    <x v="5"/>
    <x v="0"/>
    <n v="15"/>
    <n v="64000"/>
    <x v="0"/>
  </r>
  <r>
    <n v="2016"/>
    <s v="Nordex"/>
    <s v="N117"/>
    <x v="5"/>
    <x v="0"/>
    <n v="16"/>
    <n v="70000"/>
    <x v="0"/>
  </r>
  <r>
    <n v="2016"/>
    <s v="Nordex"/>
    <s v="N117"/>
    <x v="5"/>
    <x v="0"/>
    <n v="17"/>
    <n v="70000"/>
    <x v="0"/>
  </r>
  <r>
    <n v="2016"/>
    <s v="Nordex"/>
    <s v="N117"/>
    <x v="5"/>
    <x v="0"/>
    <n v="18"/>
    <n v="70000"/>
    <x v="0"/>
  </r>
  <r>
    <n v="2016"/>
    <s v="Nordex"/>
    <s v="N117"/>
    <x v="5"/>
    <x v="0"/>
    <n v="19"/>
    <n v="70000"/>
    <x v="0"/>
  </r>
  <r>
    <n v="2016"/>
    <s v="Nordex"/>
    <s v="N117"/>
    <x v="5"/>
    <x v="0"/>
    <n v="20"/>
    <n v="70000"/>
    <x v="0"/>
  </r>
  <r>
    <n v="2015"/>
    <s v="Senvion"/>
    <s v="MD77"/>
    <x v="0"/>
    <x v="3"/>
    <n v="8"/>
    <n v="35000"/>
    <x v="1"/>
  </r>
  <r>
    <n v="2015"/>
    <s v="Senvion"/>
    <s v="MD77"/>
    <x v="0"/>
    <x v="3"/>
    <n v="9"/>
    <n v="35000"/>
    <x v="1"/>
  </r>
  <r>
    <n v="2015"/>
    <s v="Senvion"/>
    <s v="MD77"/>
    <x v="0"/>
    <x v="3"/>
    <n v="10"/>
    <n v="35000"/>
    <x v="1"/>
  </r>
  <r>
    <n v="2015"/>
    <s v="Senvion"/>
    <s v="MD77"/>
    <x v="0"/>
    <x v="3"/>
    <n v="11"/>
    <n v="35000"/>
    <x v="1"/>
  </r>
  <r>
    <n v="2015"/>
    <s v="Senvion"/>
    <s v="MD77"/>
    <x v="0"/>
    <x v="3"/>
    <n v="12"/>
    <n v="35000"/>
    <x v="1"/>
  </r>
  <r>
    <n v="2015"/>
    <s v="Senvion"/>
    <s v="MD77"/>
    <x v="0"/>
    <x v="3"/>
    <n v="13"/>
    <n v="35000"/>
    <x v="1"/>
  </r>
  <r>
    <n v="2015"/>
    <s v="Senvion"/>
    <s v="MD77"/>
    <x v="0"/>
    <x v="3"/>
    <n v="14"/>
    <n v="35000"/>
    <x v="1"/>
  </r>
  <r>
    <n v="2015"/>
    <s v="Senvion"/>
    <s v="MD77"/>
    <x v="0"/>
    <x v="3"/>
    <n v="15"/>
    <n v="35000"/>
    <x v="1"/>
  </r>
  <r>
    <n v="2015"/>
    <s v="Senvion"/>
    <s v="MD77"/>
    <x v="0"/>
    <x v="3"/>
    <n v="16"/>
    <n v="35000"/>
    <x v="1"/>
  </r>
  <r>
    <n v="2015"/>
    <s v="Senvion"/>
    <s v="MD77"/>
    <x v="0"/>
    <x v="3"/>
    <n v="17"/>
    <n v="35000"/>
    <x v="1"/>
  </r>
  <r>
    <n v="2015"/>
    <s v="Senvion"/>
    <s v="MD77"/>
    <x v="0"/>
    <x v="3"/>
    <n v="18"/>
    <n v="35000"/>
    <x v="1"/>
  </r>
  <r>
    <n v="2015"/>
    <s v="Senvion"/>
    <s v="MD77"/>
    <x v="0"/>
    <x v="3"/>
    <n v="19"/>
    <n v="35000"/>
    <x v="1"/>
  </r>
  <r>
    <n v="2015"/>
    <s v="Senvion"/>
    <s v="MD77"/>
    <x v="0"/>
    <x v="3"/>
    <n v="20"/>
    <n v="35000"/>
    <x v="1"/>
  </r>
  <r>
    <n v="2016"/>
    <s v="Senvion"/>
    <s v="MD77"/>
    <x v="0"/>
    <x v="1"/>
    <n v="12"/>
    <n v="43600"/>
    <x v="1"/>
  </r>
  <r>
    <n v="2016"/>
    <s v="Senvion"/>
    <s v="MD77"/>
    <x v="0"/>
    <x v="1"/>
    <n v="13"/>
    <n v="43600"/>
    <x v="1"/>
  </r>
  <r>
    <n v="2016"/>
    <s v="Senvion"/>
    <s v="MD77"/>
    <x v="0"/>
    <x v="1"/>
    <n v="14"/>
    <n v="43600"/>
    <x v="1"/>
  </r>
  <r>
    <n v="2016"/>
    <s v="Senvion"/>
    <s v="MD77"/>
    <x v="0"/>
    <x v="1"/>
    <n v="15"/>
    <n v="47600"/>
    <x v="1"/>
  </r>
  <r>
    <n v="2016"/>
    <s v="Senvion"/>
    <s v="MD77"/>
    <x v="0"/>
    <x v="1"/>
    <n v="16"/>
    <n v="47600"/>
    <x v="1"/>
  </r>
  <r>
    <n v="2016"/>
    <s v="Senvion"/>
    <s v="MD77"/>
    <x v="0"/>
    <x v="1"/>
    <n v="17"/>
    <n v="50600"/>
    <x v="1"/>
  </r>
  <r>
    <n v="2016"/>
    <s v="Senvion"/>
    <s v="MD77"/>
    <x v="0"/>
    <x v="1"/>
    <n v="18"/>
    <n v="50600"/>
    <x v="1"/>
  </r>
  <r>
    <n v="2016"/>
    <s v="Senvion"/>
    <s v="MD77"/>
    <x v="0"/>
    <x v="1"/>
    <n v="19"/>
    <n v="50600"/>
    <x v="1"/>
  </r>
  <r>
    <n v="2016"/>
    <s v="Senvion"/>
    <s v="MD77"/>
    <x v="0"/>
    <x v="1"/>
    <n v="20"/>
    <n v="50600"/>
    <x v="1"/>
  </r>
  <r>
    <n v="2016"/>
    <s v="Senvion"/>
    <s v="MD77"/>
    <x v="0"/>
    <x v="7"/>
    <n v="13"/>
    <n v="40200"/>
    <x v="1"/>
  </r>
  <r>
    <n v="2016"/>
    <s v="Senvion"/>
    <s v="MD77"/>
    <x v="0"/>
    <x v="7"/>
    <n v="14"/>
    <n v="40200"/>
    <x v="1"/>
  </r>
  <r>
    <n v="2016"/>
    <s v="Senvion"/>
    <s v="MD77"/>
    <x v="0"/>
    <x v="7"/>
    <n v="15"/>
    <n v="43700"/>
    <x v="1"/>
  </r>
  <r>
    <n v="2016"/>
    <s v="Senvion"/>
    <s v="MD77"/>
    <x v="0"/>
    <x v="7"/>
    <n v="16"/>
    <n v="43700"/>
    <x v="1"/>
  </r>
  <r>
    <n v="2016"/>
    <s v="Senvion"/>
    <s v="MD77"/>
    <x v="0"/>
    <x v="7"/>
    <n v="17"/>
    <n v="47000"/>
    <x v="1"/>
  </r>
  <r>
    <n v="2016"/>
    <s v="Senvion"/>
    <s v="MD77"/>
    <x v="0"/>
    <x v="7"/>
    <n v="18"/>
    <n v="47000"/>
    <x v="1"/>
  </r>
  <r>
    <n v="2016"/>
    <s v="Senvion"/>
    <s v="MD77"/>
    <x v="0"/>
    <x v="7"/>
    <n v="19"/>
    <n v="47000"/>
    <x v="1"/>
  </r>
  <r>
    <n v="2016"/>
    <s v="Senvion"/>
    <s v="MD77"/>
    <x v="0"/>
    <x v="7"/>
    <n v="20"/>
    <n v="47000"/>
    <x v="1"/>
  </r>
  <r>
    <n v="2014"/>
    <s v="Nordex"/>
    <s v="N90"/>
    <x v="3"/>
    <x v="3"/>
    <n v="10"/>
    <n v="62500"/>
    <x v="1"/>
  </r>
  <r>
    <n v="2014"/>
    <s v="Nordex"/>
    <s v="N90"/>
    <x v="3"/>
    <x v="3"/>
    <n v="11"/>
    <n v="62500"/>
    <x v="1"/>
  </r>
  <r>
    <n v="2014"/>
    <s v="Nordex"/>
    <s v="N90"/>
    <x v="3"/>
    <x v="3"/>
    <n v="12"/>
    <n v="62500"/>
    <x v="1"/>
  </r>
  <r>
    <n v="2014"/>
    <s v="Nordex"/>
    <s v="N90"/>
    <x v="3"/>
    <x v="3"/>
    <n v="13"/>
    <n v="62500"/>
    <x v="1"/>
  </r>
  <r>
    <n v="2014"/>
    <s v="Nordex"/>
    <s v="N90"/>
    <x v="3"/>
    <x v="3"/>
    <n v="14"/>
    <n v="62500"/>
    <x v="1"/>
  </r>
  <r>
    <n v="2014"/>
    <s v="Nordex"/>
    <s v="N90"/>
    <x v="3"/>
    <x v="3"/>
    <n v="15"/>
    <n v="64000"/>
    <x v="1"/>
  </r>
  <r>
    <n v="2014"/>
    <s v="Nordex"/>
    <s v="N90"/>
    <x v="3"/>
    <x v="3"/>
    <n v="16"/>
    <n v="64000"/>
    <x v="1"/>
  </r>
  <r>
    <n v="2014"/>
    <s v="Nordex"/>
    <s v="N90"/>
    <x v="3"/>
    <x v="3"/>
    <n v="17"/>
    <n v="64000"/>
    <x v="1"/>
  </r>
  <r>
    <n v="2014"/>
    <s v="Nordex"/>
    <s v="N90"/>
    <x v="3"/>
    <x v="3"/>
    <n v="18"/>
    <n v="64000"/>
    <x v="1"/>
  </r>
  <r>
    <n v="2014"/>
    <s v="Nordex"/>
    <s v="N90"/>
    <x v="3"/>
    <x v="3"/>
    <n v="19"/>
    <n v="69000"/>
    <x v="1"/>
  </r>
  <r>
    <n v="2014"/>
    <s v="Nordex"/>
    <s v="N90"/>
    <x v="3"/>
    <x v="3"/>
    <n v="20"/>
    <n v="69000"/>
    <x v="1"/>
  </r>
  <r>
    <n v="2016"/>
    <s v="Nordex"/>
    <s v="N117"/>
    <x v="5"/>
    <x v="0"/>
    <n v="3"/>
    <n v="54000"/>
    <x v="0"/>
  </r>
  <r>
    <n v="2016"/>
    <s v="Nordex"/>
    <s v="N117"/>
    <x v="5"/>
    <x v="0"/>
    <n v="4"/>
    <n v="54000"/>
    <x v="0"/>
  </r>
  <r>
    <n v="2016"/>
    <s v="Nordex"/>
    <s v="N117"/>
    <x v="5"/>
    <x v="0"/>
    <n v="5"/>
    <n v="54000"/>
    <x v="0"/>
  </r>
  <r>
    <n v="2016"/>
    <s v="Nordex"/>
    <s v="N117"/>
    <x v="5"/>
    <x v="0"/>
    <n v="6"/>
    <n v="59000"/>
    <x v="0"/>
  </r>
  <r>
    <n v="2016"/>
    <s v="Nordex"/>
    <s v="N117"/>
    <x v="5"/>
    <x v="0"/>
    <n v="7"/>
    <n v="59000"/>
    <x v="0"/>
  </r>
  <r>
    <n v="2016"/>
    <s v="Nordex"/>
    <s v="N117"/>
    <x v="5"/>
    <x v="0"/>
    <n v="8"/>
    <n v="59000"/>
    <x v="0"/>
  </r>
  <r>
    <n v="2016"/>
    <s v="Nordex"/>
    <s v="N117"/>
    <x v="5"/>
    <x v="0"/>
    <n v="9"/>
    <n v="59000"/>
    <x v="0"/>
  </r>
  <r>
    <n v="2016"/>
    <s v="Nordex"/>
    <s v="N117"/>
    <x v="5"/>
    <x v="0"/>
    <n v="10"/>
    <n v="59000"/>
    <x v="0"/>
  </r>
  <r>
    <n v="2016"/>
    <s v="Nordex"/>
    <s v="N117"/>
    <x v="5"/>
    <x v="0"/>
    <n v="11"/>
    <n v="64000"/>
    <x v="0"/>
  </r>
  <r>
    <n v="2016"/>
    <s v="Nordex"/>
    <s v="N117"/>
    <x v="5"/>
    <x v="0"/>
    <n v="12"/>
    <n v="64000"/>
    <x v="0"/>
  </r>
  <r>
    <n v="2016"/>
    <s v="Nordex"/>
    <s v="N117"/>
    <x v="5"/>
    <x v="0"/>
    <n v="13"/>
    <n v="64000"/>
    <x v="0"/>
  </r>
  <r>
    <n v="2016"/>
    <s v="Nordex"/>
    <s v="N117"/>
    <x v="5"/>
    <x v="0"/>
    <n v="14"/>
    <n v="64000"/>
    <x v="0"/>
  </r>
  <r>
    <n v="2016"/>
    <s v="Nordex"/>
    <s v="N117"/>
    <x v="5"/>
    <x v="0"/>
    <n v="15"/>
    <n v="64000"/>
    <x v="0"/>
  </r>
  <r>
    <n v="2016"/>
    <s v="Nordex"/>
    <s v="N117"/>
    <x v="5"/>
    <x v="0"/>
    <n v="16"/>
    <n v="70000"/>
    <x v="0"/>
  </r>
  <r>
    <n v="2016"/>
    <s v="Nordex"/>
    <s v="N117"/>
    <x v="5"/>
    <x v="0"/>
    <n v="17"/>
    <n v="70000"/>
    <x v="0"/>
  </r>
  <r>
    <n v="2016"/>
    <s v="Nordex"/>
    <s v="N117"/>
    <x v="5"/>
    <x v="0"/>
    <n v="18"/>
    <n v="70000"/>
    <x v="0"/>
  </r>
  <r>
    <n v="2016"/>
    <s v="Nordex"/>
    <s v="N117"/>
    <x v="5"/>
    <x v="0"/>
    <n v="19"/>
    <n v="70000"/>
    <x v="0"/>
  </r>
  <r>
    <n v="2016"/>
    <s v="Nordex"/>
    <s v="N117"/>
    <x v="5"/>
    <x v="0"/>
    <n v="20"/>
    <n v="70000"/>
    <x v="0"/>
  </r>
  <r>
    <n v="2016"/>
    <s v="Senvion"/>
    <s v="MD77"/>
    <x v="0"/>
    <x v="1"/>
    <n v="13"/>
    <n v="41150"/>
    <x v="1"/>
  </r>
  <r>
    <n v="2016"/>
    <s v="Senvion"/>
    <s v="MD77"/>
    <x v="0"/>
    <x v="1"/>
    <n v="14"/>
    <n v="41150"/>
    <x v="1"/>
  </r>
  <r>
    <n v="2016"/>
    <s v="Senvion"/>
    <s v="MD77"/>
    <x v="0"/>
    <x v="1"/>
    <n v="15"/>
    <n v="41150"/>
    <x v="1"/>
  </r>
  <r>
    <n v="2016"/>
    <s v="Senvion"/>
    <s v="MD77"/>
    <x v="0"/>
    <x v="1"/>
    <n v="16"/>
    <n v="41150"/>
    <x v="1"/>
  </r>
  <r>
    <n v="2016"/>
    <s v="Senvion"/>
    <s v="MD77"/>
    <x v="0"/>
    <x v="1"/>
    <n v="17"/>
    <n v="44150"/>
    <x v="1"/>
  </r>
  <r>
    <n v="2016"/>
    <s v="Senvion"/>
    <s v="MD77"/>
    <x v="0"/>
    <x v="1"/>
    <n v="18"/>
    <n v="44150"/>
    <x v="1"/>
  </r>
  <r>
    <n v="2016"/>
    <s v="Senvion"/>
    <s v="MD77"/>
    <x v="0"/>
    <x v="1"/>
    <n v="19"/>
    <n v="44150"/>
    <x v="1"/>
  </r>
  <r>
    <n v="2016"/>
    <s v="Senvion"/>
    <s v="MD77"/>
    <x v="0"/>
    <x v="1"/>
    <n v="20"/>
    <n v="44150"/>
    <x v="1"/>
  </r>
  <r>
    <n v="2014"/>
    <s v="Senvion"/>
    <s v="MD70"/>
    <x v="0"/>
    <x v="8"/>
    <n v="12"/>
    <n v="24100"/>
    <x v="0"/>
  </r>
  <r>
    <n v="2014"/>
    <s v="Senvion"/>
    <s v="MD70"/>
    <x v="0"/>
    <x v="8"/>
    <n v="13"/>
    <n v="24100"/>
    <x v="0"/>
  </r>
  <r>
    <n v="2014"/>
    <s v="Senvion"/>
    <s v="MD70"/>
    <x v="0"/>
    <x v="8"/>
    <n v="14"/>
    <n v="24100"/>
    <x v="0"/>
  </r>
  <r>
    <n v="2014"/>
    <s v="Senvion"/>
    <s v="MD70"/>
    <x v="0"/>
    <x v="8"/>
    <n v="15"/>
    <n v="25900"/>
    <x v="0"/>
  </r>
  <r>
    <n v="2014"/>
    <s v="Senvion"/>
    <s v="MD70"/>
    <x v="0"/>
    <x v="8"/>
    <n v="16"/>
    <n v="25900"/>
    <x v="0"/>
  </r>
  <r>
    <n v="2014"/>
    <s v="Senvion"/>
    <s v="MD70"/>
    <x v="0"/>
    <x v="8"/>
    <n v="17"/>
    <n v="25900"/>
    <x v="0"/>
  </r>
  <r>
    <n v="2014"/>
    <s v="Senvion"/>
    <s v="MD70"/>
    <x v="0"/>
    <x v="8"/>
    <n v="18"/>
    <n v="25900"/>
    <x v="0"/>
  </r>
  <r>
    <n v="2014"/>
    <s v="Senvion"/>
    <s v="MD70"/>
    <x v="0"/>
    <x v="8"/>
    <n v="19"/>
    <n v="28800"/>
    <x v="0"/>
  </r>
  <r>
    <n v="2014"/>
    <s v="Senvion"/>
    <s v="MD70"/>
    <x v="0"/>
    <x v="8"/>
    <n v="20"/>
    <n v="28800"/>
    <x v="0"/>
  </r>
  <r>
    <n v="2016"/>
    <s v="Senvion"/>
    <s v="MD77"/>
    <x v="0"/>
    <x v="9"/>
    <n v="15"/>
    <n v="43800"/>
    <x v="1"/>
  </r>
  <r>
    <n v="2016"/>
    <s v="Senvion"/>
    <s v="MD77"/>
    <x v="0"/>
    <x v="9"/>
    <n v="16"/>
    <n v="43800"/>
    <x v="1"/>
  </r>
  <r>
    <n v="2016"/>
    <s v="Senvion"/>
    <s v="MD77"/>
    <x v="0"/>
    <x v="9"/>
    <n v="17"/>
    <n v="47300"/>
    <x v="1"/>
  </r>
  <r>
    <n v="2016"/>
    <s v="Senvion"/>
    <s v="MD77"/>
    <x v="0"/>
    <x v="9"/>
    <n v="18"/>
    <n v="47300"/>
    <x v="1"/>
  </r>
  <r>
    <n v="2016"/>
    <s v="Senvion"/>
    <s v="MD77"/>
    <x v="0"/>
    <x v="9"/>
    <n v="19"/>
    <n v="47300"/>
    <x v="1"/>
  </r>
  <r>
    <n v="2016"/>
    <s v="Senvion"/>
    <s v="MD77"/>
    <x v="0"/>
    <x v="9"/>
    <n v="20"/>
    <n v="47300"/>
    <x v="1"/>
  </r>
  <r>
    <n v="2016"/>
    <s v="Nordex"/>
    <s v="N62"/>
    <x v="1"/>
    <x v="0"/>
    <n v="16"/>
    <n v="41000"/>
    <x v="1"/>
  </r>
  <r>
    <n v="2016"/>
    <s v="Nordex"/>
    <s v="N62"/>
    <x v="1"/>
    <x v="0"/>
    <n v="17"/>
    <n v="41000"/>
    <x v="1"/>
  </r>
  <r>
    <n v="2016"/>
    <s v="Nordex"/>
    <s v="N62"/>
    <x v="1"/>
    <x v="0"/>
    <n v="18"/>
    <n v="41000"/>
    <x v="1"/>
  </r>
  <r>
    <n v="2016"/>
    <s v="Nordex"/>
    <s v="N62"/>
    <x v="1"/>
    <x v="0"/>
    <n v="19"/>
    <n v="41000"/>
    <x v="1"/>
  </r>
  <r>
    <n v="2016"/>
    <s v="Nordex"/>
    <s v="N62"/>
    <x v="1"/>
    <x v="0"/>
    <n v="20"/>
    <n v="41000"/>
    <x v="1"/>
  </r>
  <r>
    <n v="2016"/>
    <s v="Senvion"/>
    <s v="MD77"/>
    <x v="0"/>
    <x v="0"/>
    <n v="16"/>
    <n v="38000"/>
    <x v="0"/>
  </r>
  <r>
    <n v="2016"/>
    <s v="Senvion"/>
    <s v="MD77"/>
    <x v="0"/>
    <x v="0"/>
    <n v="14"/>
    <n v="38000"/>
    <x v="0"/>
  </r>
  <r>
    <n v="2016"/>
    <s v="Senvion"/>
    <s v="MD77"/>
    <x v="0"/>
    <x v="0"/>
    <n v="15"/>
    <n v="38000"/>
    <x v="0"/>
  </r>
  <r>
    <n v="2016"/>
    <s v="Senvion"/>
    <s v="MD77"/>
    <x v="0"/>
    <x v="0"/>
    <n v="17"/>
    <n v="40000"/>
    <x v="0"/>
  </r>
  <r>
    <n v="2016"/>
    <s v="Senvion"/>
    <s v="MD77"/>
    <x v="0"/>
    <x v="0"/>
    <n v="18"/>
    <n v="40000"/>
    <x v="0"/>
  </r>
  <r>
    <n v="2016"/>
    <s v="Senvion"/>
    <s v="MD77"/>
    <x v="0"/>
    <x v="0"/>
    <n v="19"/>
    <n v="40000"/>
    <x v="0"/>
  </r>
  <r>
    <n v="2016"/>
    <s v="Senvion"/>
    <s v="MD77"/>
    <x v="0"/>
    <x v="0"/>
    <n v="20"/>
    <n v="40000"/>
    <x v="0"/>
  </r>
  <r>
    <n v="2016"/>
    <s v="Nordex"/>
    <s v="S77"/>
    <x v="0"/>
    <x v="3"/>
    <n v="11"/>
    <n v="41000"/>
    <x v="1"/>
  </r>
  <r>
    <n v="2016"/>
    <s v="Nordex"/>
    <s v="S77"/>
    <x v="0"/>
    <x v="3"/>
    <n v="12"/>
    <n v="41000"/>
    <x v="1"/>
  </r>
  <r>
    <n v="2016"/>
    <s v="Nordex"/>
    <s v="S77"/>
    <x v="0"/>
    <x v="3"/>
    <n v="13"/>
    <n v="45000"/>
    <x v="1"/>
  </r>
  <r>
    <n v="2016"/>
    <s v="Nordex"/>
    <s v="S77"/>
    <x v="0"/>
    <x v="3"/>
    <n v="14"/>
    <n v="45000"/>
    <x v="1"/>
  </r>
  <r>
    <n v="2016"/>
    <s v="Nordex"/>
    <s v="S77"/>
    <x v="0"/>
    <x v="3"/>
    <n v="15"/>
    <n v="45000"/>
    <x v="1"/>
  </r>
  <r>
    <n v="2016"/>
    <s v="Nordex"/>
    <s v="S77"/>
    <x v="0"/>
    <x v="3"/>
    <n v="16"/>
    <n v="45000"/>
    <x v="1"/>
  </r>
  <r>
    <n v="2016"/>
    <s v="Nordex"/>
    <s v="S77"/>
    <x v="0"/>
    <x v="3"/>
    <n v="17"/>
    <n v="51500"/>
    <x v="1"/>
  </r>
  <r>
    <n v="2016"/>
    <s v="Nordex"/>
    <s v="S77"/>
    <x v="0"/>
    <x v="3"/>
    <n v="18"/>
    <n v="51500"/>
    <x v="1"/>
  </r>
  <r>
    <n v="2016"/>
    <s v="Nordex"/>
    <s v="S77"/>
    <x v="0"/>
    <x v="3"/>
    <n v="19"/>
    <n v="51500"/>
    <x v="1"/>
  </r>
  <r>
    <n v="2016"/>
    <s v="Nordex"/>
    <s v="S77"/>
    <x v="0"/>
    <x v="3"/>
    <n v="20"/>
    <n v="51500"/>
    <x v="1"/>
  </r>
  <r>
    <n v="2016"/>
    <s v="Senvion"/>
    <s v="MD77"/>
    <x v="0"/>
    <x v="0"/>
    <n v="13"/>
    <n v="46800"/>
    <x v="1"/>
  </r>
  <r>
    <n v="2016"/>
    <s v="Senvion"/>
    <s v="MD77"/>
    <x v="0"/>
    <x v="0"/>
    <n v="14"/>
    <n v="46800"/>
    <x v="1"/>
  </r>
  <r>
    <n v="2016"/>
    <s v="Senvion"/>
    <s v="MD77"/>
    <x v="0"/>
    <x v="0"/>
    <n v="15"/>
    <n v="50300"/>
    <x v="1"/>
  </r>
  <r>
    <n v="2016"/>
    <s v="Senvion"/>
    <s v="MD77"/>
    <x v="0"/>
    <x v="0"/>
    <n v="16"/>
    <n v="50300"/>
    <x v="1"/>
  </r>
  <r>
    <n v="2016"/>
    <s v="Senvion"/>
    <s v="MD77"/>
    <x v="0"/>
    <x v="0"/>
    <n v="17"/>
    <n v="50300"/>
    <x v="1"/>
  </r>
  <r>
    <n v="2016"/>
    <s v="Senvion"/>
    <s v="MD77"/>
    <x v="0"/>
    <x v="0"/>
    <n v="18"/>
    <n v="55300"/>
    <x v="1"/>
  </r>
  <r>
    <n v="2016"/>
    <s v="Senvion"/>
    <s v="MD77"/>
    <x v="0"/>
    <x v="0"/>
    <n v="19"/>
    <n v="55300"/>
    <x v="1"/>
  </r>
  <r>
    <n v="2016"/>
    <s v="Senvion"/>
    <s v="MD77"/>
    <x v="0"/>
    <x v="0"/>
    <n v="20"/>
    <n v="55300"/>
    <x v="1"/>
  </r>
  <r>
    <n v="2017"/>
    <s v="Senvion"/>
    <s v="MD77"/>
    <x v="0"/>
    <x v="1"/>
    <n v="18"/>
    <n v="42500"/>
    <x v="0"/>
  </r>
  <r>
    <n v="2017"/>
    <s v="Senvion"/>
    <s v="MD77"/>
    <x v="0"/>
    <x v="1"/>
    <n v="19"/>
    <n v="42500"/>
    <x v="0"/>
  </r>
  <r>
    <n v="2017"/>
    <s v="Senvion"/>
    <s v="MD77"/>
    <x v="0"/>
    <x v="1"/>
    <n v="20"/>
    <n v="42500"/>
    <x v="0"/>
  </r>
  <r>
    <n v="2016"/>
    <s v="Nordex"/>
    <s v="S77"/>
    <x v="0"/>
    <x v="1"/>
    <n v="15"/>
    <n v="47600"/>
    <x v="1"/>
  </r>
  <r>
    <n v="2016"/>
    <s v="Nordex"/>
    <s v="S77"/>
    <x v="0"/>
    <x v="1"/>
    <n v="16"/>
    <n v="47600"/>
    <x v="1"/>
  </r>
  <r>
    <n v="2016"/>
    <s v="Nordex"/>
    <s v="S77"/>
    <x v="0"/>
    <x v="1"/>
    <n v="17"/>
    <n v="47600"/>
    <x v="1"/>
  </r>
  <r>
    <n v="2016"/>
    <s v="Nordex"/>
    <s v="S77"/>
    <x v="0"/>
    <x v="1"/>
    <n v="18"/>
    <n v="53600"/>
    <x v="1"/>
  </r>
  <r>
    <n v="2016"/>
    <s v="Nordex"/>
    <s v="S77"/>
    <x v="0"/>
    <x v="1"/>
    <n v="19"/>
    <n v="53600"/>
    <x v="1"/>
  </r>
  <r>
    <n v="2016"/>
    <s v="Nordex"/>
    <s v="S77"/>
    <x v="0"/>
    <x v="1"/>
    <n v="20"/>
    <n v="53600"/>
    <x v="1"/>
  </r>
  <r>
    <n v="2017"/>
    <s v="Senvion"/>
    <s v="MM82"/>
    <x v="2"/>
    <x v="5"/>
    <n v="13"/>
    <n v="41000"/>
    <x v="0"/>
  </r>
  <r>
    <n v="2017"/>
    <s v="Senvion"/>
    <s v="MM82"/>
    <x v="2"/>
    <x v="5"/>
    <n v="14"/>
    <n v="41000"/>
    <x v="0"/>
  </r>
  <r>
    <n v="2017"/>
    <s v="Senvion"/>
    <s v="MM82"/>
    <x v="2"/>
    <x v="5"/>
    <n v="15"/>
    <n v="44500"/>
    <x v="0"/>
  </r>
  <r>
    <n v="2017"/>
    <s v="Senvion"/>
    <s v="MM82"/>
    <x v="2"/>
    <x v="5"/>
    <n v="16"/>
    <n v="44500"/>
    <x v="0"/>
  </r>
  <r>
    <n v="2017"/>
    <s v="Senvion"/>
    <s v="MM82"/>
    <x v="2"/>
    <x v="5"/>
    <n v="17"/>
    <n v="44500"/>
    <x v="0"/>
  </r>
  <r>
    <n v="2017"/>
    <s v="Senvion"/>
    <s v="MM82"/>
    <x v="2"/>
    <x v="5"/>
    <n v="18"/>
    <n v="50000"/>
    <x v="0"/>
  </r>
  <r>
    <n v="2017"/>
    <s v="Senvion"/>
    <s v="MM82"/>
    <x v="2"/>
    <x v="5"/>
    <n v="19"/>
    <n v="50000"/>
    <x v="0"/>
  </r>
  <r>
    <n v="2017"/>
    <s v="Senvion"/>
    <s v="MM82"/>
    <x v="2"/>
    <x v="5"/>
    <n v="20"/>
    <n v="50000"/>
    <x v="0"/>
  </r>
  <r>
    <n v="2016"/>
    <s v="Senvion"/>
    <s v="MM82"/>
    <x v="2"/>
    <x v="3"/>
    <n v="13"/>
    <n v="42000"/>
    <x v="1"/>
  </r>
  <r>
    <n v="2016"/>
    <s v="Senvion"/>
    <s v="MM82"/>
    <x v="2"/>
    <x v="3"/>
    <n v="14"/>
    <n v="42000"/>
    <x v="1"/>
  </r>
  <r>
    <n v="2016"/>
    <s v="Senvion"/>
    <s v="MM82"/>
    <x v="2"/>
    <x v="3"/>
    <n v="15"/>
    <n v="42000"/>
    <x v="1"/>
  </r>
  <r>
    <n v="2016"/>
    <s v="Senvion"/>
    <s v="MM82"/>
    <x v="2"/>
    <x v="3"/>
    <n v="16"/>
    <n v="51000"/>
    <x v="1"/>
  </r>
  <r>
    <n v="2016"/>
    <s v="Senvion"/>
    <s v="MM82"/>
    <x v="2"/>
    <x v="3"/>
    <n v="17"/>
    <n v="51000"/>
    <x v="1"/>
  </r>
  <r>
    <n v="2016"/>
    <s v="Senvion"/>
    <s v="MM82"/>
    <x v="2"/>
    <x v="3"/>
    <n v="18"/>
    <n v="51000"/>
    <x v="1"/>
  </r>
  <r>
    <n v="2016"/>
    <s v="Senvion"/>
    <s v="MM82"/>
    <x v="2"/>
    <x v="3"/>
    <n v="19"/>
    <n v="51000"/>
    <x v="1"/>
  </r>
  <r>
    <n v="2016"/>
    <s v="Senvion"/>
    <s v="MM82"/>
    <x v="2"/>
    <x v="3"/>
    <n v="20"/>
    <n v="51000"/>
    <x v="1"/>
  </r>
  <r>
    <n v="2015"/>
    <s v="Fuhrländer"/>
    <s v="FL70"/>
    <x v="0"/>
    <x v="3"/>
    <n v="14"/>
    <n v="44000"/>
    <x v="0"/>
  </r>
  <r>
    <n v="2015"/>
    <s v="Fuhrländer"/>
    <s v="FL70"/>
    <x v="0"/>
    <x v="3"/>
    <n v="15"/>
    <n v="44000"/>
    <x v="0"/>
  </r>
  <r>
    <n v="2015"/>
    <s v="Fuhrländer"/>
    <s v="FL70"/>
    <x v="0"/>
    <x v="3"/>
    <n v="16"/>
    <n v="44000"/>
    <x v="0"/>
  </r>
  <r>
    <n v="2015"/>
    <s v="Fuhrländer"/>
    <s v="FL70"/>
    <x v="0"/>
    <x v="3"/>
    <n v="17"/>
    <n v="47500"/>
    <x v="0"/>
  </r>
  <r>
    <n v="2015"/>
    <s v="Fuhrländer"/>
    <s v="FL70"/>
    <x v="0"/>
    <x v="3"/>
    <n v="18"/>
    <n v="47500"/>
    <x v="0"/>
  </r>
  <r>
    <n v="2015"/>
    <s v="Fuhrländer"/>
    <s v="FL70"/>
    <x v="0"/>
    <x v="3"/>
    <n v="19"/>
    <n v="47500"/>
    <x v="0"/>
  </r>
  <r>
    <n v="2015"/>
    <s v="Fuhrländer"/>
    <s v="FL70"/>
    <x v="0"/>
    <x v="3"/>
    <n v="20"/>
    <n v="47500"/>
    <x v="0"/>
  </r>
  <r>
    <n v="2014"/>
    <s v="Senvion"/>
    <s v="MD77"/>
    <x v="0"/>
    <x v="0"/>
    <n v="13"/>
    <n v="46000"/>
    <x v="0"/>
  </r>
  <r>
    <n v="2014"/>
    <s v="Senvion"/>
    <s v="MD77"/>
    <x v="0"/>
    <x v="0"/>
    <n v="14"/>
    <n v="46000"/>
    <x v="0"/>
  </r>
  <r>
    <n v="2014"/>
    <s v="Senvion"/>
    <s v="MD77"/>
    <x v="0"/>
    <x v="0"/>
    <n v="15"/>
    <n v="48500"/>
    <x v="0"/>
  </r>
  <r>
    <n v="2014"/>
    <s v="Senvion"/>
    <s v="MD77"/>
    <x v="0"/>
    <x v="0"/>
    <n v="16"/>
    <n v="48500"/>
    <x v="0"/>
  </r>
  <r>
    <n v="2014"/>
    <s v="Senvion"/>
    <s v="MD77"/>
    <x v="0"/>
    <x v="0"/>
    <n v="17"/>
    <n v="48500"/>
    <x v="0"/>
  </r>
  <r>
    <n v="2014"/>
    <s v="Senvion"/>
    <s v="MD77"/>
    <x v="0"/>
    <x v="0"/>
    <n v="18"/>
    <n v="51000"/>
    <x v="0"/>
  </r>
  <r>
    <n v="2014"/>
    <s v="Senvion"/>
    <s v="MD77"/>
    <x v="0"/>
    <x v="0"/>
    <n v="19"/>
    <n v="51000"/>
    <x v="0"/>
  </r>
  <r>
    <n v="2014"/>
    <s v="Senvion"/>
    <s v="MD77"/>
    <x v="0"/>
    <x v="0"/>
    <n v="20"/>
    <n v="51000"/>
    <x v="0"/>
  </r>
  <r>
    <n v="2016"/>
    <s v="Nordex"/>
    <s v="N90/N100"/>
    <x v="3"/>
    <x v="3"/>
    <n v="9"/>
    <n v="61000"/>
    <x v="0"/>
  </r>
  <r>
    <n v="2016"/>
    <s v="Nordex"/>
    <s v="N90/N100"/>
    <x v="3"/>
    <x v="3"/>
    <n v="10"/>
    <n v="61000"/>
    <x v="0"/>
  </r>
  <r>
    <n v="2016"/>
    <s v="Nordex"/>
    <s v="N90/N100"/>
    <x v="3"/>
    <x v="3"/>
    <n v="11"/>
    <n v="61000"/>
    <x v="0"/>
  </r>
  <r>
    <n v="2016"/>
    <s v="Nordex"/>
    <s v="N90/N100"/>
    <x v="3"/>
    <x v="3"/>
    <n v="12"/>
    <n v="61000"/>
    <x v="0"/>
  </r>
  <r>
    <n v="2016"/>
    <s v="Nordex"/>
    <s v="N90/N100"/>
    <x v="3"/>
    <x v="3"/>
    <n v="13"/>
    <n v="63000"/>
    <x v="0"/>
  </r>
  <r>
    <n v="2016"/>
    <s v="Nordex"/>
    <s v="N90/N100"/>
    <x v="3"/>
    <x v="3"/>
    <n v="14"/>
    <n v="63000"/>
    <x v="0"/>
  </r>
  <r>
    <n v="2016"/>
    <s v="Nordex"/>
    <s v="N90/N100"/>
    <x v="3"/>
    <x v="3"/>
    <n v="15"/>
    <n v="63000"/>
    <x v="0"/>
  </r>
  <r>
    <n v="2016"/>
    <s v="Nordex"/>
    <s v="N90/N100"/>
    <x v="3"/>
    <x v="3"/>
    <n v="16"/>
    <n v="63000"/>
    <x v="0"/>
  </r>
  <r>
    <n v="2016"/>
    <s v="Nordex"/>
    <s v="N90/N100"/>
    <x v="3"/>
    <x v="3"/>
    <n v="17"/>
    <n v="68000"/>
    <x v="0"/>
  </r>
  <r>
    <n v="2016"/>
    <s v="Nordex"/>
    <s v="N90/N100"/>
    <x v="3"/>
    <x v="3"/>
    <n v="18"/>
    <n v="68000"/>
    <x v="0"/>
  </r>
  <r>
    <n v="2016"/>
    <s v="Nordex"/>
    <s v="N90/N100"/>
    <x v="3"/>
    <x v="3"/>
    <n v="19"/>
    <n v="68000"/>
    <x v="0"/>
  </r>
  <r>
    <n v="2016"/>
    <s v="Nordex"/>
    <s v="N90/N100"/>
    <x v="3"/>
    <x v="3"/>
    <n v="20"/>
    <n v="68000"/>
    <x v="0"/>
  </r>
  <r>
    <n v="2016"/>
    <s v="Nordex"/>
    <s v="N60"/>
    <x v="1"/>
    <x v="3"/>
    <n v="17"/>
    <n v="40000"/>
    <x v="0"/>
  </r>
  <r>
    <n v="2016"/>
    <s v="Nordex"/>
    <s v="N60"/>
    <x v="1"/>
    <x v="3"/>
    <n v="18"/>
    <n v="40000"/>
    <x v="0"/>
  </r>
  <r>
    <n v="2016"/>
    <s v="Nordex"/>
    <s v="N60"/>
    <x v="1"/>
    <x v="3"/>
    <n v="19"/>
    <n v="40000"/>
    <x v="0"/>
  </r>
  <r>
    <n v="2016"/>
    <s v="Nordex"/>
    <s v="N60"/>
    <x v="1"/>
    <x v="3"/>
    <n v="20"/>
    <n v="40000"/>
    <x v="0"/>
  </r>
  <r>
    <n v="2015"/>
    <s v="Nordex"/>
    <s v="S77"/>
    <x v="0"/>
    <x v="0"/>
    <n v="8"/>
    <n v="54300"/>
    <x v="1"/>
  </r>
  <r>
    <n v="2015"/>
    <s v="Nordex"/>
    <s v="S77"/>
    <x v="0"/>
    <x v="0"/>
    <n v="9"/>
    <n v="54300"/>
    <x v="1"/>
  </r>
  <r>
    <n v="2015"/>
    <s v="Nordex"/>
    <s v="S77"/>
    <x v="0"/>
    <x v="0"/>
    <n v="10"/>
    <n v="54300"/>
    <x v="1"/>
  </r>
  <r>
    <n v="2015"/>
    <s v="Nordex"/>
    <s v="S77"/>
    <x v="0"/>
    <x v="0"/>
    <n v="11"/>
    <n v="57300"/>
    <x v="1"/>
  </r>
  <r>
    <n v="2015"/>
    <s v="Nordex"/>
    <s v="S77"/>
    <x v="0"/>
    <x v="0"/>
    <n v="12"/>
    <n v="57300"/>
    <x v="1"/>
  </r>
  <r>
    <n v="2015"/>
    <s v="Nordex"/>
    <s v="S77"/>
    <x v="0"/>
    <x v="0"/>
    <n v="13"/>
    <n v="57300"/>
    <x v="1"/>
  </r>
  <r>
    <n v="2015"/>
    <s v="Nordex"/>
    <s v="S77"/>
    <x v="0"/>
    <x v="0"/>
    <n v="14"/>
    <n v="59300"/>
    <x v="1"/>
  </r>
  <r>
    <n v="2015"/>
    <s v="Nordex"/>
    <s v="S77"/>
    <x v="0"/>
    <x v="0"/>
    <n v="15"/>
    <n v="59300"/>
    <x v="1"/>
  </r>
  <r>
    <n v="2015"/>
    <s v="Nordex"/>
    <s v="S77"/>
    <x v="0"/>
    <x v="0"/>
    <n v="16"/>
    <n v="59300"/>
    <x v="1"/>
  </r>
  <r>
    <n v="2015"/>
    <s v="Nordex"/>
    <s v="S77"/>
    <x v="0"/>
    <x v="0"/>
    <n v="17"/>
    <n v="59300"/>
    <x v="1"/>
  </r>
  <r>
    <n v="2014"/>
    <s v="Nordex"/>
    <s v="S77"/>
    <x v="0"/>
    <x v="10"/>
    <n v="9"/>
    <n v="39500"/>
    <x v="0"/>
  </r>
  <r>
    <n v="2014"/>
    <s v="Nordex"/>
    <s v="S77"/>
    <x v="0"/>
    <x v="10"/>
    <n v="10"/>
    <n v="39500"/>
    <x v="0"/>
  </r>
  <r>
    <n v="2014"/>
    <s v="Nordex"/>
    <s v="S77"/>
    <x v="0"/>
    <x v="10"/>
    <n v="11"/>
    <n v="39500"/>
    <x v="0"/>
  </r>
  <r>
    <n v="2014"/>
    <s v="Nordex"/>
    <s v="S77"/>
    <x v="0"/>
    <x v="10"/>
    <n v="12"/>
    <n v="42500"/>
    <x v="0"/>
  </r>
  <r>
    <n v="2014"/>
    <s v="Nordex"/>
    <s v="S77"/>
    <x v="0"/>
    <x v="10"/>
    <n v="13"/>
    <n v="42500"/>
    <x v="0"/>
  </r>
  <r>
    <n v="2014"/>
    <s v="Nordex"/>
    <s v="S77"/>
    <x v="0"/>
    <x v="10"/>
    <n v="14"/>
    <n v="42500"/>
    <x v="0"/>
  </r>
  <r>
    <n v="2014"/>
    <s v="Nordex"/>
    <s v="S77"/>
    <x v="0"/>
    <x v="10"/>
    <n v="15"/>
    <n v="42500"/>
    <x v="0"/>
  </r>
  <r>
    <n v="2014"/>
    <s v="Nordex"/>
    <s v="S77"/>
    <x v="0"/>
    <x v="10"/>
    <n v="16"/>
    <n v="46000"/>
    <x v="0"/>
  </r>
  <r>
    <n v="2014"/>
    <s v="Nordex"/>
    <s v="S77"/>
    <x v="0"/>
    <x v="10"/>
    <n v="17"/>
    <n v="46000"/>
    <x v="0"/>
  </r>
  <r>
    <n v="2014"/>
    <s v="Nordex"/>
    <s v="S77"/>
    <x v="0"/>
    <x v="10"/>
    <n v="18"/>
    <n v="46000"/>
    <x v="0"/>
  </r>
  <r>
    <n v="2014"/>
    <s v="Nordex"/>
    <s v="S77"/>
    <x v="0"/>
    <x v="10"/>
    <n v="19"/>
    <n v="46000"/>
    <x v="0"/>
  </r>
  <r>
    <n v="2014"/>
    <s v="Nordex"/>
    <s v="S77"/>
    <x v="0"/>
    <x v="10"/>
    <n v="20"/>
    <n v="46000"/>
    <x v="0"/>
  </r>
  <r>
    <n v="2016"/>
    <s v="Nordex"/>
    <s v="N60"/>
    <x v="1"/>
    <x v="0"/>
    <n v="17"/>
    <n v="40000"/>
    <x v="0"/>
  </r>
  <r>
    <n v="2016"/>
    <s v="Nordex"/>
    <s v="N60"/>
    <x v="1"/>
    <x v="0"/>
    <n v="18"/>
    <n v="40000"/>
    <x v="0"/>
  </r>
  <r>
    <n v="2016"/>
    <s v="Nordex"/>
    <s v="N60"/>
    <x v="1"/>
    <x v="0"/>
    <n v="19"/>
    <n v="40000"/>
    <x v="0"/>
  </r>
  <r>
    <n v="2016"/>
    <s v="Nordex"/>
    <s v="N60"/>
    <x v="1"/>
    <x v="0"/>
    <n v="20"/>
    <n v="40000"/>
    <x v="0"/>
  </r>
  <r>
    <n v="2016"/>
    <s v="Senvion"/>
    <s v="MM100"/>
    <x v="2"/>
    <x v="3"/>
    <n v="3"/>
    <n v="36500"/>
    <x v="0"/>
  </r>
  <r>
    <n v="2016"/>
    <s v="Senvion"/>
    <s v="MM100"/>
    <x v="2"/>
    <x v="3"/>
    <n v="4"/>
    <n v="36500"/>
    <x v="0"/>
  </r>
  <r>
    <n v="2016"/>
    <s v="Senvion"/>
    <s v="MM100"/>
    <x v="2"/>
    <x v="3"/>
    <n v="5"/>
    <n v="36500"/>
    <x v="0"/>
  </r>
  <r>
    <n v="2016"/>
    <s v="Senvion"/>
    <s v="MM100"/>
    <x v="2"/>
    <x v="3"/>
    <n v="6"/>
    <n v="39500"/>
    <x v="0"/>
  </r>
  <r>
    <n v="2016"/>
    <s v="Senvion"/>
    <s v="MM100"/>
    <x v="2"/>
    <x v="3"/>
    <n v="7"/>
    <n v="39500"/>
    <x v="0"/>
  </r>
  <r>
    <n v="2016"/>
    <s v="Senvion"/>
    <s v="MM100"/>
    <x v="2"/>
    <x v="3"/>
    <n v="8"/>
    <n v="39500"/>
    <x v="0"/>
  </r>
  <r>
    <n v="2016"/>
    <s v="Senvion"/>
    <s v="MM100"/>
    <x v="2"/>
    <x v="3"/>
    <n v="9"/>
    <n v="42500"/>
    <x v="0"/>
  </r>
  <r>
    <n v="2016"/>
    <s v="Senvion"/>
    <s v="MM100"/>
    <x v="2"/>
    <x v="3"/>
    <n v="10"/>
    <n v="42500"/>
    <x v="0"/>
  </r>
  <r>
    <n v="2016"/>
    <s v="Senvion"/>
    <s v="MM100"/>
    <x v="2"/>
    <x v="3"/>
    <n v="11"/>
    <n v="42500"/>
    <x v="0"/>
  </r>
  <r>
    <n v="2016"/>
    <s v="Senvion"/>
    <s v="MM100"/>
    <x v="2"/>
    <x v="3"/>
    <n v="12"/>
    <n v="46000"/>
    <x v="0"/>
  </r>
  <r>
    <n v="2016"/>
    <s v="Senvion"/>
    <s v="MM100"/>
    <x v="2"/>
    <x v="3"/>
    <n v="13"/>
    <n v="46000"/>
    <x v="0"/>
  </r>
  <r>
    <n v="2016"/>
    <s v="Senvion"/>
    <s v="MM100"/>
    <x v="2"/>
    <x v="3"/>
    <n v="14"/>
    <n v="46000"/>
    <x v="0"/>
  </r>
  <r>
    <n v="2016"/>
    <s v="Senvion"/>
    <s v="MM100"/>
    <x v="2"/>
    <x v="3"/>
    <n v="15"/>
    <n v="46000"/>
    <x v="0"/>
  </r>
  <r>
    <n v="2016"/>
    <s v="Senvion"/>
    <s v="MM100"/>
    <x v="2"/>
    <x v="3"/>
    <n v="16"/>
    <n v="50500"/>
    <x v="0"/>
  </r>
  <r>
    <n v="2016"/>
    <s v="Senvion"/>
    <s v="MM100"/>
    <x v="2"/>
    <x v="3"/>
    <n v="17"/>
    <n v="50500"/>
    <x v="0"/>
  </r>
  <r>
    <n v="2016"/>
    <s v="Senvion"/>
    <s v="MM100"/>
    <x v="2"/>
    <x v="3"/>
    <n v="18"/>
    <n v="50500"/>
    <x v="0"/>
  </r>
  <r>
    <n v="2016"/>
    <s v="Senvion"/>
    <s v="MM100"/>
    <x v="2"/>
    <x v="3"/>
    <n v="19"/>
    <n v="50500"/>
    <x v="0"/>
  </r>
  <r>
    <n v="2016"/>
    <s v="Senvion"/>
    <s v="MM100"/>
    <x v="2"/>
    <x v="3"/>
    <n v="20"/>
    <n v="50500"/>
    <x v="0"/>
  </r>
  <r>
    <n v="2017"/>
    <s v="Senvion"/>
    <s v="MD77"/>
    <x v="0"/>
    <x v="5"/>
    <n v="13"/>
    <n v="40200"/>
    <x v="1"/>
  </r>
  <r>
    <n v="2017"/>
    <s v="Senvion"/>
    <s v="MD77"/>
    <x v="0"/>
    <x v="5"/>
    <n v="14"/>
    <n v="40200"/>
    <x v="1"/>
  </r>
  <r>
    <n v="2017"/>
    <s v="Senvion"/>
    <s v="MD77"/>
    <x v="0"/>
    <x v="5"/>
    <n v="15"/>
    <n v="43700"/>
    <x v="1"/>
  </r>
  <r>
    <n v="2017"/>
    <s v="Senvion"/>
    <s v="MD77"/>
    <x v="0"/>
    <x v="5"/>
    <n v="16"/>
    <n v="43700"/>
    <x v="1"/>
  </r>
  <r>
    <n v="2017"/>
    <s v="Senvion"/>
    <s v="MD77"/>
    <x v="0"/>
    <x v="5"/>
    <n v="17"/>
    <n v="47000"/>
    <x v="1"/>
  </r>
  <r>
    <n v="2017"/>
    <s v="Senvion"/>
    <s v="MD77"/>
    <x v="0"/>
    <x v="5"/>
    <n v="18"/>
    <n v="47000"/>
    <x v="1"/>
  </r>
  <r>
    <n v="2017"/>
    <s v="Senvion"/>
    <s v="MD77"/>
    <x v="0"/>
    <x v="5"/>
    <n v="19"/>
    <n v="47000"/>
    <x v="1"/>
  </r>
  <r>
    <n v="2017"/>
    <s v="Senvion"/>
    <s v="MD77"/>
    <x v="0"/>
    <x v="5"/>
    <n v="20"/>
    <n v="47000"/>
    <x v="1"/>
  </r>
  <r>
    <n v="2016"/>
    <s v="Senvion"/>
    <s v="MD77"/>
    <x v="0"/>
    <x v="11"/>
    <n v="10"/>
    <n v="43000"/>
    <x v="1"/>
  </r>
  <r>
    <n v="2016"/>
    <s v="Senvion"/>
    <s v="MD77"/>
    <x v="0"/>
    <x v="11"/>
    <n v="11"/>
    <n v="43000"/>
    <x v="1"/>
  </r>
  <r>
    <n v="2016"/>
    <s v="Senvion"/>
    <s v="MD77"/>
    <x v="0"/>
    <x v="11"/>
    <n v="12"/>
    <n v="43000"/>
    <x v="1"/>
  </r>
  <r>
    <n v="2016"/>
    <s v="Senvion"/>
    <s v="MD77"/>
    <x v="0"/>
    <x v="11"/>
    <n v="13"/>
    <n v="45000"/>
    <x v="1"/>
  </r>
  <r>
    <n v="2016"/>
    <s v="Senvion"/>
    <s v="MD77"/>
    <x v="0"/>
    <x v="11"/>
    <n v="14"/>
    <n v="45000"/>
    <x v="1"/>
  </r>
  <r>
    <n v="2016"/>
    <s v="Senvion"/>
    <s v="MD77"/>
    <x v="0"/>
    <x v="11"/>
    <n v="15"/>
    <n v="45000"/>
    <x v="1"/>
  </r>
  <r>
    <n v="2016"/>
    <s v="Senvion"/>
    <s v="MD77"/>
    <x v="0"/>
    <x v="11"/>
    <n v="16"/>
    <n v="47000"/>
    <x v="1"/>
  </r>
  <r>
    <n v="2016"/>
    <s v="Senvion"/>
    <s v="MD77"/>
    <x v="0"/>
    <x v="11"/>
    <n v="17"/>
    <n v="47000"/>
    <x v="1"/>
  </r>
  <r>
    <n v="2016"/>
    <s v="Senvion"/>
    <s v="MD77"/>
    <x v="0"/>
    <x v="11"/>
    <n v="18"/>
    <n v="47000"/>
    <x v="1"/>
  </r>
  <r>
    <n v="2016"/>
    <s v="Senvion"/>
    <s v="MD77"/>
    <x v="0"/>
    <x v="11"/>
    <n v="19"/>
    <n v="47000"/>
    <x v="1"/>
  </r>
  <r>
    <n v="2016"/>
    <s v="Senvion"/>
    <s v="MD77"/>
    <x v="0"/>
    <x v="11"/>
    <n v="20"/>
    <n v="47000"/>
    <x v="1"/>
  </r>
  <r>
    <n v="2015"/>
    <s v="Nordex"/>
    <s v="N60"/>
    <x v="1"/>
    <x v="0"/>
    <n v="16"/>
    <n v="41000"/>
    <x v="1"/>
  </r>
  <r>
    <n v="2015"/>
    <s v="Nordex"/>
    <s v="N60"/>
    <x v="1"/>
    <x v="0"/>
    <n v="17"/>
    <n v="41000"/>
    <x v="1"/>
  </r>
  <r>
    <n v="2015"/>
    <s v="Nordex"/>
    <s v="N60"/>
    <x v="1"/>
    <x v="0"/>
    <n v="18"/>
    <n v="41000"/>
    <x v="1"/>
  </r>
  <r>
    <n v="2015"/>
    <s v="Nordex"/>
    <s v="N60"/>
    <x v="1"/>
    <x v="0"/>
    <n v="19"/>
    <n v="41000"/>
    <x v="1"/>
  </r>
  <r>
    <n v="2015"/>
    <s v="Nordex"/>
    <s v="N60"/>
    <x v="1"/>
    <x v="0"/>
    <n v="20"/>
    <n v="41000"/>
    <x v="1"/>
  </r>
  <r>
    <n v="2015"/>
    <s v="Nordex"/>
    <s v="S70"/>
    <x v="0"/>
    <x v="0"/>
    <n v="14"/>
    <n v="50500"/>
    <x v="1"/>
  </r>
  <r>
    <n v="2015"/>
    <s v="Nordex"/>
    <s v="S70"/>
    <x v="0"/>
    <x v="0"/>
    <n v="15"/>
    <n v="50500"/>
    <x v="1"/>
  </r>
  <r>
    <n v="2015"/>
    <s v="Nordex"/>
    <s v="S70"/>
    <x v="0"/>
    <x v="0"/>
    <n v="16"/>
    <n v="50500"/>
    <x v="1"/>
  </r>
  <r>
    <n v="2015"/>
    <s v="Nordex"/>
    <s v="S70"/>
    <x v="0"/>
    <x v="0"/>
    <n v="17"/>
    <n v="50500"/>
    <x v="1"/>
  </r>
  <r>
    <n v="2015"/>
    <s v="Nordex"/>
    <s v="S70"/>
    <x v="0"/>
    <x v="0"/>
    <n v="18"/>
    <n v="50500"/>
    <x v="1"/>
  </r>
  <r>
    <n v="2015"/>
    <s v="Nordex"/>
    <s v="S70"/>
    <x v="0"/>
    <x v="0"/>
    <n v="19"/>
    <n v="52500"/>
    <x v="1"/>
  </r>
  <r>
    <n v="2015"/>
    <s v="Nordex"/>
    <s v="S70"/>
    <x v="0"/>
    <x v="0"/>
    <n v="20"/>
    <n v="52500"/>
    <x v="1"/>
  </r>
  <r>
    <n v="2016"/>
    <s v="Nordex"/>
    <s v="N90"/>
    <x v="3"/>
    <x v="5"/>
    <n v="11"/>
    <n v="58000"/>
    <x v="0"/>
  </r>
  <r>
    <n v="2016"/>
    <s v="Nordex"/>
    <s v="N90"/>
    <x v="3"/>
    <x v="5"/>
    <n v="12"/>
    <n v="58000"/>
    <x v="0"/>
  </r>
  <r>
    <n v="2016"/>
    <s v="Nordex"/>
    <s v="N90"/>
    <x v="3"/>
    <x v="5"/>
    <n v="13"/>
    <n v="61000"/>
    <x v="0"/>
  </r>
  <r>
    <n v="2016"/>
    <s v="Nordex"/>
    <s v="N90"/>
    <x v="3"/>
    <x v="5"/>
    <n v="14"/>
    <n v="61000"/>
    <x v="0"/>
  </r>
  <r>
    <n v="2016"/>
    <s v="Nordex"/>
    <s v="N90"/>
    <x v="3"/>
    <x v="5"/>
    <n v="15"/>
    <n v="61000"/>
    <x v="0"/>
  </r>
  <r>
    <n v="2016"/>
    <s v="Nordex"/>
    <s v="N90"/>
    <x v="3"/>
    <x v="5"/>
    <n v="16"/>
    <n v="61000"/>
    <x v="0"/>
  </r>
  <r>
    <n v="2016"/>
    <s v="Nordex"/>
    <s v="N90"/>
    <x v="3"/>
    <x v="5"/>
    <n v="17"/>
    <n v="65000"/>
    <x v="0"/>
  </r>
  <r>
    <n v="2016"/>
    <s v="Nordex"/>
    <s v="N90"/>
    <x v="3"/>
    <x v="5"/>
    <n v="18"/>
    <n v="65000"/>
    <x v="0"/>
  </r>
  <r>
    <n v="2016"/>
    <s v="Nordex"/>
    <s v="N90"/>
    <x v="3"/>
    <x v="5"/>
    <n v="19"/>
    <n v="65000"/>
    <x v="0"/>
  </r>
  <r>
    <n v="2016"/>
    <s v="Nordex"/>
    <s v="N90"/>
    <x v="3"/>
    <x v="5"/>
    <n v="20"/>
    <n v="65000"/>
    <x v="0"/>
  </r>
  <r>
    <n v="2016"/>
    <s v="Nordex"/>
    <s v="N90"/>
    <x v="3"/>
    <x v="3"/>
    <n v="10"/>
    <n v="61000"/>
    <x v="0"/>
  </r>
  <r>
    <n v="2016"/>
    <s v="Nordex"/>
    <s v="N90"/>
    <x v="3"/>
    <x v="3"/>
    <n v="11"/>
    <n v="61000"/>
    <x v="0"/>
  </r>
  <r>
    <n v="2016"/>
    <s v="Nordex"/>
    <s v="N90"/>
    <x v="3"/>
    <x v="3"/>
    <n v="12"/>
    <n v="61000"/>
    <x v="0"/>
  </r>
  <r>
    <n v="2016"/>
    <s v="Nordex"/>
    <s v="N90"/>
    <x v="3"/>
    <x v="3"/>
    <n v="13"/>
    <n v="63500"/>
    <x v="0"/>
  </r>
  <r>
    <n v="2016"/>
    <s v="Nordex"/>
    <s v="N90"/>
    <x v="3"/>
    <x v="3"/>
    <n v="14"/>
    <n v="63500"/>
    <x v="0"/>
  </r>
  <r>
    <n v="2016"/>
    <s v="Nordex"/>
    <s v="N90"/>
    <x v="3"/>
    <x v="3"/>
    <n v="15"/>
    <n v="63500"/>
    <x v="0"/>
  </r>
  <r>
    <n v="2016"/>
    <s v="Nordex"/>
    <s v="N90"/>
    <x v="3"/>
    <x v="3"/>
    <n v="16"/>
    <n v="66000"/>
    <x v="0"/>
  </r>
  <r>
    <n v="2016"/>
    <s v="Nordex"/>
    <s v="N90"/>
    <x v="3"/>
    <x v="3"/>
    <n v="17"/>
    <n v="66000"/>
    <x v="0"/>
  </r>
  <r>
    <n v="2016"/>
    <s v="Nordex"/>
    <s v="N90"/>
    <x v="3"/>
    <x v="3"/>
    <n v="18"/>
    <n v="66000"/>
    <x v="0"/>
  </r>
  <r>
    <n v="2016"/>
    <s v="Nordex"/>
    <s v="N90"/>
    <x v="3"/>
    <x v="3"/>
    <n v="19"/>
    <n v="66000"/>
    <x v="0"/>
  </r>
  <r>
    <n v="2016"/>
    <s v="Nordex"/>
    <s v="N90"/>
    <x v="3"/>
    <x v="3"/>
    <n v="20"/>
    <n v="66000"/>
    <x v="0"/>
  </r>
  <r>
    <n v="2016"/>
    <s v="Senvion"/>
    <s v="MM92"/>
    <x v="2"/>
    <x v="1"/>
    <n v="6"/>
    <n v="38500"/>
    <x v="1"/>
  </r>
  <r>
    <n v="2016"/>
    <s v="Senvion"/>
    <s v="MM92"/>
    <x v="2"/>
    <x v="1"/>
    <n v="7"/>
    <n v="38500"/>
    <x v="1"/>
  </r>
  <r>
    <n v="2016"/>
    <s v="Senvion"/>
    <s v="MM92"/>
    <x v="2"/>
    <x v="1"/>
    <n v="8"/>
    <n v="38500"/>
    <x v="1"/>
  </r>
  <r>
    <n v="2016"/>
    <s v="Senvion"/>
    <s v="MM92"/>
    <x v="2"/>
    <x v="1"/>
    <n v="9"/>
    <n v="41500"/>
    <x v="1"/>
  </r>
  <r>
    <n v="2016"/>
    <s v="Senvion"/>
    <s v="MM92"/>
    <x v="2"/>
    <x v="1"/>
    <n v="10"/>
    <n v="41500"/>
    <x v="1"/>
  </r>
  <r>
    <n v="2016"/>
    <s v="Senvion"/>
    <s v="MM92"/>
    <x v="2"/>
    <x v="1"/>
    <n v="11"/>
    <n v="41500"/>
    <x v="1"/>
  </r>
  <r>
    <n v="2016"/>
    <s v="Senvion"/>
    <s v="MM92"/>
    <x v="2"/>
    <x v="1"/>
    <n v="12"/>
    <n v="45000"/>
    <x v="1"/>
  </r>
  <r>
    <n v="2016"/>
    <s v="Senvion"/>
    <s v="MM92"/>
    <x v="2"/>
    <x v="1"/>
    <n v="13"/>
    <n v="45000"/>
    <x v="1"/>
  </r>
  <r>
    <n v="2016"/>
    <s v="Senvion"/>
    <s v="MM92"/>
    <x v="2"/>
    <x v="1"/>
    <n v="14"/>
    <n v="45000"/>
    <x v="1"/>
  </r>
  <r>
    <n v="2016"/>
    <s v="Senvion"/>
    <s v="MM92"/>
    <x v="2"/>
    <x v="1"/>
    <n v="15"/>
    <n v="45000"/>
    <x v="1"/>
  </r>
  <r>
    <n v="2016"/>
    <s v="Senvion"/>
    <s v="MM92"/>
    <x v="2"/>
    <x v="1"/>
    <n v="16"/>
    <n v="49500"/>
    <x v="1"/>
  </r>
  <r>
    <n v="2016"/>
    <s v="Senvion"/>
    <s v="MM92"/>
    <x v="2"/>
    <x v="1"/>
    <n v="17"/>
    <n v="49500"/>
    <x v="1"/>
  </r>
  <r>
    <n v="2016"/>
    <s v="Senvion"/>
    <s v="MM92"/>
    <x v="2"/>
    <x v="1"/>
    <n v="18"/>
    <n v="49500"/>
    <x v="1"/>
  </r>
  <r>
    <n v="2016"/>
    <s v="Senvion"/>
    <s v="MM92"/>
    <x v="2"/>
    <x v="1"/>
    <n v="19"/>
    <n v="49500"/>
    <x v="1"/>
  </r>
  <r>
    <n v="2016"/>
    <s v="Senvion"/>
    <s v="MM92"/>
    <x v="2"/>
    <x v="1"/>
    <n v="20"/>
    <n v="49500"/>
    <x v="1"/>
  </r>
  <r>
    <n v="2015"/>
    <s v="Fuhrländer"/>
    <s v="FL77"/>
    <x v="0"/>
    <x v="0"/>
    <n v="11"/>
    <n v="39500"/>
    <x v="1"/>
  </r>
  <r>
    <n v="2015"/>
    <s v="Fuhrländer"/>
    <s v="FL78"/>
    <x v="0"/>
    <x v="0"/>
    <n v="12"/>
    <n v="39500"/>
    <x v="1"/>
  </r>
  <r>
    <n v="2015"/>
    <s v="Fuhrländer"/>
    <s v="FL79"/>
    <x v="0"/>
    <x v="0"/>
    <n v="13"/>
    <n v="39500"/>
    <x v="1"/>
  </r>
  <r>
    <n v="2015"/>
    <s v="Fuhrländer"/>
    <s v="FL80"/>
    <x v="0"/>
    <x v="0"/>
    <n v="14"/>
    <n v="39500"/>
    <x v="1"/>
  </r>
  <r>
    <n v="2015"/>
    <s v="Fuhrländer"/>
    <s v="FL81"/>
    <x v="0"/>
    <x v="0"/>
    <n v="15"/>
    <n v="44000"/>
    <x v="1"/>
  </r>
  <r>
    <n v="2015"/>
    <s v="Fuhrländer"/>
    <s v="FL82"/>
    <x v="0"/>
    <x v="0"/>
    <n v="16"/>
    <n v="44000"/>
    <x v="1"/>
  </r>
  <r>
    <n v="2015"/>
    <s v="Fuhrländer"/>
    <s v="FL83"/>
    <x v="0"/>
    <x v="0"/>
    <n v="17"/>
    <n v="44000"/>
    <x v="1"/>
  </r>
  <r>
    <n v="2015"/>
    <s v="Fuhrländer"/>
    <s v="FL84"/>
    <x v="0"/>
    <x v="0"/>
    <n v="18"/>
    <n v="44000"/>
    <x v="1"/>
  </r>
  <r>
    <n v="2015"/>
    <s v="Fuhrländer"/>
    <s v="FL85"/>
    <x v="0"/>
    <x v="0"/>
    <n v="19"/>
    <n v="49500"/>
    <x v="1"/>
  </r>
  <r>
    <n v="2015"/>
    <s v="Fuhrländer"/>
    <s v="FL86"/>
    <x v="0"/>
    <x v="0"/>
    <n v="20"/>
    <n v="49500"/>
    <x v="1"/>
  </r>
  <r>
    <n v="2014"/>
    <s v="Senvion"/>
    <s v="MD77"/>
    <x v="0"/>
    <x v="3"/>
    <n v="15"/>
    <n v="43500"/>
    <x v="0"/>
  </r>
  <r>
    <n v="2014"/>
    <s v="Senvion"/>
    <s v="MD77"/>
    <x v="0"/>
    <x v="3"/>
    <n v="16"/>
    <n v="43500"/>
    <x v="0"/>
  </r>
  <r>
    <n v="2014"/>
    <s v="Senvion"/>
    <s v="MD77"/>
    <x v="0"/>
    <x v="3"/>
    <n v="17"/>
    <n v="47000"/>
    <x v="0"/>
  </r>
  <r>
    <n v="2014"/>
    <s v="Senvion"/>
    <s v="MD77"/>
    <x v="0"/>
    <x v="3"/>
    <n v="18"/>
    <n v="47000"/>
    <x v="0"/>
  </r>
  <r>
    <n v="2014"/>
    <s v="Senvion"/>
    <s v="MD77"/>
    <x v="0"/>
    <x v="3"/>
    <n v="19"/>
    <n v="47000"/>
    <x v="0"/>
  </r>
  <r>
    <n v="2014"/>
    <s v="Senvion"/>
    <s v="MD77"/>
    <x v="0"/>
    <x v="3"/>
    <n v="20"/>
    <n v="47000"/>
    <x v="0"/>
  </r>
  <r>
    <n v="2014"/>
    <s v="Senvion"/>
    <s v="MD77"/>
    <x v="0"/>
    <x v="5"/>
    <n v="11"/>
    <n v="39500"/>
    <x v="0"/>
  </r>
  <r>
    <n v="2014"/>
    <s v="Senvion"/>
    <s v="MD77"/>
    <x v="0"/>
    <x v="5"/>
    <n v="12"/>
    <n v="39500"/>
    <x v="0"/>
  </r>
  <r>
    <n v="2014"/>
    <s v="Senvion"/>
    <s v="MD77"/>
    <x v="0"/>
    <x v="5"/>
    <n v="13"/>
    <n v="39500"/>
    <x v="0"/>
  </r>
  <r>
    <n v="2014"/>
    <s v="Senvion"/>
    <s v="MD77"/>
    <x v="0"/>
    <x v="5"/>
    <n v="14"/>
    <n v="43500"/>
    <x v="0"/>
  </r>
  <r>
    <n v="2014"/>
    <s v="Senvion"/>
    <s v="MD77"/>
    <x v="0"/>
    <x v="5"/>
    <n v="15"/>
    <n v="43500"/>
    <x v="0"/>
  </r>
  <r>
    <n v="2014"/>
    <s v="Senvion"/>
    <s v="MD77"/>
    <x v="0"/>
    <x v="5"/>
    <n v="16"/>
    <n v="43500"/>
    <x v="0"/>
  </r>
  <r>
    <n v="2014"/>
    <s v="Senvion"/>
    <s v="MD77"/>
    <x v="0"/>
    <x v="5"/>
    <n v="17"/>
    <n v="47000"/>
    <x v="0"/>
  </r>
  <r>
    <n v="2014"/>
    <s v="Senvion"/>
    <s v="MD77"/>
    <x v="0"/>
    <x v="5"/>
    <n v="18"/>
    <n v="47000"/>
    <x v="0"/>
  </r>
  <r>
    <n v="2014"/>
    <s v="Senvion"/>
    <s v="MD77"/>
    <x v="0"/>
    <x v="5"/>
    <n v="19"/>
    <n v="47000"/>
    <x v="0"/>
  </r>
  <r>
    <n v="2014"/>
    <s v="Senvion"/>
    <s v="MD77"/>
    <x v="0"/>
    <x v="5"/>
    <n v="20"/>
    <n v="47000"/>
    <x v="0"/>
  </r>
  <r>
    <n v="2014"/>
    <s v="Senvion"/>
    <s v="MM82"/>
    <x v="2"/>
    <x v="3"/>
    <n v="10"/>
    <n v="56500"/>
    <x v="0"/>
  </r>
  <r>
    <n v="2014"/>
    <s v="Senvion"/>
    <s v="MM82"/>
    <x v="2"/>
    <x v="3"/>
    <n v="11"/>
    <n v="56500"/>
    <x v="0"/>
  </r>
  <r>
    <n v="2014"/>
    <s v="Senvion"/>
    <s v="MM82"/>
    <x v="2"/>
    <x v="3"/>
    <n v="12"/>
    <n v="56500"/>
    <x v="0"/>
  </r>
  <r>
    <n v="2014"/>
    <s v="Senvion"/>
    <s v="MM82"/>
    <x v="2"/>
    <x v="3"/>
    <n v="13"/>
    <n v="56500"/>
    <x v="0"/>
  </r>
  <r>
    <n v="2014"/>
    <s v="Senvion"/>
    <s v="MM82"/>
    <x v="2"/>
    <x v="3"/>
    <n v="14"/>
    <n v="56500"/>
    <x v="0"/>
  </r>
  <r>
    <n v="2014"/>
    <s v="Senvion"/>
    <s v="MM82"/>
    <x v="2"/>
    <x v="3"/>
    <n v="15"/>
    <n v="56500"/>
    <x v="0"/>
  </r>
  <r>
    <n v="2014"/>
    <s v="Senvion"/>
    <s v="MM82"/>
    <x v="2"/>
    <x v="3"/>
    <n v="16"/>
    <n v="58500"/>
    <x v="0"/>
  </r>
  <r>
    <n v="2014"/>
    <s v="Senvion"/>
    <s v="MM82"/>
    <x v="2"/>
    <x v="3"/>
    <n v="17"/>
    <n v="58500"/>
    <x v="0"/>
  </r>
  <r>
    <n v="2014"/>
    <s v="Senvion"/>
    <s v="MM82"/>
    <x v="2"/>
    <x v="3"/>
    <n v="18"/>
    <n v="58500"/>
    <x v="0"/>
  </r>
  <r>
    <n v="2014"/>
    <s v="Senvion"/>
    <s v="MM82"/>
    <x v="2"/>
    <x v="3"/>
    <n v="19"/>
    <n v="58500"/>
    <x v="0"/>
  </r>
  <r>
    <n v="2014"/>
    <s v="Senvion"/>
    <s v="MM82"/>
    <x v="2"/>
    <x v="3"/>
    <n v="20"/>
    <n v="58500"/>
    <x v="0"/>
  </r>
  <r>
    <n v="2015"/>
    <s v="Nordex"/>
    <s v="S70"/>
    <x v="0"/>
    <x v="3"/>
    <n v="1"/>
    <n v="43500"/>
    <x v="0"/>
  </r>
  <r>
    <n v="2015"/>
    <s v="Nordex"/>
    <s v="S70"/>
    <x v="0"/>
    <x v="3"/>
    <n v="2"/>
    <n v="43500"/>
    <x v="0"/>
  </r>
  <r>
    <n v="2015"/>
    <s v="Nordex"/>
    <s v="S70"/>
    <x v="0"/>
    <x v="3"/>
    <n v="3"/>
    <n v="43500"/>
    <x v="0"/>
  </r>
  <r>
    <n v="2015"/>
    <s v="Nordex"/>
    <s v="S70"/>
    <x v="0"/>
    <x v="3"/>
    <n v="4"/>
    <n v="43500"/>
    <x v="0"/>
  </r>
  <r>
    <n v="2015"/>
    <s v="Nordex"/>
    <s v="S70"/>
    <x v="0"/>
    <x v="3"/>
    <n v="5"/>
    <n v="43500"/>
    <x v="0"/>
  </r>
  <r>
    <n v="2015"/>
    <s v="Nordex"/>
    <s v="S70"/>
    <x v="0"/>
    <x v="3"/>
    <n v="6"/>
    <n v="45000"/>
    <x v="0"/>
  </r>
  <r>
    <n v="2015"/>
    <s v="Nordex"/>
    <s v="S70"/>
    <x v="0"/>
    <x v="3"/>
    <n v="7"/>
    <n v="45000"/>
    <x v="0"/>
  </r>
  <r>
    <n v="2015"/>
    <s v="Nordex"/>
    <s v="S70"/>
    <x v="0"/>
    <x v="3"/>
    <n v="8"/>
    <n v="45000"/>
    <x v="0"/>
  </r>
  <r>
    <n v="2015"/>
    <s v="Nordex"/>
    <s v="S70"/>
    <x v="0"/>
    <x v="3"/>
    <n v="9"/>
    <n v="45000"/>
    <x v="0"/>
  </r>
  <r>
    <n v="2015"/>
    <s v="Nordex"/>
    <s v="N90"/>
    <x v="3"/>
    <x v="2"/>
    <n v="10"/>
    <n v="59000"/>
    <x v="1"/>
  </r>
  <r>
    <n v="2015"/>
    <s v="Nordex"/>
    <s v="N90"/>
    <x v="3"/>
    <x v="2"/>
    <n v="11"/>
    <n v="59000"/>
    <x v="1"/>
  </r>
  <r>
    <n v="2015"/>
    <s v="Nordex"/>
    <s v="N90"/>
    <x v="3"/>
    <x v="2"/>
    <n v="12"/>
    <n v="59000"/>
    <x v="1"/>
  </r>
  <r>
    <n v="2015"/>
    <s v="Nordex"/>
    <s v="N90"/>
    <x v="3"/>
    <x v="2"/>
    <n v="13"/>
    <n v="64000"/>
    <x v="1"/>
  </r>
  <r>
    <n v="2015"/>
    <s v="Nordex"/>
    <s v="N90"/>
    <x v="3"/>
    <x v="2"/>
    <n v="14"/>
    <n v="64000"/>
    <x v="1"/>
  </r>
  <r>
    <n v="2015"/>
    <s v="Nordex"/>
    <s v="N90"/>
    <x v="3"/>
    <x v="2"/>
    <n v="15"/>
    <n v="64000"/>
    <x v="1"/>
  </r>
  <r>
    <n v="2015"/>
    <s v="Nordex"/>
    <s v="N90"/>
    <x v="3"/>
    <x v="2"/>
    <n v="16"/>
    <n v="64000"/>
    <x v="1"/>
  </r>
  <r>
    <n v="2015"/>
    <s v="Nordex"/>
    <s v="N90"/>
    <x v="3"/>
    <x v="2"/>
    <n v="17"/>
    <n v="69000"/>
    <x v="1"/>
  </r>
  <r>
    <n v="2015"/>
    <s v="Nordex"/>
    <s v="N90"/>
    <x v="3"/>
    <x v="2"/>
    <n v="18"/>
    <n v="69000"/>
    <x v="1"/>
  </r>
  <r>
    <n v="2015"/>
    <s v="Nordex"/>
    <s v="N90"/>
    <x v="3"/>
    <x v="2"/>
    <n v="19"/>
    <n v="69000"/>
    <x v="1"/>
  </r>
  <r>
    <n v="2015"/>
    <s v="Nordex"/>
    <s v="N90"/>
    <x v="3"/>
    <x v="2"/>
    <n v="20"/>
    <n v="69000"/>
    <x v="1"/>
  </r>
  <r>
    <n v="2016"/>
    <s v="Senvion"/>
    <s v="MD77"/>
    <x v="0"/>
    <x v="11"/>
    <n v="15"/>
    <n v="41800"/>
    <x v="1"/>
  </r>
  <r>
    <n v="2016"/>
    <s v="Senvion"/>
    <s v="MD77"/>
    <x v="0"/>
    <x v="11"/>
    <n v="16"/>
    <n v="41800"/>
    <x v="1"/>
  </r>
  <r>
    <n v="2016"/>
    <s v="Senvion"/>
    <s v="MD77"/>
    <x v="0"/>
    <x v="11"/>
    <n v="17"/>
    <n v="41800"/>
    <x v="1"/>
  </r>
  <r>
    <n v="2016"/>
    <s v="Senvion"/>
    <s v="MD77"/>
    <x v="0"/>
    <x v="11"/>
    <n v="18"/>
    <n v="41800"/>
    <x v="1"/>
  </r>
  <r>
    <n v="2016"/>
    <s v="Senvion"/>
    <s v="MD77"/>
    <x v="0"/>
    <x v="11"/>
    <n v="19"/>
    <n v="41800"/>
    <x v="1"/>
  </r>
  <r>
    <n v="2016"/>
    <s v="Senvion"/>
    <s v="MD77"/>
    <x v="0"/>
    <x v="11"/>
    <n v="20"/>
    <n v="41800"/>
    <x v="1"/>
  </r>
  <r>
    <n v="2016"/>
    <s v="Nordex"/>
    <s v="S77"/>
    <x v="0"/>
    <x v="1"/>
    <n v="10"/>
    <n v="39500"/>
    <x v="1"/>
  </r>
  <r>
    <n v="2016"/>
    <s v="Nordex"/>
    <s v="S77"/>
    <x v="0"/>
    <x v="1"/>
    <n v="11"/>
    <n v="39500"/>
    <x v="1"/>
  </r>
  <r>
    <n v="2016"/>
    <s v="Nordex"/>
    <s v="S77"/>
    <x v="0"/>
    <x v="1"/>
    <n v="12"/>
    <n v="39500"/>
    <x v="1"/>
  </r>
  <r>
    <n v="2016"/>
    <s v="Nordex"/>
    <s v="S77"/>
    <x v="0"/>
    <x v="1"/>
    <n v="13"/>
    <n v="42500"/>
    <x v="1"/>
  </r>
  <r>
    <n v="2016"/>
    <s v="Nordex"/>
    <s v="S77"/>
    <x v="0"/>
    <x v="1"/>
    <n v="14"/>
    <n v="42500"/>
    <x v="1"/>
  </r>
  <r>
    <n v="2016"/>
    <s v="Nordex"/>
    <s v="S77"/>
    <x v="0"/>
    <x v="1"/>
    <n v="15"/>
    <n v="42500"/>
    <x v="1"/>
  </r>
  <r>
    <n v="2016"/>
    <s v="Nordex"/>
    <s v="S77"/>
    <x v="0"/>
    <x v="1"/>
    <n v="16"/>
    <n v="46000"/>
    <x v="1"/>
  </r>
  <r>
    <n v="2016"/>
    <s v="Nordex"/>
    <s v="S77"/>
    <x v="0"/>
    <x v="1"/>
    <n v="17"/>
    <n v="46000"/>
    <x v="1"/>
  </r>
  <r>
    <n v="2016"/>
    <s v="Nordex"/>
    <s v="S77"/>
    <x v="0"/>
    <x v="1"/>
    <n v="18"/>
    <n v="46000"/>
    <x v="1"/>
  </r>
  <r>
    <n v="2016"/>
    <s v="Nordex"/>
    <s v="S77"/>
    <x v="0"/>
    <x v="1"/>
    <n v="19"/>
    <n v="48500"/>
    <x v="1"/>
  </r>
  <r>
    <n v="2016"/>
    <s v="Nordex"/>
    <s v="S77"/>
    <x v="0"/>
    <x v="1"/>
    <n v="20"/>
    <n v="48500"/>
    <x v="1"/>
  </r>
  <r>
    <n v="2016"/>
    <s v="Senvion"/>
    <s v="MD77"/>
    <x v="0"/>
    <x v="3"/>
    <n v="13"/>
    <n v="42500"/>
    <x v="0"/>
  </r>
  <r>
    <n v="2016"/>
    <s v="Senvion"/>
    <s v="MD77"/>
    <x v="0"/>
    <x v="3"/>
    <n v="14"/>
    <n v="42500"/>
    <x v="0"/>
  </r>
  <r>
    <n v="2016"/>
    <s v="Senvion"/>
    <s v="MD77"/>
    <x v="0"/>
    <x v="3"/>
    <n v="15"/>
    <n v="42500"/>
    <x v="0"/>
  </r>
  <r>
    <n v="2016"/>
    <s v="Senvion"/>
    <s v="MD77"/>
    <x v="0"/>
    <x v="3"/>
    <n v="16"/>
    <n v="42500"/>
    <x v="0"/>
  </r>
  <r>
    <n v="2016"/>
    <s v="Senvion"/>
    <s v="MD77"/>
    <x v="0"/>
    <x v="3"/>
    <n v="17"/>
    <n v="46500"/>
    <x v="0"/>
  </r>
  <r>
    <n v="2016"/>
    <s v="Senvion"/>
    <s v="MD77"/>
    <x v="0"/>
    <x v="3"/>
    <n v="18"/>
    <n v="46500"/>
    <x v="0"/>
  </r>
  <r>
    <n v="2016"/>
    <s v="Senvion"/>
    <s v="MD77"/>
    <x v="0"/>
    <x v="3"/>
    <n v="19"/>
    <n v="46500"/>
    <x v="0"/>
  </r>
  <r>
    <n v="2016"/>
    <s v="Senvion"/>
    <s v="MD77"/>
    <x v="0"/>
    <x v="3"/>
    <n v="20"/>
    <n v="46500"/>
    <x v="0"/>
  </r>
  <r>
    <n v="2016"/>
    <s v="Senvion"/>
    <s v="MD77"/>
    <x v="0"/>
    <x v="1"/>
    <n v="12"/>
    <n v="40500"/>
    <x v="1"/>
  </r>
  <r>
    <n v="2016"/>
    <s v="Senvion"/>
    <s v="MD77"/>
    <x v="0"/>
    <x v="1"/>
    <n v="13"/>
    <n v="40500"/>
    <x v="1"/>
  </r>
  <r>
    <n v="2016"/>
    <s v="Senvion"/>
    <s v="MD77"/>
    <x v="0"/>
    <x v="1"/>
    <n v="14"/>
    <n v="40500"/>
    <x v="1"/>
  </r>
  <r>
    <n v="2016"/>
    <s v="Senvion"/>
    <s v="MD77"/>
    <x v="0"/>
    <x v="1"/>
    <n v="15"/>
    <n v="44500"/>
    <x v="1"/>
  </r>
  <r>
    <n v="2016"/>
    <s v="Senvion"/>
    <s v="MD77"/>
    <x v="0"/>
    <x v="1"/>
    <n v="16"/>
    <n v="44500"/>
    <x v="1"/>
  </r>
  <r>
    <n v="2016"/>
    <s v="Senvion"/>
    <s v="MD77"/>
    <x v="0"/>
    <x v="1"/>
    <n v="17"/>
    <n v="47500"/>
    <x v="1"/>
  </r>
  <r>
    <n v="2016"/>
    <s v="Senvion"/>
    <s v="MD77"/>
    <x v="0"/>
    <x v="1"/>
    <n v="18"/>
    <n v="47500"/>
    <x v="1"/>
  </r>
  <r>
    <n v="2016"/>
    <s v="Senvion"/>
    <s v="MD77"/>
    <x v="0"/>
    <x v="1"/>
    <n v="19"/>
    <n v="47500"/>
    <x v="1"/>
  </r>
  <r>
    <n v="2016"/>
    <s v="Senvion"/>
    <s v="MD77"/>
    <x v="0"/>
    <x v="1"/>
    <n v="20"/>
    <n v="47500"/>
    <x v="1"/>
  </r>
  <r>
    <n v="2016"/>
    <s v="Nordex"/>
    <s v="S77"/>
    <x v="0"/>
    <x v="0"/>
    <n v="13"/>
    <n v="51500"/>
    <x v="1"/>
  </r>
  <r>
    <n v="2016"/>
    <s v="Nordex"/>
    <s v="S77"/>
    <x v="0"/>
    <x v="0"/>
    <n v="14"/>
    <n v="51500"/>
    <x v="1"/>
  </r>
  <r>
    <n v="2016"/>
    <s v="Nordex"/>
    <s v="S77"/>
    <x v="0"/>
    <x v="0"/>
    <n v="15"/>
    <n v="51500"/>
    <x v="1"/>
  </r>
  <r>
    <n v="2016"/>
    <s v="Nordex"/>
    <s v="S77"/>
    <x v="0"/>
    <x v="0"/>
    <n v="16"/>
    <n v="56500"/>
    <x v="1"/>
  </r>
  <r>
    <n v="2016"/>
    <s v="Nordex"/>
    <s v="S77"/>
    <x v="0"/>
    <x v="0"/>
    <n v="17"/>
    <n v="56500"/>
    <x v="1"/>
  </r>
  <r>
    <n v="2016"/>
    <s v="Nordex"/>
    <s v="S77"/>
    <x v="0"/>
    <x v="0"/>
    <n v="18"/>
    <n v="56500"/>
    <x v="1"/>
  </r>
  <r>
    <n v="2016"/>
    <s v="Nordex"/>
    <s v="S77"/>
    <x v="0"/>
    <x v="0"/>
    <n v="19"/>
    <n v="56500"/>
    <x v="1"/>
  </r>
  <r>
    <n v="2016"/>
    <s v="Nordex"/>
    <s v="S77"/>
    <x v="0"/>
    <x v="0"/>
    <n v="20"/>
    <n v="56500"/>
    <x v="1"/>
  </r>
  <r>
    <n v="2015"/>
    <s v="Senvion"/>
    <s v="MD70"/>
    <x v="0"/>
    <x v="0"/>
    <n v="13"/>
    <n v="43500"/>
    <x v="0"/>
  </r>
  <r>
    <n v="2015"/>
    <s v="Senvion"/>
    <s v="MD70"/>
    <x v="0"/>
    <x v="0"/>
    <n v="14"/>
    <n v="43500"/>
    <x v="0"/>
  </r>
  <r>
    <n v="2015"/>
    <s v="Senvion"/>
    <s v="MD70"/>
    <x v="0"/>
    <x v="0"/>
    <n v="15"/>
    <n v="45500"/>
    <x v="0"/>
  </r>
  <r>
    <n v="2015"/>
    <s v="Senvion"/>
    <s v="MD70"/>
    <x v="0"/>
    <x v="0"/>
    <n v="16"/>
    <n v="45500"/>
    <x v="0"/>
  </r>
  <r>
    <n v="2015"/>
    <s v="Senvion"/>
    <s v="MD70"/>
    <x v="0"/>
    <x v="0"/>
    <n v="17"/>
    <n v="45500"/>
    <x v="0"/>
  </r>
  <r>
    <n v="2015"/>
    <s v="Senvion"/>
    <s v="MD70"/>
    <x v="0"/>
    <x v="0"/>
    <n v="18"/>
    <n v="47500"/>
    <x v="0"/>
  </r>
  <r>
    <n v="2015"/>
    <s v="Senvion"/>
    <s v="MD70"/>
    <x v="0"/>
    <x v="0"/>
    <n v="19"/>
    <n v="47500"/>
    <x v="0"/>
  </r>
  <r>
    <n v="2015"/>
    <s v="Senvion"/>
    <s v="MD70"/>
    <x v="0"/>
    <x v="0"/>
    <n v="20"/>
    <n v="47500"/>
    <x v="0"/>
  </r>
  <r>
    <n v="2017"/>
    <s v="Senvion"/>
    <s v="MM92"/>
    <x v="2"/>
    <x v="3"/>
    <n v="11"/>
    <n v="38500"/>
    <x v="1"/>
  </r>
  <r>
    <n v="2017"/>
    <s v="Senvion"/>
    <s v="MM92"/>
    <x v="2"/>
    <x v="3"/>
    <n v="12"/>
    <n v="38500"/>
    <x v="1"/>
  </r>
  <r>
    <n v="2017"/>
    <s v="Senvion"/>
    <s v="MM92"/>
    <x v="2"/>
    <x v="3"/>
    <n v="13"/>
    <n v="42500"/>
    <x v="1"/>
  </r>
  <r>
    <n v="2017"/>
    <s v="Senvion"/>
    <s v="MM92"/>
    <x v="2"/>
    <x v="3"/>
    <n v="14"/>
    <n v="42500"/>
    <x v="1"/>
  </r>
  <r>
    <n v="2017"/>
    <s v="Senvion"/>
    <s v="MM92"/>
    <x v="2"/>
    <x v="3"/>
    <n v="15"/>
    <n v="42500"/>
    <x v="1"/>
  </r>
  <r>
    <n v="2017"/>
    <s v="Senvion"/>
    <s v="MM92"/>
    <x v="2"/>
    <x v="3"/>
    <n v="16"/>
    <n v="42500"/>
    <x v="1"/>
  </r>
  <r>
    <n v="2017"/>
    <s v="Senvion"/>
    <s v="MM92"/>
    <x v="2"/>
    <x v="3"/>
    <n v="17"/>
    <n v="47000"/>
    <x v="1"/>
  </r>
  <r>
    <n v="2017"/>
    <s v="Senvion"/>
    <s v="MM92"/>
    <x v="2"/>
    <x v="3"/>
    <n v="18"/>
    <n v="47000"/>
    <x v="1"/>
  </r>
  <r>
    <n v="2017"/>
    <s v="Senvion"/>
    <s v="MM92"/>
    <x v="2"/>
    <x v="3"/>
    <n v="19"/>
    <n v="47000"/>
    <x v="1"/>
  </r>
  <r>
    <n v="2017"/>
    <s v="Senvion"/>
    <s v="MM92"/>
    <x v="2"/>
    <x v="3"/>
    <n v="20"/>
    <n v="47000"/>
    <x v="1"/>
  </r>
  <r>
    <n v="2014"/>
    <s v="Senvion"/>
    <s v="3.2M"/>
    <x v="6"/>
    <x v="3"/>
    <n v="3"/>
    <n v="76000"/>
    <x v="0"/>
  </r>
  <r>
    <n v="2014"/>
    <s v="Senvion"/>
    <s v="3.2M"/>
    <x v="6"/>
    <x v="3"/>
    <n v="4"/>
    <n v="76000"/>
    <x v="0"/>
  </r>
  <r>
    <n v="2014"/>
    <s v="Senvion"/>
    <s v="3.2M"/>
    <x v="6"/>
    <x v="3"/>
    <n v="5"/>
    <n v="76000"/>
    <x v="0"/>
  </r>
  <r>
    <n v="2014"/>
    <s v="Senvion"/>
    <s v="3.2M"/>
    <x v="6"/>
    <x v="3"/>
    <n v="6"/>
    <n v="87000"/>
    <x v="0"/>
  </r>
  <r>
    <n v="2014"/>
    <s v="Senvion"/>
    <s v="3.2M"/>
    <x v="6"/>
    <x v="3"/>
    <n v="7"/>
    <n v="87000"/>
    <x v="0"/>
  </r>
  <r>
    <n v="2014"/>
    <s v="Senvion"/>
    <s v="3.2M"/>
    <x v="6"/>
    <x v="3"/>
    <n v="8"/>
    <n v="87000"/>
    <x v="0"/>
  </r>
  <r>
    <n v="2014"/>
    <s v="Senvion"/>
    <s v="3.2M"/>
    <x v="6"/>
    <x v="3"/>
    <n v="9"/>
    <n v="87000"/>
    <x v="0"/>
  </r>
  <r>
    <n v="2014"/>
    <s v="Senvion"/>
    <s v="3.2M"/>
    <x v="6"/>
    <x v="3"/>
    <n v="10"/>
    <n v="96000"/>
    <x v="0"/>
  </r>
  <r>
    <n v="2014"/>
    <s v="Senvion"/>
    <s v="3.2M"/>
    <x v="6"/>
    <x v="3"/>
    <n v="11"/>
    <n v="96000"/>
    <x v="0"/>
  </r>
  <r>
    <n v="2014"/>
    <s v="Senvion"/>
    <s v="3.2M"/>
    <x v="6"/>
    <x v="3"/>
    <n v="12"/>
    <n v="96000"/>
    <x v="0"/>
  </r>
  <r>
    <n v="2014"/>
    <s v="Senvion"/>
    <s v="3.2M"/>
    <x v="6"/>
    <x v="3"/>
    <n v="13"/>
    <n v="96000"/>
    <x v="0"/>
  </r>
  <r>
    <n v="2014"/>
    <s v="Senvion"/>
    <s v="3.2M"/>
    <x v="6"/>
    <x v="3"/>
    <n v="14"/>
    <n v="96000"/>
    <x v="0"/>
  </r>
  <r>
    <n v="2014"/>
    <s v="Senvion"/>
    <s v="3.2M"/>
    <x v="6"/>
    <x v="3"/>
    <n v="15"/>
    <n v="96000"/>
    <x v="0"/>
  </r>
  <r>
    <n v="2014"/>
    <s v="Senvion"/>
    <s v="3.2M"/>
    <x v="6"/>
    <x v="3"/>
    <n v="16"/>
    <n v="115000"/>
    <x v="0"/>
  </r>
  <r>
    <n v="2014"/>
    <s v="Senvion"/>
    <s v="3.2M"/>
    <x v="6"/>
    <x v="3"/>
    <n v="17"/>
    <n v="115000"/>
    <x v="0"/>
  </r>
  <r>
    <n v="2014"/>
    <s v="Senvion"/>
    <s v="3.2M"/>
    <x v="6"/>
    <x v="3"/>
    <n v="18"/>
    <n v="115000"/>
    <x v="0"/>
  </r>
  <r>
    <n v="2014"/>
    <s v="Senvion"/>
    <s v="3.2M"/>
    <x v="6"/>
    <x v="3"/>
    <n v="19"/>
    <n v="115000"/>
    <x v="0"/>
  </r>
  <r>
    <n v="2014"/>
    <s v="Senvion"/>
    <s v="3.2M"/>
    <x v="6"/>
    <x v="3"/>
    <n v="20"/>
    <n v="115000"/>
    <x v="0"/>
  </r>
  <r>
    <n v="2016"/>
    <s v="Senvion"/>
    <s v="MD77"/>
    <x v="0"/>
    <x v="3"/>
    <n v="13"/>
    <n v="40000"/>
    <x v="0"/>
  </r>
  <r>
    <n v="2016"/>
    <s v="Senvion"/>
    <s v="MD77"/>
    <x v="0"/>
    <x v="3"/>
    <n v="14"/>
    <n v="40000"/>
    <x v="0"/>
  </r>
  <r>
    <n v="2016"/>
    <s v="Senvion"/>
    <s v="MD77"/>
    <x v="0"/>
    <x v="3"/>
    <n v="15"/>
    <n v="44000"/>
    <x v="0"/>
  </r>
  <r>
    <n v="2016"/>
    <s v="Senvion"/>
    <s v="MD77"/>
    <x v="0"/>
    <x v="3"/>
    <n v="16"/>
    <n v="44000"/>
    <x v="0"/>
  </r>
  <r>
    <n v="2016"/>
    <s v="Senvion"/>
    <s v="MD77"/>
    <x v="0"/>
    <x v="3"/>
    <n v="17"/>
    <n v="47000"/>
    <x v="0"/>
  </r>
  <r>
    <n v="2016"/>
    <s v="Senvion"/>
    <s v="MD77"/>
    <x v="0"/>
    <x v="3"/>
    <n v="18"/>
    <n v="47000"/>
    <x v="0"/>
  </r>
  <r>
    <n v="2016"/>
    <s v="Senvion"/>
    <s v="MD77"/>
    <x v="0"/>
    <x v="3"/>
    <n v="19"/>
    <n v="47000"/>
    <x v="0"/>
  </r>
  <r>
    <n v="2016"/>
    <s v="Senvion"/>
    <s v="MD77"/>
    <x v="0"/>
    <x v="3"/>
    <n v="20"/>
    <n v="47000"/>
    <x v="0"/>
  </r>
  <r>
    <n v="2016"/>
    <s v="Nordex"/>
    <s v="N117"/>
    <x v="5"/>
    <x v="12"/>
    <n v="3"/>
    <n v="54000"/>
    <x v="0"/>
  </r>
  <r>
    <n v="2016"/>
    <s v="Nordex"/>
    <s v="N117"/>
    <x v="5"/>
    <x v="12"/>
    <n v="4"/>
    <n v="54000"/>
    <x v="0"/>
  </r>
  <r>
    <n v="2016"/>
    <s v="Nordex"/>
    <s v="N117"/>
    <x v="5"/>
    <x v="12"/>
    <n v="5"/>
    <n v="54000"/>
    <x v="0"/>
  </r>
  <r>
    <n v="2016"/>
    <s v="Nordex"/>
    <s v="N117"/>
    <x v="5"/>
    <x v="12"/>
    <n v="6"/>
    <n v="59000"/>
    <x v="0"/>
  </r>
  <r>
    <n v="2016"/>
    <s v="Nordex"/>
    <s v="N117"/>
    <x v="5"/>
    <x v="12"/>
    <n v="7"/>
    <n v="59000"/>
    <x v="0"/>
  </r>
  <r>
    <n v="2016"/>
    <s v="Nordex"/>
    <s v="N117"/>
    <x v="5"/>
    <x v="12"/>
    <n v="8"/>
    <n v="59000"/>
    <x v="0"/>
  </r>
  <r>
    <n v="2016"/>
    <s v="Nordex"/>
    <s v="N117"/>
    <x v="5"/>
    <x v="12"/>
    <n v="9"/>
    <n v="59000"/>
    <x v="0"/>
  </r>
  <r>
    <n v="2016"/>
    <s v="Nordex"/>
    <s v="N117"/>
    <x v="5"/>
    <x v="12"/>
    <n v="10"/>
    <n v="59000"/>
    <x v="0"/>
  </r>
  <r>
    <n v="2016"/>
    <s v="Nordex"/>
    <s v="N117"/>
    <x v="5"/>
    <x v="12"/>
    <n v="11"/>
    <n v="64000"/>
    <x v="0"/>
  </r>
  <r>
    <n v="2016"/>
    <s v="Nordex"/>
    <s v="N117"/>
    <x v="5"/>
    <x v="12"/>
    <n v="12"/>
    <n v="64000"/>
    <x v="0"/>
  </r>
  <r>
    <n v="2016"/>
    <s v="Nordex"/>
    <s v="N117"/>
    <x v="5"/>
    <x v="12"/>
    <n v="13"/>
    <n v="64000"/>
    <x v="0"/>
  </r>
  <r>
    <n v="2016"/>
    <s v="Nordex"/>
    <s v="N117"/>
    <x v="5"/>
    <x v="12"/>
    <n v="14"/>
    <n v="64000"/>
    <x v="0"/>
  </r>
  <r>
    <n v="2016"/>
    <s v="Nordex"/>
    <s v="N117"/>
    <x v="5"/>
    <x v="12"/>
    <n v="15"/>
    <n v="64000"/>
    <x v="0"/>
  </r>
  <r>
    <n v="2016"/>
    <s v="Nordex"/>
    <s v="N117"/>
    <x v="5"/>
    <x v="12"/>
    <n v="16"/>
    <n v="70000"/>
    <x v="0"/>
  </r>
  <r>
    <n v="2016"/>
    <s v="Nordex"/>
    <s v="N117"/>
    <x v="5"/>
    <x v="12"/>
    <n v="17"/>
    <n v="70000"/>
    <x v="0"/>
  </r>
  <r>
    <n v="2016"/>
    <s v="Nordex"/>
    <s v="N117"/>
    <x v="5"/>
    <x v="12"/>
    <n v="18"/>
    <n v="70000"/>
    <x v="0"/>
  </r>
  <r>
    <n v="2016"/>
    <s v="Nordex"/>
    <s v="N117"/>
    <x v="5"/>
    <x v="12"/>
    <n v="19"/>
    <n v="70000"/>
    <x v="0"/>
  </r>
  <r>
    <n v="2016"/>
    <s v="Nordex"/>
    <s v="N117"/>
    <x v="5"/>
    <x v="12"/>
    <n v="20"/>
    <n v="70000"/>
    <x v="0"/>
  </r>
  <r>
    <n v="2016"/>
    <s v="Senvion"/>
    <s v="MD77"/>
    <x v="0"/>
    <x v="4"/>
    <n v="13"/>
    <n v="40200"/>
    <x v="1"/>
  </r>
  <r>
    <n v="2016"/>
    <s v="Senvion"/>
    <s v="MD77"/>
    <x v="0"/>
    <x v="4"/>
    <n v="14"/>
    <n v="40200"/>
    <x v="1"/>
  </r>
  <r>
    <n v="2016"/>
    <s v="Senvion"/>
    <s v="MD77"/>
    <x v="0"/>
    <x v="4"/>
    <n v="15"/>
    <n v="43700"/>
    <x v="1"/>
  </r>
  <r>
    <n v="2016"/>
    <s v="Senvion"/>
    <s v="MD77"/>
    <x v="0"/>
    <x v="4"/>
    <n v="16"/>
    <n v="43700"/>
    <x v="1"/>
  </r>
  <r>
    <n v="2016"/>
    <s v="Senvion"/>
    <s v="MD77"/>
    <x v="0"/>
    <x v="4"/>
    <n v="17"/>
    <n v="47000"/>
    <x v="1"/>
  </r>
  <r>
    <n v="2016"/>
    <s v="Senvion"/>
    <s v="MD77"/>
    <x v="0"/>
    <x v="4"/>
    <n v="18"/>
    <n v="47000"/>
    <x v="1"/>
  </r>
  <r>
    <n v="2016"/>
    <s v="Senvion"/>
    <s v="MD77"/>
    <x v="0"/>
    <x v="4"/>
    <n v="19"/>
    <n v="47000"/>
    <x v="1"/>
  </r>
  <r>
    <n v="2016"/>
    <s v="Senvion"/>
    <s v="MD77"/>
    <x v="0"/>
    <x v="4"/>
    <n v="20"/>
    <n v="47000"/>
    <x v="1"/>
  </r>
  <r>
    <n v="2015"/>
    <s v="Senvion"/>
    <s v="MD77"/>
    <x v="0"/>
    <x v="3"/>
    <n v="13"/>
    <n v="44000"/>
    <x v="0"/>
  </r>
  <r>
    <n v="2015"/>
    <s v="Senvion"/>
    <s v="MD77"/>
    <x v="0"/>
    <x v="3"/>
    <n v="14"/>
    <n v="44000"/>
    <x v="0"/>
  </r>
  <r>
    <n v="2015"/>
    <s v="Senvion"/>
    <s v="MD77"/>
    <x v="0"/>
    <x v="3"/>
    <n v="15"/>
    <n v="44000"/>
    <x v="0"/>
  </r>
  <r>
    <n v="2015"/>
    <s v="Senvion"/>
    <s v="MD77"/>
    <x v="0"/>
    <x v="3"/>
    <n v="16"/>
    <n v="44000"/>
    <x v="0"/>
  </r>
  <r>
    <n v="2015"/>
    <s v="Senvion"/>
    <s v="MD77"/>
    <x v="0"/>
    <x v="3"/>
    <n v="17"/>
    <n v="48000"/>
    <x v="0"/>
  </r>
  <r>
    <n v="2015"/>
    <s v="Senvion"/>
    <s v="MD77"/>
    <x v="0"/>
    <x v="3"/>
    <n v="18"/>
    <n v="48000"/>
    <x v="0"/>
  </r>
  <r>
    <n v="2015"/>
    <s v="Senvion"/>
    <s v="MD77"/>
    <x v="0"/>
    <x v="3"/>
    <n v="19"/>
    <n v="48000"/>
    <x v="0"/>
  </r>
  <r>
    <n v="2015"/>
    <s v="Senvion"/>
    <s v="MD77"/>
    <x v="0"/>
    <x v="3"/>
    <n v="20"/>
    <n v="48000"/>
    <x v="0"/>
  </r>
  <r>
    <n v="2017"/>
    <s v="Senvion"/>
    <s v="MD77"/>
    <x v="0"/>
    <x v="3"/>
    <n v="11"/>
    <n v="35000"/>
    <x v="1"/>
  </r>
  <r>
    <n v="2017"/>
    <s v="Senvion"/>
    <s v="MD77"/>
    <x v="0"/>
    <x v="3"/>
    <n v="12"/>
    <n v="35000"/>
    <x v="1"/>
  </r>
  <r>
    <n v="2017"/>
    <s v="Senvion"/>
    <s v="MD77"/>
    <x v="0"/>
    <x v="3"/>
    <n v="13"/>
    <n v="35000"/>
    <x v="1"/>
  </r>
  <r>
    <n v="2017"/>
    <s v="Senvion"/>
    <s v="MD77"/>
    <x v="0"/>
    <x v="3"/>
    <n v="14"/>
    <n v="35000"/>
    <x v="1"/>
  </r>
  <r>
    <n v="2017"/>
    <s v="Senvion"/>
    <s v="MD77"/>
    <x v="0"/>
    <x v="3"/>
    <n v="15"/>
    <n v="35000"/>
    <x v="1"/>
  </r>
  <r>
    <n v="2017"/>
    <s v="Senvion"/>
    <s v="MD77"/>
    <x v="0"/>
    <x v="3"/>
    <n v="16"/>
    <n v="35000"/>
    <x v="1"/>
  </r>
  <r>
    <n v="2017"/>
    <s v="Senvion"/>
    <s v="MD77"/>
    <x v="0"/>
    <x v="3"/>
    <n v="17"/>
    <n v="35000"/>
    <x v="1"/>
  </r>
  <r>
    <n v="2017"/>
    <s v="Senvion"/>
    <s v="MD77"/>
    <x v="0"/>
    <x v="3"/>
    <n v="18"/>
    <n v="35000"/>
    <x v="1"/>
  </r>
  <r>
    <n v="2017"/>
    <s v="Senvion"/>
    <s v="MD77"/>
    <x v="0"/>
    <x v="3"/>
    <n v="19"/>
    <n v="35000"/>
    <x v="1"/>
  </r>
  <r>
    <n v="2017"/>
    <s v="Senvion"/>
    <s v="MD77"/>
    <x v="0"/>
    <x v="3"/>
    <n v="20"/>
    <n v="35000"/>
    <x v="1"/>
  </r>
  <r>
    <n v="2016"/>
    <s v="Senvion"/>
    <s v="MM92"/>
    <x v="2"/>
    <x v="1"/>
    <n v="8"/>
    <n v="41000"/>
    <x v="0"/>
  </r>
  <r>
    <n v="2016"/>
    <s v="Senvion"/>
    <s v="MM92"/>
    <x v="2"/>
    <x v="1"/>
    <n v="4"/>
    <n v="36000"/>
    <x v="0"/>
  </r>
  <r>
    <n v="2016"/>
    <s v="Senvion"/>
    <s v="MM92"/>
    <x v="2"/>
    <x v="1"/>
    <n v="5"/>
    <n v="41000"/>
    <x v="0"/>
  </r>
  <r>
    <n v="2016"/>
    <s v="Senvion"/>
    <s v="MM92"/>
    <x v="2"/>
    <x v="1"/>
    <n v="6"/>
    <n v="41000"/>
    <x v="0"/>
  </r>
  <r>
    <n v="2016"/>
    <s v="Senvion"/>
    <s v="MM92"/>
    <x v="2"/>
    <x v="1"/>
    <n v="7"/>
    <n v="41000"/>
    <x v="0"/>
  </r>
  <r>
    <n v="2016"/>
    <s v="Senvion"/>
    <s v="MM92"/>
    <x v="2"/>
    <x v="1"/>
    <n v="9"/>
    <n v="45000"/>
    <x v="0"/>
  </r>
  <r>
    <n v="2016"/>
    <s v="Senvion"/>
    <s v="MM92"/>
    <x v="2"/>
    <x v="1"/>
    <n v="10"/>
    <n v="45000"/>
    <x v="0"/>
  </r>
  <r>
    <n v="2016"/>
    <s v="Senvion"/>
    <s v="MM92"/>
    <x v="2"/>
    <x v="1"/>
    <n v="11"/>
    <n v="48000"/>
    <x v="0"/>
  </r>
  <r>
    <n v="2016"/>
    <s v="Senvion"/>
    <s v="MM92"/>
    <x v="2"/>
    <x v="1"/>
    <n v="12"/>
    <n v="48000"/>
    <x v="0"/>
  </r>
  <r>
    <n v="2016"/>
    <s v="Senvion"/>
    <s v="MM92"/>
    <x v="2"/>
    <x v="1"/>
    <n v="13"/>
    <n v="48000"/>
    <x v="0"/>
  </r>
  <r>
    <n v="2016"/>
    <s v="Senvion"/>
    <s v="MM92"/>
    <x v="2"/>
    <x v="1"/>
    <n v="14"/>
    <n v="48000"/>
    <x v="0"/>
  </r>
  <r>
    <n v="2016"/>
    <s v="Senvion"/>
    <s v="MM92"/>
    <x v="2"/>
    <x v="1"/>
    <n v="15"/>
    <n v="48000"/>
    <x v="0"/>
  </r>
  <r>
    <n v="2016"/>
    <s v="Senvion"/>
    <s v="MM92"/>
    <x v="2"/>
    <x v="1"/>
    <n v="16"/>
    <n v="53000"/>
    <x v="0"/>
  </r>
  <r>
    <n v="2016"/>
    <s v="Senvion"/>
    <s v="MM92"/>
    <x v="2"/>
    <x v="1"/>
    <n v="18"/>
    <n v="53000"/>
    <x v="0"/>
  </r>
  <r>
    <n v="2016"/>
    <s v="Senvion"/>
    <s v="MM92"/>
    <x v="2"/>
    <x v="1"/>
    <n v="19"/>
    <n v="53000"/>
    <x v="0"/>
  </r>
  <r>
    <n v="2016"/>
    <s v="Senvion"/>
    <s v="MM92"/>
    <x v="2"/>
    <x v="1"/>
    <n v="20"/>
    <n v="53000"/>
    <x v="0"/>
  </r>
  <r>
    <n v="2016"/>
    <s v="Senvion"/>
    <s v="MM92"/>
    <x v="2"/>
    <x v="1"/>
    <n v="17"/>
    <n v="53000"/>
    <x v="0"/>
  </r>
  <r>
    <n v="2016"/>
    <s v="Senvion"/>
    <s v="MM92"/>
    <x v="2"/>
    <x v="1"/>
    <n v="3"/>
    <n v="36000"/>
    <x v="0"/>
  </r>
  <r>
    <n v="2016"/>
    <s v="Senvion"/>
    <s v="MM82"/>
    <x v="2"/>
    <x v="7"/>
    <n v="13"/>
    <n v="39000"/>
    <x v="0"/>
  </r>
  <r>
    <n v="2016"/>
    <s v="Senvion"/>
    <s v="MM82"/>
    <x v="2"/>
    <x v="7"/>
    <n v="14"/>
    <n v="39000"/>
    <x v="0"/>
  </r>
  <r>
    <n v="2016"/>
    <s v="Senvion"/>
    <s v="MM82"/>
    <x v="2"/>
    <x v="7"/>
    <n v="15"/>
    <n v="42000"/>
    <x v="0"/>
  </r>
  <r>
    <n v="2016"/>
    <s v="Senvion"/>
    <s v="MM82"/>
    <x v="2"/>
    <x v="7"/>
    <n v="16"/>
    <n v="42000"/>
    <x v="0"/>
  </r>
  <r>
    <n v="2016"/>
    <s v="Senvion"/>
    <s v="MM82"/>
    <x v="2"/>
    <x v="7"/>
    <n v="17"/>
    <n v="42000"/>
    <x v="0"/>
  </r>
  <r>
    <n v="2016"/>
    <s v="Senvion"/>
    <s v="MM82"/>
    <x v="2"/>
    <x v="7"/>
    <n v="18"/>
    <n v="45000"/>
    <x v="0"/>
  </r>
  <r>
    <n v="2016"/>
    <s v="Senvion"/>
    <s v="MM82"/>
    <x v="2"/>
    <x v="7"/>
    <n v="19"/>
    <n v="45000"/>
    <x v="0"/>
  </r>
  <r>
    <n v="2016"/>
    <s v="Senvion"/>
    <s v="MM82"/>
    <x v="2"/>
    <x v="7"/>
    <n v="20"/>
    <n v="45000"/>
    <x v="0"/>
  </r>
  <r>
    <n v="2017"/>
    <s v="Nordex"/>
    <s v="N90"/>
    <x v="3"/>
    <x v="5"/>
    <n v="13"/>
    <n v="65150"/>
    <x v="1"/>
  </r>
  <r>
    <n v="2017"/>
    <s v="Nordex"/>
    <s v="N90"/>
    <x v="3"/>
    <x v="5"/>
    <n v="14"/>
    <n v="65150"/>
    <x v="1"/>
  </r>
  <r>
    <n v="2017"/>
    <s v="Nordex"/>
    <s v="N90"/>
    <x v="3"/>
    <x v="5"/>
    <n v="15"/>
    <n v="65150"/>
    <x v="1"/>
  </r>
  <r>
    <n v="2017"/>
    <s v="Nordex"/>
    <s v="N90"/>
    <x v="3"/>
    <x v="5"/>
    <n v="16"/>
    <n v="70150"/>
    <x v="1"/>
  </r>
  <r>
    <n v="2017"/>
    <s v="Nordex"/>
    <s v="N90"/>
    <x v="3"/>
    <x v="5"/>
    <n v="17"/>
    <n v="70150"/>
    <x v="1"/>
  </r>
  <r>
    <n v="2017"/>
    <s v="Nordex"/>
    <s v="N90"/>
    <x v="3"/>
    <x v="5"/>
    <n v="18"/>
    <n v="70150"/>
    <x v="1"/>
  </r>
  <r>
    <n v="2017"/>
    <s v="Nordex"/>
    <s v="N90"/>
    <x v="3"/>
    <x v="5"/>
    <n v="19"/>
    <n v="70150"/>
    <x v="1"/>
  </r>
  <r>
    <n v="2017"/>
    <s v="Nordex"/>
    <s v="N90"/>
    <x v="3"/>
    <x v="5"/>
    <n v="20"/>
    <n v="70150"/>
    <x v="1"/>
  </r>
  <r>
    <n v="2017"/>
    <s v="Nordex"/>
    <s v="S77"/>
    <x v="0"/>
    <x v="3"/>
    <n v="13"/>
    <n v="44150"/>
    <x v="1"/>
  </r>
  <r>
    <n v="2017"/>
    <s v="Nordex"/>
    <s v="S77"/>
    <x v="0"/>
    <x v="3"/>
    <n v="14"/>
    <n v="44150"/>
    <x v="1"/>
  </r>
  <r>
    <n v="2017"/>
    <s v="Nordex"/>
    <s v="S77"/>
    <x v="0"/>
    <x v="3"/>
    <n v="15"/>
    <n v="44150"/>
    <x v="1"/>
  </r>
  <r>
    <n v="2017"/>
    <s v="Nordex"/>
    <s v="S77"/>
    <x v="0"/>
    <x v="3"/>
    <n v="16"/>
    <n v="50150"/>
    <x v="1"/>
  </r>
  <r>
    <n v="2017"/>
    <s v="Nordex"/>
    <s v="S77"/>
    <x v="0"/>
    <x v="3"/>
    <n v="17"/>
    <n v="50150"/>
    <x v="1"/>
  </r>
  <r>
    <n v="2017"/>
    <s v="Nordex"/>
    <s v="S77"/>
    <x v="0"/>
    <x v="3"/>
    <n v="18"/>
    <n v="50150"/>
    <x v="1"/>
  </r>
  <r>
    <n v="2017"/>
    <s v="Nordex"/>
    <s v="S77"/>
    <x v="0"/>
    <x v="3"/>
    <n v="19"/>
    <n v="50150"/>
    <x v="1"/>
  </r>
  <r>
    <n v="2017"/>
    <s v="Nordex"/>
    <s v="S77"/>
    <x v="0"/>
    <x v="3"/>
    <n v="20"/>
    <n v="50150"/>
    <x v="1"/>
  </r>
  <r>
    <n v="2017"/>
    <s v="Senvion"/>
    <s v="3.2M"/>
    <x v="6"/>
    <x v="13"/>
    <n v="1"/>
    <n v="32500"/>
    <x v="0"/>
  </r>
  <r>
    <n v="2017"/>
    <s v="Senvion"/>
    <s v="3.2M"/>
    <x v="6"/>
    <x v="13"/>
    <n v="2"/>
    <n v="32500"/>
    <x v="0"/>
  </r>
  <r>
    <n v="2017"/>
    <s v="Senvion"/>
    <s v="3.2M"/>
    <x v="6"/>
    <x v="13"/>
    <n v="3"/>
    <n v="54000"/>
    <x v="0"/>
  </r>
  <r>
    <n v="2017"/>
    <s v="Senvion"/>
    <s v="3.2M"/>
    <x v="6"/>
    <x v="13"/>
    <n v="4"/>
    <n v="54000"/>
    <x v="0"/>
  </r>
  <r>
    <n v="2017"/>
    <s v="Senvion"/>
    <s v="3.2M"/>
    <x v="6"/>
    <x v="13"/>
    <n v="5"/>
    <n v="54000"/>
    <x v="0"/>
  </r>
  <r>
    <n v="2017"/>
    <s v="Senvion"/>
    <s v="3.2M"/>
    <x v="6"/>
    <x v="13"/>
    <n v="6"/>
    <n v="61000"/>
    <x v="0"/>
  </r>
  <r>
    <n v="2017"/>
    <s v="Senvion"/>
    <s v="3.2M"/>
    <x v="6"/>
    <x v="13"/>
    <n v="7"/>
    <n v="61000"/>
    <x v="0"/>
  </r>
  <r>
    <n v="2017"/>
    <s v="Senvion"/>
    <s v="3.2M"/>
    <x v="6"/>
    <x v="13"/>
    <n v="8"/>
    <n v="61000"/>
    <x v="0"/>
  </r>
  <r>
    <n v="2017"/>
    <s v="Senvion"/>
    <s v="3.2M"/>
    <x v="6"/>
    <x v="13"/>
    <n v="9"/>
    <n v="61000"/>
    <x v="0"/>
  </r>
  <r>
    <n v="2017"/>
    <s v="Senvion"/>
    <s v="3.2M"/>
    <x v="6"/>
    <x v="13"/>
    <n v="10"/>
    <n v="61000"/>
    <x v="0"/>
  </r>
  <r>
    <n v="2017"/>
    <s v="Senvion"/>
    <s v="3.2M"/>
    <x v="6"/>
    <x v="13"/>
    <n v="11"/>
    <n v="70000"/>
    <x v="0"/>
  </r>
  <r>
    <n v="2017"/>
    <s v="Senvion"/>
    <s v="3.2M"/>
    <x v="6"/>
    <x v="13"/>
    <n v="12"/>
    <n v="70000"/>
    <x v="0"/>
  </r>
  <r>
    <n v="2017"/>
    <s v="Senvion"/>
    <s v="3.2M"/>
    <x v="6"/>
    <x v="13"/>
    <n v="13"/>
    <n v="70000"/>
    <x v="0"/>
  </r>
  <r>
    <n v="2017"/>
    <s v="Senvion"/>
    <s v="3.2M"/>
    <x v="6"/>
    <x v="13"/>
    <n v="14"/>
    <n v="70000"/>
    <x v="0"/>
  </r>
  <r>
    <n v="2017"/>
    <s v="Senvion"/>
    <s v="3.2M"/>
    <x v="6"/>
    <x v="13"/>
    <n v="15"/>
    <n v="70000"/>
    <x v="0"/>
  </r>
  <r>
    <n v="2017"/>
    <s v="Senvion"/>
    <s v="3.2M"/>
    <x v="6"/>
    <x v="13"/>
    <n v="16"/>
    <n v="70000"/>
    <x v="0"/>
  </r>
  <r>
    <n v="2017"/>
    <s v="Senvion"/>
    <s v="3.2M"/>
    <x v="6"/>
    <x v="13"/>
    <n v="17"/>
    <n v="85000"/>
    <x v="0"/>
  </r>
  <r>
    <n v="2017"/>
    <s v="Senvion"/>
    <s v="3.2M"/>
    <x v="6"/>
    <x v="13"/>
    <n v="18"/>
    <n v="85000"/>
    <x v="0"/>
  </r>
  <r>
    <n v="2017"/>
    <s v="Senvion"/>
    <s v="3.2M"/>
    <x v="6"/>
    <x v="13"/>
    <n v="19"/>
    <n v="85000"/>
    <x v="0"/>
  </r>
  <r>
    <n v="2017"/>
    <s v="Senvion"/>
    <s v="3.2M"/>
    <x v="6"/>
    <x v="13"/>
    <n v="20"/>
    <n v="85000"/>
    <x v="0"/>
  </r>
  <r>
    <n v="2015"/>
    <s v="Senvion"/>
    <s v="MD77"/>
    <x v="0"/>
    <x v="5"/>
    <n v="11"/>
    <n v="38500"/>
    <x v="0"/>
  </r>
  <r>
    <n v="2015"/>
    <s v="Senvion"/>
    <s v="MD77"/>
    <x v="0"/>
    <x v="5"/>
    <n v="12"/>
    <n v="38500"/>
    <x v="0"/>
  </r>
  <r>
    <n v="2015"/>
    <s v="Senvion"/>
    <s v="MD77"/>
    <x v="0"/>
    <x v="5"/>
    <n v="13"/>
    <n v="41500"/>
    <x v="0"/>
  </r>
  <r>
    <n v="2015"/>
    <s v="Senvion"/>
    <s v="MD77"/>
    <x v="0"/>
    <x v="5"/>
    <n v="14"/>
    <n v="41500"/>
    <x v="0"/>
  </r>
  <r>
    <n v="2015"/>
    <s v="Senvion"/>
    <s v="MD77"/>
    <x v="0"/>
    <x v="5"/>
    <n v="15"/>
    <n v="44500"/>
    <x v="0"/>
  </r>
  <r>
    <n v="2015"/>
    <s v="Senvion"/>
    <s v="MD77"/>
    <x v="0"/>
    <x v="5"/>
    <n v="16"/>
    <n v="44500"/>
    <x v="0"/>
  </r>
  <r>
    <n v="2015"/>
    <s v="Senvion"/>
    <s v="MD77"/>
    <x v="0"/>
    <x v="5"/>
    <n v="17"/>
    <n v="44500"/>
    <x v="0"/>
  </r>
  <r>
    <n v="2015"/>
    <s v="Senvion"/>
    <s v="MD77"/>
    <x v="0"/>
    <x v="5"/>
    <n v="18"/>
    <n v="44500"/>
    <x v="0"/>
  </r>
  <r>
    <n v="2015"/>
    <s v="Senvion"/>
    <s v="MD77"/>
    <x v="0"/>
    <x v="5"/>
    <n v="19"/>
    <n v="44500"/>
    <x v="0"/>
  </r>
  <r>
    <n v="2015"/>
    <s v="Senvion"/>
    <s v="MD77"/>
    <x v="0"/>
    <x v="5"/>
    <n v="20"/>
    <n v="44500"/>
    <x v="0"/>
  </r>
  <r>
    <n v="2017"/>
    <s v="Nordex"/>
    <s v="N100"/>
    <x v="3"/>
    <x v="5"/>
    <n v="6"/>
    <n v="47500"/>
    <x v="1"/>
  </r>
  <r>
    <n v="2017"/>
    <s v="Nordex"/>
    <s v="N100"/>
    <x v="3"/>
    <x v="5"/>
    <n v="7"/>
    <n v="47500"/>
    <x v="1"/>
  </r>
  <r>
    <n v="2017"/>
    <s v="Nordex"/>
    <s v="N100"/>
    <x v="3"/>
    <x v="5"/>
    <n v="8"/>
    <n v="47500"/>
    <x v="1"/>
  </r>
  <r>
    <n v="2017"/>
    <s v="Nordex"/>
    <s v="N100"/>
    <x v="3"/>
    <x v="5"/>
    <n v="9"/>
    <n v="47500"/>
    <x v="1"/>
  </r>
  <r>
    <n v="2017"/>
    <s v="Nordex"/>
    <s v="N100"/>
    <x v="3"/>
    <x v="5"/>
    <n v="10"/>
    <n v="50000"/>
    <x v="1"/>
  </r>
  <r>
    <n v="2017"/>
    <s v="Nordex"/>
    <s v="N100"/>
    <x v="3"/>
    <x v="5"/>
    <n v="11"/>
    <n v="50000"/>
    <x v="1"/>
  </r>
  <r>
    <n v="2017"/>
    <s v="Nordex"/>
    <s v="N100"/>
    <x v="3"/>
    <x v="5"/>
    <n v="12"/>
    <n v="50000"/>
    <x v="1"/>
  </r>
  <r>
    <n v="2017"/>
    <s v="Nordex"/>
    <s v="N100"/>
    <x v="3"/>
    <x v="5"/>
    <n v="13"/>
    <n v="55000"/>
    <x v="1"/>
  </r>
  <r>
    <n v="2017"/>
    <s v="Nordex"/>
    <s v="N100"/>
    <x v="3"/>
    <x v="5"/>
    <n v="14"/>
    <n v="55000"/>
    <x v="1"/>
  </r>
  <r>
    <n v="2017"/>
    <s v="Nordex"/>
    <s v="N100"/>
    <x v="3"/>
    <x v="5"/>
    <n v="15"/>
    <n v="55000"/>
    <x v="1"/>
  </r>
  <r>
    <n v="2017"/>
    <s v="Nordex"/>
    <s v="N100"/>
    <x v="3"/>
    <x v="5"/>
    <n v="16"/>
    <n v="58500"/>
    <x v="1"/>
  </r>
  <r>
    <n v="2017"/>
    <s v="Nordex"/>
    <s v="N100"/>
    <x v="3"/>
    <x v="5"/>
    <n v="17"/>
    <n v="58500"/>
    <x v="1"/>
  </r>
  <r>
    <n v="2017"/>
    <s v="Nordex"/>
    <s v="N100"/>
    <x v="3"/>
    <x v="5"/>
    <n v="18"/>
    <n v="58500"/>
    <x v="1"/>
  </r>
  <r>
    <n v="2017"/>
    <s v="Nordex"/>
    <s v="N100"/>
    <x v="3"/>
    <x v="5"/>
    <n v="19"/>
    <n v="58500"/>
    <x v="1"/>
  </r>
  <r>
    <n v="2017"/>
    <s v="Nordex"/>
    <s v="N100"/>
    <x v="3"/>
    <x v="5"/>
    <n v="20"/>
    <n v="58500"/>
    <x v="1"/>
  </r>
  <r>
    <n v="2016"/>
    <s v="Fuhrländer"/>
    <s v="FL2500"/>
    <x v="4"/>
    <x v="10"/>
    <n v="6"/>
    <n v="61200"/>
    <x v="1"/>
  </r>
  <r>
    <n v="2016"/>
    <s v="Fuhrländer"/>
    <s v="FL2500"/>
    <x v="4"/>
    <x v="10"/>
    <n v="7"/>
    <n v="61200"/>
    <x v="1"/>
  </r>
  <r>
    <n v="2016"/>
    <s v="Fuhrländer"/>
    <s v="FL2500"/>
    <x v="4"/>
    <x v="10"/>
    <n v="8"/>
    <n v="61200"/>
    <x v="1"/>
  </r>
  <r>
    <n v="2016"/>
    <s v="Fuhrländer"/>
    <s v="FL2500"/>
    <x v="4"/>
    <x v="10"/>
    <n v="9"/>
    <n v="61200"/>
    <x v="1"/>
  </r>
  <r>
    <n v="2016"/>
    <s v="Fuhrländer"/>
    <s v="FL2500"/>
    <x v="4"/>
    <x v="10"/>
    <n v="10"/>
    <n v="61200"/>
    <x v="1"/>
  </r>
  <r>
    <n v="2016"/>
    <s v="Fuhrländer"/>
    <s v="FL2500"/>
    <x v="4"/>
    <x v="10"/>
    <n v="11"/>
    <n v="71185"/>
    <x v="1"/>
  </r>
  <r>
    <n v="2016"/>
    <s v="Fuhrländer"/>
    <s v="FL2500"/>
    <x v="4"/>
    <x v="10"/>
    <n v="12"/>
    <n v="71185"/>
    <x v="1"/>
  </r>
  <r>
    <n v="2016"/>
    <s v="Fuhrländer"/>
    <s v="FL2500"/>
    <x v="4"/>
    <x v="10"/>
    <n v="13"/>
    <n v="71185"/>
    <x v="1"/>
  </r>
  <r>
    <n v="2016"/>
    <s v="Fuhrländer"/>
    <s v="FL2500"/>
    <x v="4"/>
    <x v="10"/>
    <n v="14"/>
    <n v="71185"/>
    <x v="1"/>
  </r>
  <r>
    <n v="2016"/>
    <s v="Fuhrländer"/>
    <s v="FL2500"/>
    <x v="4"/>
    <x v="10"/>
    <n v="15"/>
    <n v="71185"/>
    <x v="1"/>
  </r>
  <r>
    <n v="2016"/>
    <s v="Fuhrländer"/>
    <s v="FL2500"/>
    <x v="4"/>
    <x v="10"/>
    <n v="16"/>
    <n v="81575"/>
    <x v="1"/>
  </r>
  <r>
    <n v="2016"/>
    <s v="Fuhrländer"/>
    <s v="FL2500"/>
    <x v="4"/>
    <x v="10"/>
    <n v="17"/>
    <n v="81575"/>
    <x v="1"/>
  </r>
  <r>
    <n v="2016"/>
    <s v="Fuhrländer"/>
    <s v="FL2500"/>
    <x v="4"/>
    <x v="10"/>
    <n v="18"/>
    <n v="81575"/>
    <x v="1"/>
  </r>
  <r>
    <n v="2016"/>
    <s v="Fuhrländer"/>
    <s v="FL2500"/>
    <x v="4"/>
    <x v="10"/>
    <n v="19"/>
    <n v="81575"/>
    <x v="1"/>
  </r>
  <r>
    <n v="2016"/>
    <s v="Fuhrländer"/>
    <s v="FL2500"/>
    <x v="4"/>
    <x v="10"/>
    <n v="20"/>
    <n v="81575"/>
    <x v="1"/>
  </r>
  <r>
    <n v="2016"/>
    <s v="Senvion"/>
    <s v="MD77"/>
    <x v="0"/>
    <x v="0"/>
    <n v="13"/>
    <n v="40000"/>
    <x v="1"/>
  </r>
  <r>
    <n v="2016"/>
    <s v="Senvion"/>
    <s v="MD77"/>
    <x v="0"/>
    <x v="0"/>
    <n v="14"/>
    <n v="40000"/>
    <x v="1"/>
  </r>
  <r>
    <n v="2016"/>
    <s v="Senvion"/>
    <s v="MD77"/>
    <x v="0"/>
    <x v="0"/>
    <n v="15"/>
    <n v="40000"/>
    <x v="1"/>
  </r>
  <r>
    <n v="2016"/>
    <s v="Senvion"/>
    <s v="MD77"/>
    <x v="0"/>
    <x v="0"/>
    <n v="16"/>
    <n v="44000"/>
    <x v="1"/>
  </r>
  <r>
    <n v="2016"/>
    <s v="Senvion"/>
    <s v="MD77"/>
    <x v="0"/>
    <x v="0"/>
    <n v="17"/>
    <n v="44000"/>
    <x v="1"/>
  </r>
  <r>
    <n v="2016"/>
    <s v="Senvion"/>
    <s v="MD77"/>
    <x v="0"/>
    <x v="0"/>
    <n v="18"/>
    <n v="44000"/>
    <x v="1"/>
  </r>
  <r>
    <n v="2016"/>
    <s v="Senvion"/>
    <s v="MD77"/>
    <x v="0"/>
    <x v="0"/>
    <n v="19"/>
    <n v="44000"/>
    <x v="1"/>
  </r>
  <r>
    <n v="2016"/>
    <s v="Senvion"/>
    <s v="MD77"/>
    <x v="0"/>
    <x v="0"/>
    <n v="20"/>
    <n v="44000"/>
    <x v="1"/>
  </r>
  <r>
    <n v="2014"/>
    <s v="Fuhrländer"/>
    <s v="MD77"/>
    <x v="0"/>
    <x v="5"/>
    <n v="6"/>
    <n v="43000"/>
    <x v="0"/>
  </r>
  <r>
    <n v="2014"/>
    <s v="Fuhrländer"/>
    <s v="MD77"/>
    <x v="0"/>
    <x v="5"/>
    <n v="7"/>
    <n v="43000"/>
    <x v="0"/>
  </r>
  <r>
    <n v="2014"/>
    <s v="Fuhrländer"/>
    <s v="MD77"/>
    <x v="0"/>
    <x v="5"/>
    <n v="8"/>
    <n v="43000"/>
    <x v="0"/>
  </r>
  <r>
    <n v="2014"/>
    <s v="Fuhrländer"/>
    <s v="MD77"/>
    <x v="0"/>
    <x v="5"/>
    <n v="9"/>
    <n v="43000"/>
    <x v="0"/>
  </r>
  <r>
    <n v="2014"/>
    <s v="Fuhrländer"/>
    <s v="MD77"/>
    <x v="0"/>
    <x v="5"/>
    <n v="10"/>
    <n v="43000"/>
    <x v="0"/>
  </r>
  <r>
    <n v="2014"/>
    <s v="Fuhrländer"/>
    <s v="MD77"/>
    <x v="0"/>
    <x v="5"/>
    <n v="11"/>
    <n v="47500"/>
    <x v="0"/>
  </r>
  <r>
    <n v="2014"/>
    <s v="Fuhrländer"/>
    <s v="MD77"/>
    <x v="0"/>
    <x v="5"/>
    <n v="12"/>
    <n v="47500"/>
    <x v="0"/>
  </r>
  <r>
    <n v="2014"/>
    <s v="Fuhrländer"/>
    <s v="MD77"/>
    <x v="0"/>
    <x v="5"/>
    <n v="13"/>
    <n v="47500"/>
    <x v="0"/>
  </r>
  <r>
    <n v="2014"/>
    <s v="Fuhrländer"/>
    <s v="MD77"/>
    <x v="0"/>
    <x v="5"/>
    <n v="14"/>
    <n v="47500"/>
    <x v="0"/>
  </r>
  <r>
    <n v="2014"/>
    <s v="Fuhrländer"/>
    <s v="MD77"/>
    <x v="0"/>
    <x v="5"/>
    <n v="15"/>
    <n v="47500"/>
    <x v="0"/>
  </r>
  <r>
    <n v="2014"/>
    <s v="Fuhrländer"/>
    <s v="MD77"/>
    <x v="0"/>
    <x v="5"/>
    <n v="16"/>
    <n v="52000"/>
    <x v="0"/>
  </r>
  <r>
    <n v="2014"/>
    <s v="Fuhrländer"/>
    <s v="MD77"/>
    <x v="0"/>
    <x v="5"/>
    <n v="17"/>
    <n v="52000"/>
    <x v="0"/>
  </r>
  <r>
    <n v="2014"/>
    <s v="Fuhrländer"/>
    <s v="MD77"/>
    <x v="0"/>
    <x v="5"/>
    <n v="18"/>
    <n v="52000"/>
    <x v="0"/>
  </r>
  <r>
    <n v="2014"/>
    <s v="Fuhrländer"/>
    <s v="MD77"/>
    <x v="0"/>
    <x v="5"/>
    <n v="19"/>
    <n v="52000"/>
    <x v="0"/>
  </r>
  <r>
    <n v="2014"/>
    <s v="Fuhrländer"/>
    <s v="MD77"/>
    <x v="0"/>
    <x v="5"/>
    <n v="20"/>
    <n v="52000"/>
    <x v="0"/>
  </r>
  <r>
    <n v="2015"/>
    <s v="Nordex"/>
    <s v="N90"/>
    <x v="3"/>
    <x v="1"/>
    <n v="11"/>
    <n v="54500"/>
    <x v="0"/>
  </r>
  <r>
    <n v="2015"/>
    <s v="Nordex"/>
    <s v="N90"/>
    <x v="3"/>
    <x v="1"/>
    <n v="12"/>
    <n v="54500"/>
    <x v="0"/>
  </r>
  <r>
    <n v="2015"/>
    <s v="Nordex"/>
    <s v="N90"/>
    <x v="3"/>
    <x v="1"/>
    <n v="13"/>
    <n v="54500"/>
    <x v="0"/>
  </r>
  <r>
    <n v="2015"/>
    <s v="Nordex"/>
    <s v="N90"/>
    <x v="3"/>
    <x v="1"/>
    <n v="14"/>
    <n v="54500"/>
    <x v="0"/>
  </r>
  <r>
    <n v="2015"/>
    <s v="Nordex"/>
    <s v="N90"/>
    <x v="3"/>
    <x v="1"/>
    <n v="15"/>
    <n v="57000"/>
    <x v="0"/>
  </r>
  <r>
    <n v="2015"/>
    <s v="Nordex"/>
    <s v="N90"/>
    <x v="3"/>
    <x v="1"/>
    <n v="16"/>
    <n v="57000"/>
    <x v="0"/>
  </r>
  <r>
    <n v="2015"/>
    <s v="Nordex"/>
    <s v="N90"/>
    <x v="3"/>
    <x v="1"/>
    <n v="17"/>
    <n v="57000"/>
    <x v="0"/>
  </r>
  <r>
    <n v="2015"/>
    <s v="Nordex"/>
    <s v="N90"/>
    <x v="3"/>
    <x v="1"/>
    <n v="18"/>
    <n v="58500"/>
    <x v="0"/>
  </r>
  <r>
    <n v="2015"/>
    <s v="Nordex"/>
    <s v="N90"/>
    <x v="3"/>
    <x v="1"/>
    <n v="19"/>
    <n v="58500"/>
    <x v="0"/>
  </r>
  <r>
    <n v="2015"/>
    <s v="Nordex"/>
    <s v="N90"/>
    <x v="3"/>
    <x v="1"/>
    <n v="20"/>
    <n v="58500"/>
    <x v="0"/>
  </r>
  <r>
    <n v="2017"/>
    <s v="Fuhrländer"/>
    <s v="FL77"/>
    <x v="0"/>
    <x v="14"/>
    <n v="11"/>
    <n v="38500"/>
    <x v="0"/>
  </r>
  <r>
    <n v="2017"/>
    <s v="Fuhrländer"/>
    <s v="FL77"/>
    <x v="0"/>
    <x v="14"/>
    <n v="12"/>
    <n v="38500"/>
    <x v="0"/>
  </r>
  <r>
    <n v="2017"/>
    <s v="Fuhrländer"/>
    <s v="FL77"/>
    <x v="0"/>
    <x v="14"/>
    <n v="13"/>
    <n v="40500"/>
    <x v="0"/>
  </r>
  <r>
    <n v="2017"/>
    <s v="Fuhrländer"/>
    <s v="FL77"/>
    <x v="0"/>
    <x v="14"/>
    <n v="14"/>
    <n v="40500"/>
    <x v="0"/>
  </r>
  <r>
    <n v="2017"/>
    <s v="Fuhrländer"/>
    <s v="FL77"/>
    <x v="0"/>
    <x v="14"/>
    <n v="15"/>
    <n v="40500"/>
    <x v="0"/>
  </r>
  <r>
    <n v="2017"/>
    <s v="Fuhrländer"/>
    <s v="FL77"/>
    <x v="0"/>
    <x v="14"/>
    <n v="16"/>
    <n v="42500"/>
    <x v="0"/>
  </r>
  <r>
    <n v="2017"/>
    <s v="Fuhrländer"/>
    <s v="FL77"/>
    <x v="0"/>
    <x v="14"/>
    <n v="17"/>
    <n v="42500"/>
    <x v="0"/>
  </r>
  <r>
    <n v="2017"/>
    <s v="Fuhrländer"/>
    <s v="FL77"/>
    <x v="0"/>
    <x v="14"/>
    <n v="18"/>
    <n v="42500"/>
    <x v="0"/>
  </r>
  <r>
    <n v="2017"/>
    <s v="Fuhrländer"/>
    <s v="FL77"/>
    <x v="0"/>
    <x v="14"/>
    <n v="19"/>
    <n v="42500"/>
    <x v="0"/>
  </r>
  <r>
    <n v="2017"/>
    <s v="Fuhrländer"/>
    <s v="FL77"/>
    <x v="0"/>
    <x v="14"/>
    <n v="20"/>
    <n v="42500"/>
    <x v="0"/>
  </r>
  <r>
    <n v="2015"/>
    <s v="Nordex"/>
    <s v="S77"/>
    <x v="0"/>
    <x v="6"/>
    <n v="17"/>
    <n v="46000"/>
    <x v="0"/>
  </r>
  <r>
    <n v="2015"/>
    <s v="Nordex"/>
    <s v="S77"/>
    <x v="0"/>
    <x v="6"/>
    <n v="12"/>
    <n v="43000"/>
    <x v="0"/>
  </r>
  <r>
    <n v="2015"/>
    <s v="Nordex"/>
    <s v="S77"/>
    <x v="0"/>
    <x v="6"/>
    <n v="11"/>
    <n v="43000"/>
    <x v="0"/>
  </r>
  <r>
    <n v="2015"/>
    <s v="Nordex"/>
    <s v="S77"/>
    <x v="0"/>
    <x v="6"/>
    <n v="13"/>
    <n v="43000"/>
    <x v="0"/>
  </r>
  <r>
    <n v="2015"/>
    <s v="Nordex"/>
    <s v="S77"/>
    <x v="0"/>
    <x v="6"/>
    <n v="14"/>
    <n v="44000"/>
    <x v="0"/>
  </r>
  <r>
    <n v="2015"/>
    <s v="Nordex"/>
    <s v="S77"/>
    <x v="0"/>
    <x v="6"/>
    <n v="15"/>
    <n v="44000"/>
    <x v="0"/>
  </r>
  <r>
    <n v="2015"/>
    <s v="Nordex"/>
    <s v="S77"/>
    <x v="0"/>
    <x v="6"/>
    <n v="16"/>
    <n v="44000"/>
    <x v="0"/>
  </r>
  <r>
    <n v="2015"/>
    <s v="Nordex"/>
    <s v="S77"/>
    <x v="0"/>
    <x v="6"/>
    <n v="18"/>
    <n v="46000"/>
    <x v="0"/>
  </r>
  <r>
    <n v="2015"/>
    <s v="Nordex"/>
    <s v="S77"/>
    <x v="0"/>
    <x v="6"/>
    <n v="19"/>
    <n v="46000"/>
    <x v="0"/>
  </r>
  <r>
    <n v="2015"/>
    <s v="Nordex"/>
    <s v="S77"/>
    <x v="0"/>
    <x v="6"/>
    <n v="20"/>
    <n v="46000"/>
    <x v="0"/>
  </r>
  <r>
    <n v="2015"/>
    <s v="Nordex"/>
    <s v="S77"/>
    <x v="0"/>
    <x v="0"/>
    <n v="15"/>
    <n v="53000"/>
    <x v="1"/>
  </r>
  <r>
    <n v="2015"/>
    <s v="Nordex"/>
    <s v="S77"/>
    <x v="0"/>
    <x v="0"/>
    <n v="16"/>
    <n v="53000"/>
    <x v="1"/>
  </r>
  <r>
    <n v="2015"/>
    <s v="Nordex"/>
    <s v="S77"/>
    <x v="0"/>
    <x v="0"/>
    <n v="17"/>
    <n v="53000"/>
    <x v="1"/>
  </r>
  <r>
    <n v="2015"/>
    <s v="Nordex"/>
    <s v="S77"/>
    <x v="0"/>
    <x v="0"/>
    <n v="18"/>
    <n v="53000"/>
    <x v="1"/>
  </r>
  <r>
    <n v="2015"/>
    <s v="Nordex"/>
    <s v="S77"/>
    <x v="0"/>
    <x v="0"/>
    <n v="19"/>
    <n v="53000"/>
    <x v="1"/>
  </r>
  <r>
    <n v="2015"/>
    <s v="Nordex"/>
    <s v="S77"/>
    <x v="0"/>
    <x v="0"/>
    <n v="20"/>
    <n v="53000"/>
    <x v="1"/>
  </r>
  <r>
    <n v="2016"/>
    <s v="Senvion"/>
    <s v="MD77"/>
    <x v="0"/>
    <x v="0"/>
    <n v="13"/>
    <n v="41800"/>
    <x v="1"/>
  </r>
  <r>
    <n v="2016"/>
    <s v="Senvion"/>
    <s v="MD77"/>
    <x v="0"/>
    <x v="0"/>
    <n v="14"/>
    <n v="41800"/>
    <x v="1"/>
  </r>
  <r>
    <n v="2016"/>
    <s v="Senvion"/>
    <s v="MD77"/>
    <x v="0"/>
    <x v="0"/>
    <n v="15"/>
    <n v="41800"/>
    <x v="1"/>
  </r>
  <r>
    <n v="2016"/>
    <s v="Senvion"/>
    <s v="MD77"/>
    <x v="0"/>
    <x v="0"/>
    <n v="16"/>
    <n v="41800"/>
    <x v="1"/>
  </r>
  <r>
    <n v="2016"/>
    <s v="Senvion"/>
    <s v="MD77"/>
    <x v="0"/>
    <x v="0"/>
    <n v="17"/>
    <n v="41800"/>
    <x v="1"/>
  </r>
  <r>
    <n v="2016"/>
    <s v="Senvion"/>
    <s v="MD77"/>
    <x v="0"/>
    <x v="0"/>
    <n v="18"/>
    <n v="41800"/>
    <x v="1"/>
  </r>
  <r>
    <n v="2016"/>
    <s v="Senvion"/>
    <s v="MD77"/>
    <x v="0"/>
    <x v="0"/>
    <n v="19"/>
    <n v="41800"/>
    <x v="1"/>
  </r>
  <r>
    <n v="2016"/>
    <s v="Senvion"/>
    <s v="MD77"/>
    <x v="0"/>
    <x v="0"/>
    <n v="20"/>
    <n v="41800"/>
    <x v="1"/>
  </r>
  <r>
    <n v="2016"/>
    <s v="Senvion"/>
    <s v="MD77"/>
    <x v="0"/>
    <x v="0"/>
    <n v="13"/>
    <n v="41800"/>
    <x v="1"/>
  </r>
  <r>
    <n v="2016"/>
    <s v="Senvion"/>
    <s v="MD77"/>
    <x v="0"/>
    <x v="0"/>
    <n v="14"/>
    <n v="41800"/>
    <x v="1"/>
  </r>
  <r>
    <n v="2016"/>
    <s v="Senvion"/>
    <s v="MD77"/>
    <x v="0"/>
    <x v="0"/>
    <n v="15"/>
    <n v="41800"/>
    <x v="1"/>
  </r>
  <r>
    <n v="2016"/>
    <s v="Senvion"/>
    <s v="MD77"/>
    <x v="0"/>
    <x v="0"/>
    <n v="16"/>
    <n v="41800"/>
    <x v="1"/>
  </r>
  <r>
    <n v="2016"/>
    <s v="Senvion"/>
    <s v="MD77"/>
    <x v="0"/>
    <x v="0"/>
    <n v="17"/>
    <n v="41800"/>
    <x v="1"/>
  </r>
  <r>
    <n v="2016"/>
    <s v="Senvion"/>
    <s v="MD77"/>
    <x v="0"/>
    <x v="0"/>
    <n v="18"/>
    <n v="41800"/>
    <x v="1"/>
  </r>
  <r>
    <n v="2016"/>
    <s v="Senvion"/>
    <s v="MD77"/>
    <x v="0"/>
    <x v="0"/>
    <n v="19"/>
    <n v="41800"/>
    <x v="1"/>
  </r>
  <r>
    <n v="2016"/>
    <s v="Senvion"/>
    <s v="MD77"/>
    <x v="0"/>
    <x v="0"/>
    <n v="20"/>
    <n v="41800"/>
    <x v="1"/>
  </r>
  <r>
    <n v="2016"/>
    <s v="Nordex"/>
    <s v="S70"/>
    <x v="0"/>
    <x v="0"/>
    <n v="15"/>
    <n v="46000"/>
    <x v="1"/>
  </r>
  <r>
    <n v="2016"/>
    <s v="Nordex"/>
    <s v="S70"/>
    <x v="0"/>
    <x v="0"/>
    <n v="16"/>
    <n v="46000"/>
    <x v="1"/>
  </r>
  <r>
    <n v="2016"/>
    <s v="Nordex"/>
    <s v="S70"/>
    <x v="0"/>
    <x v="0"/>
    <n v="17"/>
    <n v="46000"/>
    <x v="1"/>
  </r>
  <r>
    <n v="2016"/>
    <s v="Nordex"/>
    <s v="S70"/>
    <x v="0"/>
    <x v="0"/>
    <n v="18"/>
    <n v="46000"/>
    <x v="1"/>
  </r>
  <r>
    <n v="2016"/>
    <s v="Nordex"/>
    <s v="S70"/>
    <x v="0"/>
    <x v="0"/>
    <n v="19"/>
    <n v="46000"/>
    <x v="1"/>
  </r>
  <r>
    <n v="2016"/>
    <s v="Nordex"/>
    <s v="S70"/>
    <x v="0"/>
    <x v="0"/>
    <n v="20"/>
    <n v="46000"/>
    <x v="1"/>
  </r>
  <r>
    <n v="2016"/>
    <s v="Senvion"/>
    <s v="MM82"/>
    <x v="2"/>
    <x v="11"/>
    <n v="11"/>
    <n v="37500"/>
    <x v="0"/>
  </r>
  <r>
    <n v="2016"/>
    <s v="Senvion"/>
    <s v="MM82"/>
    <x v="2"/>
    <x v="11"/>
    <n v="12"/>
    <n v="37500"/>
    <x v="0"/>
  </r>
  <r>
    <n v="2016"/>
    <s v="Senvion"/>
    <s v="MM82"/>
    <x v="2"/>
    <x v="11"/>
    <n v="13"/>
    <n v="37500"/>
    <x v="0"/>
  </r>
  <r>
    <n v="2016"/>
    <s v="Senvion"/>
    <s v="MM82"/>
    <x v="2"/>
    <x v="11"/>
    <n v="14"/>
    <n v="42000"/>
    <x v="0"/>
  </r>
  <r>
    <n v="2016"/>
    <s v="Senvion"/>
    <s v="MM82"/>
    <x v="2"/>
    <x v="11"/>
    <n v="15"/>
    <n v="42000"/>
    <x v="0"/>
  </r>
  <r>
    <n v="2016"/>
    <s v="Senvion"/>
    <s v="MM82"/>
    <x v="2"/>
    <x v="11"/>
    <n v="16"/>
    <n v="42000"/>
    <x v="0"/>
  </r>
  <r>
    <n v="2016"/>
    <s v="Senvion"/>
    <s v="MM82"/>
    <x v="2"/>
    <x v="11"/>
    <n v="17"/>
    <n v="45500"/>
    <x v="0"/>
  </r>
  <r>
    <n v="2016"/>
    <s v="Senvion"/>
    <s v="MM82"/>
    <x v="2"/>
    <x v="11"/>
    <n v="18"/>
    <n v="45500"/>
    <x v="0"/>
  </r>
  <r>
    <n v="2016"/>
    <s v="Senvion"/>
    <s v="MM82"/>
    <x v="2"/>
    <x v="11"/>
    <n v="19"/>
    <n v="45500"/>
    <x v="0"/>
  </r>
  <r>
    <n v="2016"/>
    <s v="Senvion"/>
    <s v="MM82"/>
    <x v="2"/>
    <x v="11"/>
    <n v="20"/>
    <n v="45500"/>
    <x v="0"/>
  </r>
  <r>
    <n v="2015"/>
    <s v="Fuhrländer"/>
    <s v="FL77"/>
    <x v="0"/>
    <x v="5"/>
    <n v="11"/>
    <n v="47500"/>
    <x v="0"/>
  </r>
  <r>
    <n v="2015"/>
    <s v="Fuhrländer"/>
    <s v="FL77"/>
    <x v="0"/>
    <x v="5"/>
    <n v="12"/>
    <n v="47500"/>
    <x v="0"/>
  </r>
  <r>
    <n v="2015"/>
    <s v="Fuhrländer"/>
    <s v="FL77"/>
    <x v="0"/>
    <x v="5"/>
    <n v="13"/>
    <n v="49500"/>
    <x v="0"/>
  </r>
  <r>
    <n v="2015"/>
    <s v="Fuhrländer"/>
    <s v="FL77"/>
    <x v="0"/>
    <x v="5"/>
    <n v="14"/>
    <n v="49500"/>
    <x v="0"/>
  </r>
  <r>
    <n v="2015"/>
    <s v="Fuhrländer"/>
    <s v="FL77"/>
    <x v="0"/>
    <x v="5"/>
    <n v="15"/>
    <n v="49500"/>
    <x v="0"/>
  </r>
  <r>
    <n v="2015"/>
    <s v="Fuhrländer"/>
    <s v="FL77"/>
    <x v="0"/>
    <x v="5"/>
    <n v="16"/>
    <n v="49500"/>
    <x v="0"/>
  </r>
  <r>
    <n v="2015"/>
    <s v="Fuhrländer"/>
    <s v="FL77"/>
    <x v="0"/>
    <x v="5"/>
    <n v="17"/>
    <n v="52500"/>
    <x v="0"/>
  </r>
  <r>
    <n v="2015"/>
    <s v="Fuhrländer"/>
    <s v="FL77"/>
    <x v="0"/>
    <x v="5"/>
    <n v="18"/>
    <n v="52500"/>
    <x v="0"/>
  </r>
  <r>
    <n v="2015"/>
    <s v="Fuhrländer"/>
    <s v="FL77"/>
    <x v="0"/>
    <x v="5"/>
    <n v="19"/>
    <n v="52500"/>
    <x v="0"/>
  </r>
  <r>
    <n v="2015"/>
    <s v="Fuhrländer"/>
    <s v="FL77"/>
    <x v="0"/>
    <x v="5"/>
    <n v="20"/>
    <n v="52500"/>
    <x v="0"/>
  </r>
  <r>
    <n v="2017"/>
    <s v="Senvion"/>
    <s v="MD77"/>
    <x v="0"/>
    <x v="0"/>
    <n v="13"/>
    <n v="40200"/>
    <x v="1"/>
  </r>
  <r>
    <n v="2017"/>
    <s v="Senvion"/>
    <s v="MD77"/>
    <x v="0"/>
    <x v="0"/>
    <n v="14"/>
    <n v="40200"/>
    <x v="1"/>
  </r>
  <r>
    <n v="2017"/>
    <s v="Senvion"/>
    <s v="MD77"/>
    <x v="0"/>
    <x v="0"/>
    <n v="15"/>
    <n v="43700"/>
    <x v="1"/>
  </r>
  <r>
    <n v="2017"/>
    <s v="Senvion"/>
    <s v="MD77"/>
    <x v="0"/>
    <x v="0"/>
    <n v="16"/>
    <n v="43700"/>
    <x v="1"/>
  </r>
  <r>
    <n v="2017"/>
    <s v="Senvion"/>
    <s v="MD77"/>
    <x v="0"/>
    <x v="0"/>
    <n v="17"/>
    <n v="47000"/>
    <x v="1"/>
  </r>
  <r>
    <n v="2017"/>
    <s v="Senvion"/>
    <s v="MD77"/>
    <x v="0"/>
    <x v="0"/>
    <n v="18"/>
    <n v="47000"/>
    <x v="1"/>
  </r>
  <r>
    <n v="2017"/>
    <s v="Senvion"/>
    <s v="MD77"/>
    <x v="0"/>
    <x v="0"/>
    <n v="19"/>
    <n v="47000"/>
    <x v="1"/>
  </r>
  <r>
    <n v="2017"/>
    <s v="Senvion"/>
    <s v="MD77"/>
    <x v="0"/>
    <x v="0"/>
    <n v="20"/>
    <n v="47000"/>
    <x v="1"/>
  </r>
  <r>
    <n v="2014"/>
    <s v="Senvion"/>
    <s v="MM92"/>
    <x v="2"/>
    <x v="14"/>
    <n v="1"/>
    <n v="17000"/>
    <x v="0"/>
  </r>
  <r>
    <n v="2014"/>
    <s v="Senvion"/>
    <s v="MM92"/>
    <x v="2"/>
    <x v="14"/>
    <n v="2"/>
    <n v="38500"/>
    <x v="0"/>
  </r>
  <r>
    <n v="2014"/>
    <s v="Senvion"/>
    <s v="MM92"/>
    <x v="2"/>
    <x v="14"/>
    <n v="3"/>
    <n v="38500"/>
    <x v="0"/>
  </r>
  <r>
    <n v="2014"/>
    <s v="Senvion"/>
    <s v="MM92"/>
    <x v="2"/>
    <x v="14"/>
    <n v="4"/>
    <n v="38500"/>
    <x v="0"/>
  </r>
  <r>
    <n v="2014"/>
    <s v="Senvion"/>
    <s v="MM92"/>
    <x v="2"/>
    <x v="14"/>
    <n v="5"/>
    <n v="43500"/>
    <x v="0"/>
  </r>
  <r>
    <n v="2014"/>
    <s v="Senvion"/>
    <s v="MM92"/>
    <x v="2"/>
    <x v="14"/>
    <n v="6"/>
    <n v="43500"/>
    <x v="0"/>
  </r>
  <r>
    <n v="2014"/>
    <s v="Senvion"/>
    <s v="MM92"/>
    <x v="2"/>
    <x v="14"/>
    <n v="7"/>
    <n v="43500"/>
    <x v="0"/>
  </r>
  <r>
    <n v="2014"/>
    <s v="Senvion"/>
    <s v="MM92"/>
    <x v="2"/>
    <x v="14"/>
    <n v="8"/>
    <n v="43500"/>
    <x v="0"/>
  </r>
  <r>
    <n v="2014"/>
    <s v="Senvion"/>
    <s v="MM92"/>
    <x v="2"/>
    <x v="14"/>
    <n v="9"/>
    <n v="48000"/>
    <x v="0"/>
  </r>
  <r>
    <n v="2014"/>
    <s v="Senvion"/>
    <s v="MM92"/>
    <x v="2"/>
    <x v="14"/>
    <n v="10"/>
    <n v="48000"/>
    <x v="0"/>
  </r>
  <r>
    <n v="2014"/>
    <s v="Senvion"/>
    <s v="MM92"/>
    <x v="2"/>
    <x v="14"/>
    <n v="11"/>
    <n v="51000"/>
    <x v="0"/>
  </r>
  <r>
    <n v="2014"/>
    <s v="Senvion"/>
    <s v="MM92"/>
    <x v="2"/>
    <x v="14"/>
    <n v="12"/>
    <n v="51000"/>
    <x v="0"/>
  </r>
  <r>
    <n v="2014"/>
    <s v="Senvion"/>
    <s v="MM92"/>
    <x v="2"/>
    <x v="14"/>
    <n v="13"/>
    <n v="51000"/>
    <x v="0"/>
  </r>
  <r>
    <n v="2014"/>
    <s v="Senvion"/>
    <s v="MM92"/>
    <x v="2"/>
    <x v="14"/>
    <n v="14"/>
    <n v="51000"/>
    <x v="0"/>
  </r>
  <r>
    <n v="2014"/>
    <s v="Senvion"/>
    <s v="MM92"/>
    <x v="2"/>
    <x v="14"/>
    <n v="15"/>
    <n v="51000"/>
    <x v="0"/>
  </r>
  <r>
    <n v="2014"/>
    <s v="Senvion"/>
    <s v="MM92"/>
    <x v="2"/>
    <x v="14"/>
    <n v="16"/>
    <n v="56500"/>
    <x v="0"/>
  </r>
  <r>
    <n v="2014"/>
    <s v="Senvion"/>
    <s v="MM92"/>
    <x v="2"/>
    <x v="14"/>
    <n v="17"/>
    <n v="56500"/>
    <x v="0"/>
  </r>
  <r>
    <n v="2014"/>
    <s v="Senvion"/>
    <s v="MM92"/>
    <x v="2"/>
    <x v="14"/>
    <n v="18"/>
    <n v="56500"/>
    <x v="0"/>
  </r>
  <r>
    <n v="2014"/>
    <s v="Senvion"/>
    <s v="MM92"/>
    <x v="2"/>
    <x v="14"/>
    <n v="19"/>
    <n v="56500"/>
    <x v="0"/>
  </r>
  <r>
    <n v="2014"/>
    <s v="Senvion"/>
    <s v="MM92"/>
    <x v="2"/>
    <x v="14"/>
    <n v="20"/>
    <n v="56500"/>
    <x v="0"/>
  </r>
  <r>
    <n v="2017"/>
    <s v="Senvion"/>
    <s v="3.4M114"/>
    <x v="6"/>
    <x v="6"/>
    <n v="1"/>
    <n v="33500"/>
    <x v="0"/>
  </r>
  <r>
    <n v="2017"/>
    <s v="Senvion"/>
    <s v="3.4M114"/>
    <x v="6"/>
    <x v="6"/>
    <n v="2"/>
    <n v="33500"/>
    <x v="0"/>
  </r>
  <r>
    <n v="2017"/>
    <s v="Senvion"/>
    <s v="3.4M114"/>
    <x v="6"/>
    <x v="6"/>
    <n v="3"/>
    <n v="54500"/>
    <x v="0"/>
  </r>
  <r>
    <n v="2017"/>
    <s v="Senvion"/>
    <s v="3.4M114"/>
    <x v="6"/>
    <x v="6"/>
    <n v="4"/>
    <n v="54500"/>
    <x v="0"/>
  </r>
  <r>
    <n v="2017"/>
    <s v="Senvion"/>
    <s v="3.4M114"/>
    <x v="6"/>
    <x v="6"/>
    <n v="5"/>
    <n v="54500"/>
    <x v="0"/>
  </r>
  <r>
    <n v="2017"/>
    <s v="Senvion"/>
    <s v="3.4M114"/>
    <x v="6"/>
    <x v="6"/>
    <n v="6"/>
    <n v="63500"/>
    <x v="0"/>
  </r>
  <r>
    <n v="2017"/>
    <s v="Senvion"/>
    <s v="3.4M114"/>
    <x v="6"/>
    <x v="6"/>
    <n v="7"/>
    <n v="63500"/>
    <x v="0"/>
  </r>
  <r>
    <n v="2017"/>
    <s v="Senvion"/>
    <s v="3.4M114"/>
    <x v="6"/>
    <x v="6"/>
    <n v="8"/>
    <n v="63500"/>
    <x v="0"/>
  </r>
  <r>
    <n v="2017"/>
    <s v="Senvion"/>
    <s v="3.4M114"/>
    <x v="6"/>
    <x v="6"/>
    <n v="9"/>
    <n v="63500"/>
    <x v="0"/>
  </r>
  <r>
    <n v="2017"/>
    <s v="Senvion"/>
    <s v="3.4M114"/>
    <x v="6"/>
    <x v="6"/>
    <n v="10"/>
    <n v="63500"/>
    <x v="0"/>
  </r>
  <r>
    <n v="2017"/>
    <s v="Senvion"/>
    <s v="3.4M114"/>
    <x v="6"/>
    <x v="6"/>
    <n v="11"/>
    <n v="78500"/>
    <x v="0"/>
  </r>
  <r>
    <n v="2017"/>
    <s v="Senvion"/>
    <s v="3.4M114"/>
    <x v="6"/>
    <x v="6"/>
    <n v="12"/>
    <n v="78500"/>
    <x v="0"/>
  </r>
  <r>
    <n v="2017"/>
    <s v="Senvion"/>
    <s v="3.4M114"/>
    <x v="6"/>
    <x v="6"/>
    <n v="13"/>
    <n v="78500"/>
    <x v="0"/>
  </r>
  <r>
    <n v="2017"/>
    <s v="Senvion"/>
    <s v="3.4M114"/>
    <x v="6"/>
    <x v="6"/>
    <n v="14"/>
    <n v="78500"/>
    <x v="0"/>
  </r>
  <r>
    <n v="2017"/>
    <s v="Senvion"/>
    <s v="3.4M114"/>
    <x v="6"/>
    <x v="6"/>
    <n v="15"/>
    <n v="78500"/>
    <x v="0"/>
  </r>
  <r>
    <n v="2017"/>
    <s v="Senvion"/>
    <s v="3.4M114"/>
    <x v="6"/>
    <x v="6"/>
    <n v="16"/>
    <n v="78500"/>
    <x v="0"/>
  </r>
  <r>
    <n v="2017"/>
    <s v="Senvion"/>
    <s v="3.4M114"/>
    <x v="6"/>
    <x v="6"/>
    <n v="17"/>
    <n v="88500"/>
    <x v="0"/>
  </r>
  <r>
    <n v="2017"/>
    <s v="Senvion"/>
    <s v="3.4M114"/>
    <x v="6"/>
    <x v="6"/>
    <n v="18"/>
    <n v="88500"/>
    <x v="0"/>
  </r>
  <r>
    <n v="2017"/>
    <s v="Senvion"/>
    <s v="3.4M114"/>
    <x v="6"/>
    <x v="6"/>
    <n v="19"/>
    <n v="88500"/>
    <x v="0"/>
  </r>
  <r>
    <n v="2017"/>
    <s v="Senvion"/>
    <s v="3.4M114"/>
    <x v="6"/>
    <x v="6"/>
    <n v="20"/>
    <n v="88500"/>
    <x v="0"/>
  </r>
  <r>
    <n v="2017"/>
    <s v="Senvion"/>
    <s v="MM100"/>
    <x v="2"/>
    <x v="0"/>
    <n v="2"/>
    <n v="32000"/>
    <x v="1"/>
  </r>
  <r>
    <n v="2017"/>
    <s v="Senvion"/>
    <s v="MM100"/>
    <x v="2"/>
    <x v="0"/>
    <n v="3"/>
    <n v="32480"/>
    <x v="1"/>
  </r>
  <r>
    <n v="2017"/>
    <s v="Senvion"/>
    <s v="MM100"/>
    <x v="2"/>
    <x v="0"/>
    <n v="4"/>
    <n v="38487"/>
    <x v="1"/>
  </r>
  <r>
    <n v="2017"/>
    <s v="Senvion"/>
    <s v="MM100"/>
    <x v="2"/>
    <x v="0"/>
    <n v="5"/>
    <n v="39065"/>
    <x v="1"/>
  </r>
  <r>
    <n v="2017"/>
    <s v="Senvion"/>
    <s v="MM100"/>
    <x v="2"/>
    <x v="0"/>
    <n v="6"/>
    <n v="39650"/>
    <x v="1"/>
  </r>
  <r>
    <n v="2017"/>
    <s v="Senvion"/>
    <s v="MM100"/>
    <x v="2"/>
    <x v="0"/>
    <n v="7"/>
    <n v="40245"/>
    <x v="1"/>
  </r>
  <r>
    <n v="2017"/>
    <s v="Senvion"/>
    <s v="MM100"/>
    <x v="2"/>
    <x v="0"/>
    <n v="8"/>
    <n v="43000"/>
    <x v="1"/>
  </r>
  <r>
    <n v="2017"/>
    <s v="Senvion"/>
    <s v="MM100"/>
    <x v="2"/>
    <x v="0"/>
    <n v="9"/>
    <n v="43645"/>
    <x v="1"/>
  </r>
  <r>
    <n v="2017"/>
    <s v="Senvion"/>
    <s v="MM100"/>
    <x v="2"/>
    <x v="0"/>
    <n v="10"/>
    <n v="45655"/>
    <x v="1"/>
  </r>
  <r>
    <n v="2017"/>
    <s v="Senvion"/>
    <s v="MM100"/>
    <x v="2"/>
    <x v="0"/>
    <n v="11"/>
    <n v="46339"/>
    <x v="1"/>
  </r>
  <r>
    <n v="2017"/>
    <s v="Senvion"/>
    <s v="MM100"/>
    <x v="2"/>
    <x v="0"/>
    <n v="12"/>
    <n v="47035"/>
    <x v="1"/>
  </r>
  <r>
    <n v="2017"/>
    <s v="Senvion"/>
    <s v="MM100"/>
    <x v="2"/>
    <x v="0"/>
    <n v="13"/>
    <n v="47740"/>
    <x v="1"/>
  </r>
  <r>
    <n v="2017"/>
    <s v="Senvion"/>
    <s v="MM100"/>
    <x v="2"/>
    <x v="0"/>
    <n v="14"/>
    <n v="48456"/>
    <x v="1"/>
  </r>
  <r>
    <n v="2017"/>
    <s v="Senvion"/>
    <s v="MM100"/>
    <x v="2"/>
    <x v="0"/>
    <n v="15"/>
    <n v="54000"/>
    <x v="1"/>
  </r>
  <r>
    <n v="2017"/>
    <s v="Senvion"/>
    <s v="MM100"/>
    <x v="2"/>
    <x v="0"/>
    <n v="16"/>
    <n v="54810"/>
    <x v="1"/>
  </r>
  <r>
    <n v="2017"/>
    <s v="Senvion"/>
    <s v="MM100"/>
    <x v="2"/>
    <x v="0"/>
    <n v="17"/>
    <n v="55632"/>
    <x v="1"/>
  </r>
  <r>
    <n v="2017"/>
    <s v="Senvion"/>
    <s v="MM100"/>
    <x v="2"/>
    <x v="0"/>
    <n v="18"/>
    <n v="56467"/>
    <x v="1"/>
  </r>
  <r>
    <n v="2017"/>
    <s v="Senvion"/>
    <s v="MM100"/>
    <x v="2"/>
    <x v="0"/>
    <n v="19"/>
    <n v="57314"/>
    <x v="1"/>
  </r>
  <r>
    <n v="2017"/>
    <s v="Senvion"/>
    <s v="MM100"/>
    <x v="2"/>
    <x v="0"/>
    <n v="20"/>
    <n v="58173"/>
    <x v="1"/>
  </r>
  <r>
    <n v="2017"/>
    <s v="Senvion"/>
    <s v="MM82"/>
    <x v="2"/>
    <x v="0"/>
    <n v="13"/>
    <n v="42000"/>
    <x v="0"/>
  </r>
  <r>
    <n v="2017"/>
    <s v="Senvion"/>
    <s v="MM82"/>
    <x v="2"/>
    <x v="0"/>
    <n v="14"/>
    <n v="42000"/>
    <x v="0"/>
  </r>
  <r>
    <n v="2017"/>
    <s v="Senvion"/>
    <s v="MM82"/>
    <x v="2"/>
    <x v="0"/>
    <n v="15"/>
    <n v="45000"/>
    <x v="0"/>
  </r>
  <r>
    <n v="2017"/>
    <s v="Senvion"/>
    <s v="MM82"/>
    <x v="2"/>
    <x v="0"/>
    <n v="16"/>
    <n v="45000"/>
    <x v="0"/>
  </r>
  <r>
    <n v="2017"/>
    <s v="Senvion"/>
    <s v="MM82"/>
    <x v="2"/>
    <x v="0"/>
    <n v="17"/>
    <n v="45000"/>
    <x v="0"/>
  </r>
  <r>
    <n v="2017"/>
    <s v="Senvion"/>
    <s v="MM82"/>
    <x v="2"/>
    <x v="0"/>
    <n v="18"/>
    <n v="51000"/>
    <x v="0"/>
  </r>
  <r>
    <n v="2017"/>
    <s v="Senvion"/>
    <s v="MM82"/>
    <x v="2"/>
    <x v="0"/>
    <n v="19"/>
    <n v="51000"/>
    <x v="0"/>
  </r>
  <r>
    <n v="2017"/>
    <s v="Senvion"/>
    <s v="MM82"/>
    <x v="2"/>
    <x v="0"/>
    <n v="20"/>
    <n v="51000"/>
    <x v="0"/>
  </r>
  <r>
    <n v="2017"/>
    <s v="Senvion"/>
    <s v="MM82"/>
    <x v="2"/>
    <x v="0"/>
    <n v="8"/>
    <n v="41000"/>
    <x v="0"/>
  </r>
  <r>
    <n v="2017"/>
    <s v="Senvion"/>
    <s v="MM82"/>
    <x v="2"/>
    <x v="0"/>
    <n v="9"/>
    <n v="41000"/>
    <x v="0"/>
  </r>
  <r>
    <n v="2017"/>
    <s v="Senvion"/>
    <s v="MM82"/>
    <x v="2"/>
    <x v="0"/>
    <n v="10"/>
    <n v="41000"/>
    <x v="0"/>
  </r>
  <r>
    <n v="2017"/>
    <s v="Senvion"/>
    <s v="MM82"/>
    <x v="2"/>
    <x v="0"/>
    <n v="11"/>
    <n v="45500"/>
    <x v="0"/>
  </r>
  <r>
    <n v="2017"/>
    <s v="Senvion"/>
    <s v="MM82"/>
    <x v="2"/>
    <x v="0"/>
    <n v="12"/>
    <n v="45500"/>
    <x v="0"/>
  </r>
  <r>
    <n v="2017"/>
    <s v="Senvion"/>
    <s v="MM82"/>
    <x v="2"/>
    <x v="0"/>
    <n v="13"/>
    <n v="45500"/>
    <x v="0"/>
  </r>
  <r>
    <n v="2017"/>
    <s v="Senvion"/>
    <s v="MM82"/>
    <x v="2"/>
    <x v="0"/>
    <n v="14"/>
    <n v="45500"/>
    <x v="0"/>
  </r>
  <r>
    <n v="2017"/>
    <s v="Senvion"/>
    <s v="MM82"/>
    <x v="2"/>
    <x v="0"/>
    <n v="15"/>
    <n v="45500"/>
    <x v="0"/>
  </r>
  <r>
    <n v="2017"/>
    <s v="Senvion"/>
    <s v="MM82"/>
    <x v="2"/>
    <x v="0"/>
    <n v="16"/>
    <n v="48500"/>
    <x v="0"/>
  </r>
  <r>
    <n v="2017"/>
    <s v="Senvion"/>
    <s v="MM82"/>
    <x v="2"/>
    <x v="0"/>
    <n v="17"/>
    <n v="48500"/>
    <x v="0"/>
  </r>
  <r>
    <n v="2017"/>
    <s v="Senvion"/>
    <s v="MM82"/>
    <x v="2"/>
    <x v="0"/>
    <n v="18"/>
    <n v="48500"/>
    <x v="0"/>
  </r>
  <r>
    <n v="2017"/>
    <s v="Senvion"/>
    <s v="MM82"/>
    <x v="2"/>
    <x v="0"/>
    <n v="19"/>
    <n v="48500"/>
    <x v="0"/>
  </r>
  <r>
    <n v="2017"/>
    <s v="Senvion"/>
    <s v="MM82"/>
    <x v="2"/>
    <x v="0"/>
    <n v="20"/>
    <n v="48500"/>
    <x v="0"/>
  </r>
  <r>
    <n v="2017"/>
    <s v="Nordex"/>
    <s v="N117"/>
    <x v="5"/>
    <x v="15"/>
    <n v="1"/>
    <n v="20000"/>
    <x v="0"/>
  </r>
  <r>
    <n v="2017"/>
    <s v="Nordex"/>
    <s v="N117"/>
    <x v="5"/>
    <x v="15"/>
    <n v="2"/>
    <n v="20000"/>
    <x v="0"/>
  </r>
  <r>
    <n v="2017"/>
    <s v="Nordex"/>
    <s v="N117"/>
    <x v="5"/>
    <x v="15"/>
    <n v="3"/>
    <n v="47000"/>
    <x v="0"/>
  </r>
  <r>
    <n v="2017"/>
    <s v="Nordex"/>
    <s v="N117"/>
    <x v="5"/>
    <x v="15"/>
    <n v="4"/>
    <n v="47000"/>
    <x v="0"/>
  </r>
  <r>
    <n v="2017"/>
    <s v="Nordex"/>
    <s v="N117"/>
    <x v="5"/>
    <x v="15"/>
    <n v="5"/>
    <n v="47000"/>
    <x v="0"/>
  </r>
  <r>
    <n v="2017"/>
    <s v="Nordex"/>
    <s v="N117"/>
    <x v="5"/>
    <x v="15"/>
    <n v="6"/>
    <n v="52500"/>
    <x v="0"/>
  </r>
  <r>
    <n v="2017"/>
    <s v="Nordex"/>
    <s v="N117"/>
    <x v="5"/>
    <x v="15"/>
    <n v="7"/>
    <n v="52500"/>
    <x v="0"/>
  </r>
  <r>
    <n v="2017"/>
    <s v="Nordex"/>
    <s v="N117"/>
    <x v="5"/>
    <x v="15"/>
    <n v="8"/>
    <n v="52500"/>
    <x v="0"/>
  </r>
  <r>
    <n v="2017"/>
    <s v="Nordex"/>
    <s v="N117"/>
    <x v="5"/>
    <x v="15"/>
    <n v="9"/>
    <n v="52500"/>
    <x v="0"/>
  </r>
  <r>
    <n v="2017"/>
    <s v="Nordex"/>
    <s v="N117"/>
    <x v="5"/>
    <x v="15"/>
    <n v="10"/>
    <n v="52500"/>
    <x v="0"/>
  </r>
  <r>
    <n v="2017"/>
    <s v="Nordex"/>
    <s v="N117"/>
    <x v="5"/>
    <x v="15"/>
    <n v="11"/>
    <n v="57500"/>
    <x v="0"/>
  </r>
  <r>
    <n v="2017"/>
    <s v="Nordex"/>
    <s v="N117"/>
    <x v="5"/>
    <x v="15"/>
    <n v="12"/>
    <n v="57500"/>
    <x v="0"/>
  </r>
  <r>
    <n v="2017"/>
    <s v="Nordex"/>
    <s v="N117"/>
    <x v="5"/>
    <x v="15"/>
    <n v="13"/>
    <n v="57500"/>
    <x v="0"/>
  </r>
  <r>
    <n v="2017"/>
    <s v="Nordex"/>
    <s v="N117"/>
    <x v="5"/>
    <x v="15"/>
    <n v="14"/>
    <n v="57500"/>
    <x v="0"/>
  </r>
  <r>
    <n v="2017"/>
    <s v="Nordex"/>
    <s v="N117"/>
    <x v="5"/>
    <x v="15"/>
    <n v="15"/>
    <n v="57500"/>
    <x v="0"/>
  </r>
  <r>
    <n v="2017"/>
    <s v="Nordex"/>
    <s v="N117"/>
    <x v="5"/>
    <x v="15"/>
    <n v="16"/>
    <n v="63500"/>
    <x v="0"/>
  </r>
  <r>
    <n v="2017"/>
    <s v="Nordex"/>
    <s v="N117"/>
    <x v="5"/>
    <x v="15"/>
    <n v="17"/>
    <n v="63500"/>
    <x v="0"/>
  </r>
  <r>
    <n v="2017"/>
    <s v="Nordex"/>
    <s v="N117"/>
    <x v="5"/>
    <x v="15"/>
    <n v="18"/>
    <n v="63500"/>
    <x v="0"/>
  </r>
  <r>
    <n v="2017"/>
    <s v="Nordex"/>
    <s v="N117"/>
    <x v="5"/>
    <x v="15"/>
    <n v="19"/>
    <n v="63500"/>
    <x v="0"/>
  </r>
  <r>
    <n v="2017"/>
    <s v="Nordex"/>
    <s v="N117"/>
    <x v="5"/>
    <x v="15"/>
    <n v="20"/>
    <n v="63500"/>
    <x v="0"/>
  </r>
  <r>
    <n v="2017"/>
    <s v="Nordex"/>
    <s v="N117"/>
    <x v="5"/>
    <x v="15"/>
    <n v="21"/>
    <n v="76500"/>
    <x v="0"/>
  </r>
  <r>
    <n v="2017"/>
    <s v="Nordex"/>
    <s v="N117"/>
    <x v="5"/>
    <x v="15"/>
    <n v="22"/>
    <n v="76500"/>
    <x v="0"/>
  </r>
  <r>
    <n v="2017"/>
    <s v="Nordex"/>
    <s v="N117"/>
    <x v="5"/>
    <x v="15"/>
    <n v="23"/>
    <n v="76500"/>
    <x v="0"/>
  </r>
  <r>
    <n v="2017"/>
    <s v="Nordex"/>
    <s v="N117"/>
    <x v="5"/>
    <x v="15"/>
    <n v="24"/>
    <n v="76500"/>
    <x v="0"/>
  </r>
  <r>
    <n v="2017"/>
    <s v="Nordex"/>
    <s v="N117"/>
    <x v="5"/>
    <x v="15"/>
    <n v="25"/>
    <n v="76500"/>
    <x v="0"/>
  </r>
  <r>
    <n v="2017"/>
    <s v="Senvion"/>
    <s v="MM100"/>
    <x v="2"/>
    <x v="0"/>
    <n v="1"/>
    <n v="18000"/>
    <x v="0"/>
  </r>
  <r>
    <n v="2017"/>
    <s v="Senvion"/>
    <s v="MM100"/>
    <x v="2"/>
    <x v="0"/>
    <n v="2"/>
    <n v="18000"/>
    <x v="0"/>
  </r>
  <r>
    <n v="2017"/>
    <s v="Senvion"/>
    <s v="MM100"/>
    <x v="2"/>
    <x v="0"/>
    <n v="3"/>
    <n v="37000"/>
    <x v="0"/>
  </r>
  <r>
    <n v="2017"/>
    <s v="Senvion"/>
    <s v="MM100"/>
    <x v="2"/>
    <x v="0"/>
    <n v="4"/>
    <n v="37000"/>
    <x v="0"/>
  </r>
  <r>
    <n v="2017"/>
    <s v="Senvion"/>
    <s v="MM100"/>
    <x v="2"/>
    <x v="0"/>
    <n v="5"/>
    <n v="42000"/>
    <x v="0"/>
  </r>
  <r>
    <n v="2017"/>
    <s v="Senvion"/>
    <s v="MM100"/>
    <x v="2"/>
    <x v="0"/>
    <n v="6"/>
    <n v="42000"/>
    <x v="0"/>
  </r>
  <r>
    <n v="2017"/>
    <s v="Senvion"/>
    <s v="MM100"/>
    <x v="2"/>
    <x v="0"/>
    <n v="7"/>
    <n v="42000"/>
    <x v="0"/>
  </r>
  <r>
    <n v="2017"/>
    <s v="Senvion"/>
    <s v="MM100"/>
    <x v="2"/>
    <x v="0"/>
    <n v="8"/>
    <n v="42000"/>
    <x v="0"/>
  </r>
  <r>
    <n v="2017"/>
    <s v="Senvion"/>
    <s v="MM100"/>
    <x v="2"/>
    <x v="0"/>
    <n v="9"/>
    <n v="46500"/>
    <x v="0"/>
  </r>
  <r>
    <n v="2017"/>
    <s v="Senvion"/>
    <s v="MM100"/>
    <x v="2"/>
    <x v="0"/>
    <n v="10"/>
    <n v="46500"/>
    <x v="0"/>
  </r>
  <r>
    <n v="2017"/>
    <s v="Senvion"/>
    <s v="MM100"/>
    <x v="2"/>
    <x v="0"/>
    <n v="11"/>
    <n v="49000"/>
    <x v="0"/>
  </r>
  <r>
    <n v="2017"/>
    <s v="Senvion"/>
    <s v="MM100"/>
    <x v="2"/>
    <x v="0"/>
    <n v="12"/>
    <n v="49000"/>
    <x v="0"/>
  </r>
  <r>
    <n v="2017"/>
    <s v="Senvion"/>
    <s v="MM100"/>
    <x v="2"/>
    <x v="0"/>
    <n v="13"/>
    <n v="49000"/>
    <x v="0"/>
  </r>
  <r>
    <n v="2017"/>
    <s v="Senvion"/>
    <s v="MM100"/>
    <x v="2"/>
    <x v="0"/>
    <n v="14"/>
    <n v="49000"/>
    <x v="0"/>
  </r>
  <r>
    <n v="2017"/>
    <s v="Senvion"/>
    <s v="MM100"/>
    <x v="2"/>
    <x v="0"/>
    <n v="15"/>
    <n v="49000"/>
    <x v="0"/>
  </r>
  <r>
    <n v="2017"/>
    <s v="Senvion"/>
    <s v="MM100"/>
    <x v="2"/>
    <x v="0"/>
    <n v="16"/>
    <n v="54500"/>
    <x v="0"/>
  </r>
  <r>
    <n v="2017"/>
    <s v="Senvion"/>
    <s v="MM100"/>
    <x v="2"/>
    <x v="0"/>
    <n v="17"/>
    <n v="54500"/>
    <x v="0"/>
  </r>
  <r>
    <n v="2017"/>
    <s v="Senvion"/>
    <s v="MM100"/>
    <x v="2"/>
    <x v="0"/>
    <n v="18"/>
    <n v="54500"/>
    <x v="0"/>
  </r>
  <r>
    <n v="2017"/>
    <s v="Senvion"/>
    <s v="MM100"/>
    <x v="2"/>
    <x v="0"/>
    <n v="19"/>
    <n v="54500"/>
    <x v="0"/>
  </r>
  <r>
    <n v="2017"/>
    <s v="Senvion"/>
    <s v="MM100"/>
    <x v="2"/>
    <x v="0"/>
    <n v="20"/>
    <n v="54500"/>
    <x v="0"/>
  </r>
  <r>
    <n v="2017"/>
    <s v="Nordex"/>
    <s v="N117"/>
    <x v="5"/>
    <x v="5"/>
    <n v="4"/>
    <n v="43000"/>
    <x v="0"/>
  </r>
  <r>
    <n v="2017"/>
    <s v="Nordex"/>
    <s v="N117"/>
    <x v="5"/>
    <x v="5"/>
    <n v="5"/>
    <n v="43000"/>
    <x v="0"/>
  </r>
  <r>
    <n v="2017"/>
    <s v="Nordex"/>
    <s v="N117"/>
    <x v="5"/>
    <x v="5"/>
    <n v="6"/>
    <n v="49000"/>
    <x v="0"/>
  </r>
  <r>
    <n v="2017"/>
    <s v="Nordex"/>
    <s v="N117"/>
    <x v="5"/>
    <x v="5"/>
    <n v="7"/>
    <n v="49000"/>
    <x v="0"/>
  </r>
  <r>
    <n v="2017"/>
    <s v="Nordex"/>
    <s v="N117"/>
    <x v="5"/>
    <x v="5"/>
    <n v="8"/>
    <n v="49000"/>
    <x v="0"/>
  </r>
  <r>
    <n v="2017"/>
    <s v="Nordex"/>
    <s v="N117"/>
    <x v="5"/>
    <x v="5"/>
    <n v="9"/>
    <n v="49000"/>
    <x v="0"/>
  </r>
  <r>
    <n v="2017"/>
    <s v="Nordex"/>
    <s v="N117"/>
    <x v="5"/>
    <x v="5"/>
    <n v="10"/>
    <n v="49000"/>
    <x v="0"/>
  </r>
  <r>
    <n v="2017"/>
    <s v="Nordex"/>
    <s v="N117"/>
    <x v="5"/>
    <x v="5"/>
    <n v="11"/>
    <n v="54000"/>
    <x v="0"/>
  </r>
  <r>
    <n v="2017"/>
    <s v="Nordex"/>
    <s v="N117"/>
    <x v="5"/>
    <x v="5"/>
    <n v="12"/>
    <n v="54000"/>
    <x v="0"/>
  </r>
  <r>
    <n v="2017"/>
    <s v="Nordex"/>
    <s v="N117"/>
    <x v="5"/>
    <x v="5"/>
    <n v="13"/>
    <n v="54000"/>
    <x v="0"/>
  </r>
  <r>
    <n v="2017"/>
    <s v="Nordex"/>
    <s v="N117"/>
    <x v="5"/>
    <x v="5"/>
    <n v="14"/>
    <n v="54000"/>
    <x v="0"/>
  </r>
  <r>
    <n v="2017"/>
    <s v="Nordex"/>
    <s v="N117"/>
    <x v="5"/>
    <x v="5"/>
    <n v="15"/>
    <n v="54000"/>
    <x v="0"/>
  </r>
  <r>
    <n v="2017"/>
    <s v="Nordex"/>
    <s v="N117"/>
    <x v="5"/>
    <x v="5"/>
    <n v="16"/>
    <n v="60000"/>
    <x v="0"/>
  </r>
  <r>
    <n v="2017"/>
    <s v="Nordex"/>
    <s v="N117"/>
    <x v="5"/>
    <x v="5"/>
    <n v="17"/>
    <n v="60000"/>
    <x v="0"/>
  </r>
  <r>
    <n v="2017"/>
    <s v="Nordex"/>
    <s v="N117"/>
    <x v="5"/>
    <x v="5"/>
    <n v="18"/>
    <n v="60000"/>
    <x v="0"/>
  </r>
  <r>
    <n v="2017"/>
    <s v="Nordex"/>
    <s v="N117"/>
    <x v="5"/>
    <x v="5"/>
    <n v="19"/>
    <n v="60000"/>
    <x v="0"/>
  </r>
  <r>
    <n v="2017"/>
    <s v="Nordex"/>
    <s v="N117"/>
    <x v="5"/>
    <x v="5"/>
    <n v="20"/>
    <n v="60000"/>
    <x v="0"/>
  </r>
  <r>
    <n v="2017"/>
    <s v="Senvion"/>
    <s v="3.2M"/>
    <x v="6"/>
    <x v="0"/>
    <n v="1"/>
    <n v="33500"/>
    <x v="0"/>
  </r>
  <r>
    <n v="2017"/>
    <s v="Senvion"/>
    <s v="3.2M"/>
    <x v="6"/>
    <x v="0"/>
    <n v="2"/>
    <n v="33500"/>
    <x v="0"/>
  </r>
  <r>
    <n v="2017"/>
    <s v="Senvion"/>
    <s v="3.2M"/>
    <x v="6"/>
    <x v="0"/>
    <n v="3"/>
    <n v="54500"/>
    <x v="0"/>
  </r>
  <r>
    <n v="2017"/>
    <s v="Senvion"/>
    <s v="3.2M"/>
    <x v="6"/>
    <x v="0"/>
    <n v="4"/>
    <n v="54500"/>
    <x v="0"/>
  </r>
  <r>
    <n v="2017"/>
    <s v="Senvion"/>
    <s v="3.2M"/>
    <x v="6"/>
    <x v="0"/>
    <n v="5"/>
    <n v="54500"/>
    <x v="0"/>
  </r>
  <r>
    <n v="2017"/>
    <s v="Senvion"/>
    <s v="3.2M"/>
    <x v="6"/>
    <x v="0"/>
    <n v="6"/>
    <n v="63500"/>
    <x v="0"/>
  </r>
  <r>
    <n v="2017"/>
    <s v="Senvion"/>
    <s v="3.2M"/>
    <x v="6"/>
    <x v="0"/>
    <n v="7"/>
    <n v="63500"/>
    <x v="0"/>
  </r>
  <r>
    <n v="2017"/>
    <s v="Senvion"/>
    <s v="3.2M"/>
    <x v="6"/>
    <x v="0"/>
    <n v="8"/>
    <n v="63500"/>
    <x v="0"/>
  </r>
  <r>
    <n v="2017"/>
    <s v="Senvion"/>
    <s v="3.2M"/>
    <x v="6"/>
    <x v="0"/>
    <n v="9"/>
    <n v="63500"/>
    <x v="0"/>
  </r>
  <r>
    <n v="2017"/>
    <s v="Senvion"/>
    <s v="3.2M"/>
    <x v="6"/>
    <x v="0"/>
    <n v="10"/>
    <n v="63500"/>
    <x v="0"/>
  </r>
  <r>
    <n v="2017"/>
    <s v="Senvion"/>
    <s v="3.2M"/>
    <x v="6"/>
    <x v="0"/>
    <n v="11"/>
    <n v="78500"/>
    <x v="0"/>
  </r>
  <r>
    <n v="2017"/>
    <s v="Senvion"/>
    <s v="3.2M"/>
    <x v="6"/>
    <x v="0"/>
    <n v="12"/>
    <n v="78500"/>
    <x v="0"/>
  </r>
  <r>
    <n v="2017"/>
    <s v="Senvion"/>
    <s v="3.2M"/>
    <x v="6"/>
    <x v="0"/>
    <n v="13"/>
    <n v="78500"/>
    <x v="0"/>
  </r>
  <r>
    <n v="2017"/>
    <s v="Senvion"/>
    <s v="3.2M"/>
    <x v="6"/>
    <x v="0"/>
    <n v="14"/>
    <n v="78500"/>
    <x v="0"/>
  </r>
  <r>
    <n v="2017"/>
    <s v="Senvion"/>
    <s v="3.2M"/>
    <x v="6"/>
    <x v="0"/>
    <n v="15"/>
    <n v="78500"/>
    <x v="0"/>
  </r>
  <r>
    <n v="2017"/>
    <s v="Senvion"/>
    <s v="3.2M"/>
    <x v="6"/>
    <x v="0"/>
    <n v="16"/>
    <n v="78500"/>
    <x v="0"/>
  </r>
  <r>
    <n v="2017"/>
    <s v="Senvion"/>
    <s v="3.2M"/>
    <x v="6"/>
    <x v="0"/>
    <n v="17"/>
    <n v="88500"/>
    <x v="0"/>
  </r>
  <r>
    <n v="2017"/>
    <s v="Senvion"/>
    <s v="3.2M"/>
    <x v="6"/>
    <x v="0"/>
    <n v="18"/>
    <n v="88500"/>
    <x v="0"/>
  </r>
  <r>
    <n v="2017"/>
    <s v="Senvion"/>
    <s v="3.2M"/>
    <x v="6"/>
    <x v="0"/>
    <n v="19"/>
    <n v="88500"/>
    <x v="0"/>
  </r>
  <r>
    <n v="2017"/>
    <s v="Senvion"/>
    <s v="3.2M"/>
    <x v="6"/>
    <x v="0"/>
    <n v="20"/>
    <n v="88500"/>
    <x v="0"/>
  </r>
  <r>
    <n v="2017"/>
    <s v="Senvion"/>
    <s v="MD77"/>
    <x v="0"/>
    <x v="3"/>
    <n v="13"/>
    <n v="37000"/>
    <x v="0"/>
  </r>
  <r>
    <n v="2017"/>
    <s v="Senvion"/>
    <s v="MD77"/>
    <x v="0"/>
    <x v="3"/>
    <n v="14"/>
    <n v="37000"/>
    <x v="0"/>
  </r>
  <r>
    <n v="2017"/>
    <s v="Senvion"/>
    <s v="MD77"/>
    <x v="0"/>
    <x v="3"/>
    <n v="15"/>
    <n v="37000"/>
    <x v="0"/>
  </r>
  <r>
    <n v="2017"/>
    <s v="Senvion"/>
    <s v="MD77"/>
    <x v="0"/>
    <x v="3"/>
    <n v="16"/>
    <n v="40000"/>
    <x v="0"/>
  </r>
  <r>
    <n v="2017"/>
    <s v="Senvion"/>
    <s v="MD77"/>
    <x v="0"/>
    <x v="3"/>
    <n v="17"/>
    <n v="40000"/>
    <x v="0"/>
  </r>
  <r>
    <n v="2017"/>
    <s v="Senvion"/>
    <s v="MD77"/>
    <x v="0"/>
    <x v="3"/>
    <n v="18"/>
    <n v="40000"/>
    <x v="0"/>
  </r>
  <r>
    <n v="2017"/>
    <s v="Senvion"/>
    <s v="MD77"/>
    <x v="0"/>
    <x v="3"/>
    <n v="19"/>
    <n v="42000"/>
    <x v="0"/>
  </r>
  <r>
    <n v="2017"/>
    <s v="Senvion"/>
    <s v="MD77"/>
    <x v="0"/>
    <x v="3"/>
    <n v="20"/>
    <n v="42000"/>
    <x v="0"/>
  </r>
  <r>
    <n v="2017"/>
    <s v="Nordex"/>
    <s v="N90"/>
    <x v="7"/>
    <x v="2"/>
    <n v="10"/>
    <n v="50000"/>
    <x v="1"/>
  </r>
  <r>
    <n v="2017"/>
    <s v="Nordex"/>
    <s v="N90"/>
    <x v="7"/>
    <x v="2"/>
    <n v="11"/>
    <n v="50000"/>
    <x v="1"/>
  </r>
  <r>
    <n v="2017"/>
    <s v="Nordex"/>
    <s v="N90"/>
    <x v="7"/>
    <x v="2"/>
    <n v="12"/>
    <n v="50000"/>
    <x v="1"/>
  </r>
  <r>
    <n v="2017"/>
    <s v="Nordex"/>
    <s v="N90"/>
    <x v="7"/>
    <x v="2"/>
    <n v="13"/>
    <n v="56500"/>
    <x v="1"/>
  </r>
  <r>
    <n v="2017"/>
    <s v="Nordex"/>
    <s v="N90"/>
    <x v="7"/>
    <x v="2"/>
    <n v="14"/>
    <n v="56500"/>
    <x v="1"/>
  </r>
  <r>
    <n v="2017"/>
    <s v="Nordex"/>
    <s v="N90"/>
    <x v="7"/>
    <x v="2"/>
    <n v="15"/>
    <n v="56500"/>
    <x v="1"/>
  </r>
  <r>
    <n v="2017"/>
    <s v="Nordex"/>
    <s v="N90"/>
    <x v="7"/>
    <x v="2"/>
    <n v="16"/>
    <n v="59000"/>
    <x v="1"/>
  </r>
  <r>
    <n v="2017"/>
    <s v="Nordex"/>
    <s v="N90"/>
    <x v="7"/>
    <x v="2"/>
    <n v="17"/>
    <n v="59000"/>
    <x v="1"/>
  </r>
  <r>
    <n v="2017"/>
    <s v="Nordex"/>
    <s v="N90"/>
    <x v="7"/>
    <x v="2"/>
    <n v="18"/>
    <n v="59000"/>
    <x v="1"/>
  </r>
  <r>
    <n v="2017"/>
    <s v="Nordex"/>
    <s v="N90"/>
    <x v="7"/>
    <x v="2"/>
    <n v="19"/>
    <n v="59000"/>
    <x v="1"/>
  </r>
  <r>
    <n v="2017"/>
    <s v="Nordex"/>
    <s v="N90"/>
    <x v="7"/>
    <x v="2"/>
    <n v="20"/>
    <n v="59000"/>
    <x v="1"/>
  </r>
  <r>
    <n v="2017"/>
    <s v="Nordex"/>
    <s v="N100"/>
    <x v="7"/>
    <x v="0"/>
    <n v="4"/>
    <n v="36250"/>
    <x v="1"/>
  </r>
  <r>
    <n v="2017"/>
    <s v="Nordex"/>
    <s v="N100"/>
    <x v="7"/>
    <x v="0"/>
    <n v="5"/>
    <n v="36250"/>
    <x v="1"/>
  </r>
  <r>
    <n v="2017"/>
    <s v="Nordex"/>
    <s v="N100"/>
    <x v="7"/>
    <x v="0"/>
    <n v="6"/>
    <n v="43250"/>
    <x v="1"/>
  </r>
  <r>
    <n v="2017"/>
    <s v="Nordex"/>
    <s v="N100"/>
    <x v="7"/>
    <x v="0"/>
    <n v="7"/>
    <n v="43250"/>
    <x v="1"/>
  </r>
  <r>
    <n v="2017"/>
    <s v="Nordex"/>
    <s v="N100"/>
    <x v="7"/>
    <x v="0"/>
    <n v="8"/>
    <n v="43250"/>
    <x v="1"/>
  </r>
  <r>
    <n v="2017"/>
    <s v="Nordex"/>
    <s v="N100"/>
    <x v="7"/>
    <x v="0"/>
    <n v="9"/>
    <n v="43250"/>
    <x v="1"/>
  </r>
  <r>
    <n v="2017"/>
    <s v="Nordex"/>
    <s v="N100"/>
    <x v="7"/>
    <x v="0"/>
    <n v="10"/>
    <n v="43250"/>
    <x v="1"/>
  </r>
  <r>
    <n v="2017"/>
    <s v="Nordex"/>
    <s v="N100"/>
    <x v="7"/>
    <x v="0"/>
    <n v="11"/>
    <n v="50250"/>
    <x v="1"/>
  </r>
  <r>
    <n v="2017"/>
    <s v="Nordex"/>
    <s v="N100"/>
    <x v="7"/>
    <x v="0"/>
    <n v="12"/>
    <n v="50250"/>
    <x v="1"/>
  </r>
  <r>
    <n v="2017"/>
    <s v="Nordex"/>
    <s v="N100"/>
    <x v="7"/>
    <x v="0"/>
    <n v="13"/>
    <n v="50250"/>
    <x v="1"/>
  </r>
  <r>
    <n v="2017"/>
    <s v="Nordex"/>
    <s v="N100"/>
    <x v="7"/>
    <x v="0"/>
    <n v="14"/>
    <n v="50250"/>
    <x v="1"/>
  </r>
  <r>
    <n v="2017"/>
    <s v="Nordex"/>
    <s v="N100"/>
    <x v="7"/>
    <x v="0"/>
    <n v="15"/>
    <n v="50250"/>
    <x v="1"/>
  </r>
  <r>
    <n v="2017"/>
    <s v="Nordex"/>
    <s v="N100"/>
    <x v="7"/>
    <x v="0"/>
    <n v="16"/>
    <n v="50250"/>
    <x v="1"/>
  </r>
  <r>
    <n v="2017"/>
    <s v="Nordex"/>
    <s v="N100"/>
    <x v="7"/>
    <x v="0"/>
    <n v="17"/>
    <n v="57250"/>
    <x v="1"/>
  </r>
  <r>
    <n v="2017"/>
    <s v="Nordex"/>
    <s v="N100"/>
    <x v="7"/>
    <x v="0"/>
    <n v="18"/>
    <n v="57250"/>
    <x v="1"/>
  </r>
  <r>
    <n v="2017"/>
    <s v="Nordex"/>
    <s v="N100"/>
    <x v="7"/>
    <x v="0"/>
    <n v="19"/>
    <n v="57250"/>
    <x v="1"/>
  </r>
  <r>
    <n v="2017"/>
    <s v="Nordex"/>
    <s v="N100"/>
    <x v="7"/>
    <x v="0"/>
    <n v="20"/>
    <n v="57250"/>
    <x v="1"/>
  </r>
  <r>
    <n v="2017"/>
    <s v="Nordex"/>
    <s v="S77"/>
    <x v="0"/>
    <x v="0"/>
    <n v="16"/>
    <n v="55750"/>
    <x v="1"/>
  </r>
  <r>
    <n v="2017"/>
    <s v="Nordex"/>
    <s v="S77"/>
    <x v="0"/>
    <x v="0"/>
    <n v="17"/>
    <n v="55750"/>
    <x v="1"/>
  </r>
  <r>
    <n v="2017"/>
    <s v="Nordex"/>
    <s v="S77"/>
    <x v="0"/>
    <x v="0"/>
    <n v="18"/>
    <n v="57250"/>
    <x v="1"/>
  </r>
  <r>
    <n v="2017"/>
    <s v="Nordex"/>
    <s v="S77"/>
    <x v="0"/>
    <x v="0"/>
    <n v="19"/>
    <n v="57250"/>
    <x v="1"/>
  </r>
  <r>
    <n v="2017"/>
    <s v="Nordex"/>
    <s v="S77"/>
    <x v="0"/>
    <x v="0"/>
    <n v="20"/>
    <n v="5725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1" cacheId="5"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rowHeaderCaption="Betriebsjahr">
  <location ref="L6:N22" firstHeaderRow="0" firstDataRow="1" firstDataCol="1" rowPageCount="1" colPageCount="1"/>
  <pivotFields count="9">
    <pivotField subtotalTop="0" showAll="0"/>
    <pivotField subtotalTop="0" showAll="0"/>
    <pivotField subtotalTop="0" showAll="0"/>
    <pivotField subtotalTop="0" showAll="0"/>
    <pivotField axis="axisRow" subtotalTop="0" showAll="0">
      <items count="18">
        <item h="1" x="6"/>
        <item x="0"/>
        <item h="1" x="2"/>
        <item h="1" x="5"/>
        <item h="1" x="1"/>
        <item h="1" x="3"/>
        <item h="1" m="1" x="9"/>
        <item h="1" m="1" x="10"/>
        <item h="1" m="1" x="11"/>
        <item h="1" m="1" x="12"/>
        <item h="1" m="1" x="13"/>
        <item h="1" m="1" x="14"/>
        <item h="1" m="1" x="15"/>
        <item h="1" m="1" x="16"/>
        <item h="1" x="4"/>
        <item h="1" m="1" x="8"/>
        <item h="1" x="7"/>
        <item t="default"/>
      </items>
    </pivotField>
    <pivotField subtotalTop="0" showAll="0"/>
    <pivotField axis="axisRow" subtotalTop="0" showAll="0">
      <items count="26">
        <item x="18"/>
        <item x="19"/>
        <item x="11"/>
        <item x="12"/>
        <item x="13"/>
        <item x="14"/>
        <item x="15"/>
        <item x="16"/>
        <item x="17"/>
        <item x="0"/>
        <item x="1"/>
        <item x="2"/>
        <item x="3"/>
        <item x="4"/>
        <item x="5"/>
        <item x="6"/>
        <item x="7"/>
        <item x="8"/>
        <item x="9"/>
        <item x="10"/>
        <item x="20"/>
        <item x="21"/>
        <item x="22"/>
        <item x="23"/>
        <item x="24"/>
        <item t="default"/>
      </items>
    </pivotField>
    <pivotField dataField="1" subtotalTop="0" showAll="0"/>
    <pivotField axis="axisPage" subtotalTop="0" showAll="0">
      <items count="4">
        <item x="1"/>
        <item x="0"/>
        <item m="1" x="2"/>
        <item t="default"/>
      </items>
    </pivotField>
  </pivotFields>
  <rowFields count="2">
    <field x="4"/>
    <field x="6"/>
  </rowFields>
  <rowItems count="16">
    <i>
      <x v="1"/>
    </i>
    <i r="1">
      <x v="7"/>
    </i>
    <i r="1">
      <x v="8"/>
    </i>
    <i r="1">
      <x v="9"/>
    </i>
    <i r="1">
      <x v="10"/>
    </i>
    <i r="1">
      <x v="11"/>
    </i>
    <i r="1">
      <x v="12"/>
    </i>
    <i r="1">
      <x v="13"/>
    </i>
    <i r="1">
      <x v="14"/>
    </i>
    <i r="1">
      <x v="15"/>
    </i>
    <i r="1">
      <x v="16"/>
    </i>
    <i r="1">
      <x v="17"/>
    </i>
    <i r="1">
      <x v="18"/>
    </i>
    <i r="1">
      <x v="19"/>
    </i>
    <i t="default">
      <x v="1"/>
    </i>
    <i t="grand">
      <x/>
    </i>
  </rowItems>
  <colFields count="1">
    <field x="-2"/>
  </colFields>
  <colItems count="2">
    <i>
      <x/>
    </i>
    <i i="1">
      <x v="1"/>
    </i>
  </colItems>
  <pageFields count="1">
    <pageField fld="8" item="0" hier="-1"/>
  </pageFields>
  <dataFields count="2">
    <dataField name="Mittelwert von Preis" fld="7" subtotal="average" baseField="4" baseItem="1" numFmtId="173"/>
    <dataField name="Anzahl" fld="7" subtotal="count" baseField="4" baseItem="1"/>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A00-000002000000}" name="PivotTable3" cacheId="6" applyNumberFormats="0" applyBorderFormats="0" applyFontFormats="0" applyPatternFormats="0" applyAlignmentFormats="0" applyWidthHeightFormats="1" dataCaption="Werte" updatedVersion="6" minRefreshableVersion="3" useAutoFormatting="1" itemPrintTitles="1" createdVersion="6" indent="0" showHeaders="0" outline="1" outlineData="1" multipleFieldFilters="0" chartFormat="1" rowHeaderCaption="Anzahl WEA">
  <location ref="T6:V17" firstHeaderRow="0" firstDataRow="1" firstDataCol="1" rowPageCount="1" colPageCount="1"/>
  <pivotFields count="8">
    <pivotField subtotalTop="0" showAll="0"/>
    <pivotField subtotalTop="0" showAll="0"/>
    <pivotField subtotalTop="0" showAll="0"/>
    <pivotField axis="axisRow" subtotalTop="0" showAll="0">
      <items count="9">
        <item h="1" x="6"/>
        <item h="1" x="4"/>
        <item x="0"/>
        <item h="1" x="2"/>
        <item h="1" x="5"/>
        <item h="1" x="1"/>
        <item h="1" x="3"/>
        <item h="1" x="7"/>
        <item t="default"/>
      </items>
    </pivotField>
    <pivotField axis="axisRow" subtotalTop="0" showAll="0">
      <items count="17">
        <item x="0"/>
        <item x="3"/>
        <item x="5"/>
        <item x="1"/>
        <item x="2"/>
        <item x="11"/>
        <item x="6"/>
        <item x="7"/>
        <item x="10"/>
        <item x="14"/>
        <item x="4"/>
        <item x="8"/>
        <item x="9"/>
        <item x="12"/>
        <item x="13"/>
        <item x="15"/>
        <item t="default"/>
      </items>
    </pivotField>
    <pivotField subtotalTop="0" showAll="0"/>
    <pivotField dataField="1" subtotalTop="0" showAll="0"/>
    <pivotField axis="axisPage" subtotalTop="0" showAll="0">
      <items count="3">
        <item x="1"/>
        <item x="0"/>
        <item t="default"/>
      </items>
    </pivotField>
  </pivotFields>
  <rowFields count="2">
    <field x="3"/>
    <field x="4"/>
  </rowFields>
  <rowItems count="11">
    <i>
      <x v="2"/>
    </i>
    <i r="1">
      <x/>
    </i>
    <i r="1">
      <x v="1"/>
    </i>
    <i r="1">
      <x v="2"/>
    </i>
    <i r="1">
      <x v="3"/>
    </i>
    <i r="1">
      <x v="5"/>
    </i>
    <i r="1">
      <x v="7"/>
    </i>
    <i r="1">
      <x v="10"/>
    </i>
    <i r="1">
      <x v="12"/>
    </i>
    <i t="default">
      <x v="2"/>
    </i>
    <i t="grand">
      <x/>
    </i>
  </rowItems>
  <colFields count="1">
    <field x="-2"/>
  </colFields>
  <colItems count="2">
    <i>
      <x/>
    </i>
    <i i="1">
      <x v="1"/>
    </i>
  </colItems>
  <pageFields count="1">
    <pageField fld="7" item="0" hier="-1"/>
  </pageFields>
  <dataFields count="2">
    <dataField name="Mittelwert von Preis" fld="6" subtotal="average" baseField="4" baseItem="0" numFmtId="173"/>
    <dataField name="Anzahl" fld="6" subtotal="count" baseField="4"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A00-000001000000}" name="PivotTable2" cacheId="5"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rowHeaderCaption="Betriebsjahr">
  <location ref="P6:R121" firstHeaderRow="0" firstDataRow="1" firstDataCol="1" rowPageCount="1" colPageCount="1"/>
  <pivotFields count="9">
    <pivotField subtotalTop="0" showAll="0"/>
    <pivotField subtotalTop="0" showAll="0"/>
    <pivotField subtotalTop="0" showAll="0"/>
    <pivotField subtotalTop="0" showAll="0"/>
    <pivotField axis="axisRow" subtotalTop="0" showAll="0">
      <items count="18">
        <item x="6"/>
        <item x="0"/>
        <item x="2"/>
        <item x="5"/>
        <item x="1"/>
        <item x="3"/>
        <item m="1" x="9"/>
        <item m="1" x="10"/>
        <item m="1" x="11"/>
        <item m="1" x="12"/>
        <item m="1" x="13"/>
        <item m="1" x="14"/>
        <item m="1" x="15"/>
        <item m="1" x="16"/>
        <item x="4"/>
        <item m="1" x="8"/>
        <item x="7"/>
        <item t="default"/>
      </items>
    </pivotField>
    <pivotField subtotalTop="0" showAll="0"/>
    <pivotField axis="axisRow" subtotalTop="0" showAll="0">
      <items count="26">
        <item x="18"/>
        <item x="19"/>
        <item x="11"/>
        <item x="12"/>
        <item x="13"/>
        <item x="14"/>
        <item x="15"/>
        <item x="16"/>
        <item x="17"/>
        <item x="0"/>
        <item x="1"/>
        <item x="2"/>
        <item x="3"/>
        <item x="4"/>
        <item x="5"/>
        <item x="6"/>
        <item x="7"/>
        <item x="8"/>
        <item x="9"/>
        <item x="10"/>
        <item x="20"/>
        <item x="21"/>
        <item x="22"/>
        <item x="23"/>
        <item x="24"/>
        <item t="default"/>
      </items>
    </pivotField>
    <pivotField dataField="1" subtotalTop="0" showAll="0"/>
    <pivotField axis="axisPage" subtotalTop="0" showAll="0">
      <items count="4">
        <item x="1"/>
        <item x="0"/>
        <item m="1" x="2"/>
        <item t="default"/>
      </items>
    </pivotField>
  </pivotFields>
  <rowFields count="2">
    <field x="4"/>
    <field x="6"/>
  </rowFields>
  <rowItems count="115">
    <i>
      <x/>
    </i>
    <i r="1">
      <x/>
    </i>
    <i r="1">
      <x v="1"/>
    </i>
    <i r="1">
      <x v="2"/>
    </i>
    <i r="1">
      <x v="3"/>
    </i>
    <i r="1">
      <x v="4"/>
    </i>
    <i r="1">
      <x v="5"/>
    </i>
    <i r="1">
      <x v="6"/>
    </i>
    <i r="1">
      <x v="7"/>
    </i>
    <i r="1">
      <x v="8"/>
    </i>
    <i r="1">
      <x v="9"/>
    </i>
    <i r="1">
      <x v="10"/>
    </i>
    <i r="1">
      <x v="11"/>
    </i>
    <i r="1">
      <x v="12"/>
    </i>
    <i r="1">
      <x v="13"/>
    </i>
    <i r="1">
      <x v="14"/>
    </i>
    <i r="1">
      <x v="15"/>
    </i>
    <i r="1">
      <x v="16"/>
    </i>
    <i r="1">
      <x v="17"/>
    </i>
    <i r="1">
      <x v="18"/>
    </i>
    <i r="1">
      <x v="19"/>
    </i>
    <i t="default">
      <x/>
    </i>
    <i>
      <x v="1"/>
    </i>
    <i r="1">
      <x/>
    </i>
    <i r="1">
      <x v="1"/>
    </i>
    <i r="1">
      <x v="2"/>
    </i>
    <i r="1">
      <x v="3"/>
    </i>
    <i r="1">
      <x v="4"/>
    </i>
    <i r="1">
      <x v="5"/>
    </i>
    <i r="1">
      <x v="6"/>
    </i>
    <i r="1">
      <x v="7"/>
    </i>
    <i r="1">
      <x v="8"/>
    </i>
    <i r="1">
      <x v="9"/>
    </i>
    <i r="1">
      <x v="10"/>
    </i>
    <i r="1">
      <x v="11"/>
    </i>
    <i r="1">
      <x v="12"/>
    </i>
    <i r="1">
      <x v="13"/>
    </i>
    <i r="1">
      <x v="14"/>
    </i>
    <i r="1">
      <x v="15"/>
    </i>
    <i r="1">
      <x v="16"/>
    </i>
    <i r="1">
      <x v="17"/>
    </i>
    <i r="1">
      <x v="18"/>
    </i>
    <i r="1">
      <x v="19"/>
    </i>
    <i t="default">
      <x v="1"/>
    </i>
    <i>
      <x v="2"/>
    </i>
    <i r="1">
      <x/>
    </i>
    <i r="1">
      <x v="1"/>
    </i>
    <i r="1">
      <x v="2"/>
    </i>
    <i r="1">
      <x v="3"/>
    </i>
    <i r="1">
      <x v="4"/>
    </i>
    <i r="1">
      <x v="5"/>
    </i>
    <i r="1">
      <x v="6"/>
    </i>
    <i r="1">
      <x v="7"/>
    </i>
    <i r="1">
      <x v="8"/>
    </i>
    <i r="1">
      <x v="9"/>
    </i>
    <i r="1">
      <x v="10"/>
    </i>
    <i r="1">
      <x v="11"/>
    </i>
    <i r="1">
      <x v="12"/>
    </i>
    <i r="1">
      <x v="13"/>
    </i>
    <i r="1">
      <x v="14"/>
    </i>
    <i r="1">
      <x v="15"/>
    </i>
    <i r="1">
      <x v="16"/>
    </i>
    <i r="1">
      <x v="17"/>
    </i>
    <i r="1">
      <x v="18"/>
    </i>
    <i r="1">
      <x v="19"/>
    </i>
    <i t="default">
      <x v="2"/>
    </i>
    <i>
      <x v="3"/>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t="default">
      <x v="3"/>
    </i>
    <i>
      <x v="4"/>
    </i>
    <i r="1">
      <x v="16"/>
    </i>
    <i r="1">
      <x v="17"/>
    </i>
    <i r="1">
      <x v="18"/>
    </i>
    <i r="1">
      <x v="19"/>
    </i>
    <i t="default">
      <x v="4"/>
    </i>
    <i>
      <x v="5"/>
    </i>
    <i r="1">
      <x v="7"/>
    </i>
    <i r="1">
      <x v="8"/>
    </i>
    <i r="1">
      <x v="9"/>
    </i>
    <i r="1">
      <x v="10"/>
    </i>
    <i r="1">
      <x v="11"/>
    </i>
    <i r="1">
      <x v="12"/>
    </i>
    <i r="1">
      <x v="13"/>
    </i>
    <i r="1">
      <x v="14"/>
    </i>
    <i r="1">
      <x v="15"/>
    </i>
    <i r="1">
      <x v="16"/>
    </i>
    <i r="1">
      <x v="17"/>
    </i>
    <i r="1">
      <x v="18"/>
    </i>
    <i r="1">
      <x v="19"/>
    </i>
    <i t="default">
      <x v="5"/>
    </i>
    <i t="grand">
      <x/>
    </i>
  </rowItems>
  <colFields count="1">
    <field x="-2"/>
  </colFields>
  <colItems count="2">
    <i>
      <x/>
    </i>
    <i i="1">
      <x v="1"/>
    </i>
  </colItems>
  <pageFields count="1">
    <pageField fld="8" item="1" hier="-1"/>
  </pageFields>
  <dataFields count="2">
    <dataField name="Mittelwert von Preis" fld="7" subtotal="average" baseField="4" baseItem="0" numFmtId="173"/>
    <dataField name="Anzahl" fld="7" subtotal="count" baseField="4"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E000000}" name="Referenzen" displayName="Referenzen" ref="B4:J1349" totalsRowShown="0">
  <autoFilter ref="B4:J1349" xr:uid="{00000000-0009-0000-0100-00000E000000}"/>
  <sortState ref="B5:J895">
    <sortCondition ref="B4:B895"/>
  </sortState>
  <tableColumns count="9">
    <tableColumn id="1" xr3:uid="{00000000-0010-0000-0E00-000001000000}" name="WP"/>
    <tableColumn id="2" xr3:uid="{00000000-0010-0000-0E00-000002000000}" name="Jahr"/>
    <tableColumn id="3" xr3:uid="{00000000-0010-0000-0E00-000003000000}" name="Hersteller"/>
    <tableColumn id="4" xr3:uid="{00000000-0010-0000-0E00-000004000000}" name="Typ"/>
    <tableColumn id="9" xr3:uid="{00000000-0010-0000-0E00-000009000000}" name="Klasse"/>
    <tableColumn id="5" xr3:uid="{00000000-0010-0000-0E00-000005000000}" name="Anzahl WEA"/>
    <tableColumn id="6" xr3:uid="{00000000-0010-0000-0E00-000006000000}" name="Betriebsjahr"/>
    <tableColumn id="7" xr3:uid="{00000000-0010-0000-0E00-000007000000}" name="Preis"/>
    <tableColumn id="8" xr3:uid="{00000000-0010-0000-0E00-000008000000}" name="gewonne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envion" displayName="Senvion" ref="B3:B16" totalsRowShown="0" dataDxfId="166">
  <autoFilter ref="B3:B16" xr:uid="{00000000-0009-0000-0100-000001000000}"/>
  <tableColumns count="1">
    <tableColumn id="1" xr3:uid="{00000000-0010-0000-0000-000001000000}" name="Senvion" dataDxfId="165"/>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Nordex" displayName="Nordex" ref="C3:C15" totalsRowShown="0" dataDxfId="164">
  <autoFilter ref="C3:C15" xr:uid="{00000000-0009-0000-0100-000002000000}"/>
  <tableColumns count="1">
    <tableColumn id="1" xr3:uid="{00000000-0010-0000-0100-000001000000}" name="Nordex" dataDxfId="163"/>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Fuhrländer" displayName="Fuhrländer" ref="D3:D9" totalsRowShown="0" dataDxfId="162">
  <autoFilter ref="D3:D9" xr:uid="{00000000-0009-0000-0100-000003000000}"/>
  <tableColumns count="1">
    <tableColumn id="1" xr3:uid="{00000000-0010-0000-0200-000001000000}" name="Fuhrländer" dataDxfId="161"/>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elle4" displayName="Tabelle4" ref="G3:M35" totalsRowShown="0" dataDxfId="160">
  <autoFilter ref="G3:M35" xr:uid="{00000000-0009-0000-0100-000004000000}"/>
  <tableColumns count="7">
    <tableColumn id="1" xr3:uid="{00000000-0010-0000-0300-000001000000}" name="Anlagentyp" dataDxfId="159"/>
    <tableColumn id="10" xr3:uid="{00000000-0010-0000-0300-00000A000000}" name="Leistung" dataDxfId="158"/>
    <tableColumn id="2" xr3:uid="{00000000-0010-0000-0300-000002000000}" name="Klasse" dataDxfId="157"/>
    <tableColumn id="3" xr3:uid="{00000000-0010-0000-0300-000003000000}" name="Premium" dataDxfId="156"/>
    <tableColumn id="4" xr3:uid="{00000000-0010-0000-0300-000004000000}" name="Schäden von Außen" dataDxfId="155">
      <calculatedColumnFormula>Tabelle4[[#This Row],[Leistung]]*0.7*2+(100-MOD(Tabelle4[[#This Row],[Leistung]]*0.7*2,100))</calculatedColumnFormula>
    </tableColumn>
    <tableColumn id="5" xr3:uid="{00000000-0010-0000-0300-000005000000}" name="Premium neu" dataDxfId="154"/>
    <tableColumn id="6" xr3:uid="{00000000-0010-0000-0300-000006000000}" name="Dif" dataDxfId="153">
      <calculatedColumnFormula>100/Tabelle4[[#This Row],[Premium neu]]*Tabelle4[[#This Row],[Premium]]-100</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Tabelle7" displayName="Tabelle7" ref="B19:C21" totalsRowShown="0" dataDxfId="152">
  <autoFilter ref="B19:C21" xr:uid="{00000000-0009-0000-0100-000007000000}"/>
  <tableColumns count="2">
    <tableColumn id="1" xr3:uid="{00000000-0010-0000-0400-000001000000}" name="BFA" dataDxfId="151"/>
    <tableColumn id="2" xr3:uid="{00000000-0010-0000-0400-000002000000}" name="Turm" dataDxfId="150"/>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5000000}" name="Wartungsmaterialkosten" displayName="Wartungsmaterialkosten" ref="C5:M38" totalsRowShown="0" dataDxfId="144">
  <autoFilter ref="C5:M38" xr:uid="{00000000-0009-0000-0100-00000A000000}"/>
  <sortState ref="C6:M40">
    <sortCondition ref="C5:C40"/>
  </sortState>
  <tableColumns count="11">
    <tableColumn id="1" xr3:uid="{00000000-0010-0000-0500-000001000000}" name="Anlagentyp" dataDxfId="143"/>
    <tableColumn id="2" xr3:uid="{00000000-0010-0000-0500-000002000000}" name="Typ 2" dataDxfId="142"/>
    <tableColumn id="3" xr3:uid="{00000000-0010-0000-0500-000003000000}" name="Typ 3" dataDxfId="141"/>
    <tableColumn id="12" xr3:uid="{00000000-0010-0000-0500-00000C000000}" name="Typ 4" dataDxfId="140"/>
    <tableColumn id="5" xr3:uid="{00000000-0010-0000-0500-000005000000}" name="2J-Wartung" dataDxfId="139"/>
    <tableColumn id="10" xr3:uid="{00000000-0010-0000-0500-00000A000000}" name="3J-Wartung" dataDxfId="138"/>
    <tableColumn id="9" xr3:uid="{00000000-0010-0000-0500-000009000000}" name="4J-Wartung" dataDxfId="137"/>
    <tableColumn id="7" xr3:uid="{00000000-0010-0000-0500-000007000000}" name="5J-Wartung" dataDxfId="136"/>
    <tableColumn id="6" xr3:uid="{00000000-0010-0000-0500-000006000000}" name="6J-Wartung" dataDxfId="135"/>
    <tableColumn id="4" xr3:uid="{00000000-0010-0000-0500-000004000000}" name="10J-Wartung" dataDxfId="134"/>
    <tableColumn id="8" xr3:uid="{00000000-0010-0000-0500-000008000000}" name="Ersatzteilbedarf" dataDxfId="133"/>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6000000}" name="WartungMannstunden" displayName="WartungMannstunden" ref="O5:Z38" totalsRowShown="0" dataDxfId="132">
  <autoFilter ref="O5:Z38" xr:uid="{00000000-0009-0000-0100-00000C000000}"/>
  <sortState ref="O6:Z40">
    <sortCondition ref="O5:O40"/>
  </sortState>
  <tableColumns count="12">
    <tableColumn id="1" xr3:uid="{00000000-0010-0000-0600-000001000000}" name="Anlagentyp" dataDxfId="131"/>
    <tableColumn id="2" xr3:uid="{00000000-0010-0000-0600-000002000000}" name="Typ 2" dataDxfId="130"/>
    <tableColumn id="3" xr3:uid="{00000000-0010-0000-0600-000003000000}" name="Typ 3" dataDxfId="129"/>
    <tableColumn id="12" xr3:uid="{00000000-0010-0000-0600-00000C000000}" name="Typ 4" dataDxfId="128"/>
    <tableColumn id="5" xr3:uid="{00000000-0010-0000-0600-000005000000}" name="2J-Wartung" dataDxfId="127"/>
    <tableColumn id="11" xr3:uid="{00000000-0010-0000-0600-00000B000000}" name="3J-Wartung" dataDxfId="126"/>
    <tableColumn id="10" xr3:uid="{00000000-0010-0000-0600-00000A000000}" name="4J-Wartung" dataDxfId="125"/>
    <tableColumn id="9" xr3:uid="{00000000-0010-0000-0600-000009000000}" name="5J-Wartung" dataDxfId="124"/>
    <tableColumn id="7" xr3:uid="{00000000-0010-0000-0600-000007000000}" name="6J-Wartung" dataDxfId="123"/>
    <tableColumn id="6" xr3:uid="{00000000-0010-0000-0600-000006000000}" name="10J-Wartung" dataDxfId="122"/>
    <tableColumn id="8" xr3:uid="{00000000-0010-0000-0600-000008000000}" name="Störungsaufwand" dataDxfId="121"/>
    <tableColumn id="4" xr3:uid="{00000000-0010-0000-0600-000004000000}" name="Häufigkeit Anfahrt pro Jahr" dataDxfId="120">
      <calculatedColumnFormula>WartungMannstunden[[#This Row],[Störungsaufwand]]/5</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Tabelle9" displayName="Tabelle9" ref="C5:K38" totalsRowShown="0" dataDxfId="115">
  <autoFilter ref="C5:K38" xr:uid="{00000000-0009-0000-0100-000009000000}"/>
  <tableColumns count="9">
    <tableColumn id="1" xr3:uid="{00000000-0010-0000-0700-000001000000}" name="Anlagentyp" dataDxfId="114"/>
    <tableColumn id="4" xr3:uid="{00000000-0010-0000-0700-000004000000}" name="Getriebeendoskopie" dataDxfId="113"/>
    <tableColumn id="5" xr3:uid="{00000000-0010-0000-0700-000005000000}" name="Rotorblattinspektion" dataDxfId="112"/>
    <tableColumn id="11" xr3:uid="{00000000-0010-0000-0700-00000B000000}" name="BFA Wartung" dataDxfId="111"/>
    <tableColumn id="2" xr3:uid="{00000000-0010-0000-0700-000002000000}" name="Ölwechsel" dataDxfId="110"/>
    <tableColumn id="3" xr3:uid="{00000000-0010-0000-0700-000003000000}" name="SÜ" dataDxfId="109"/>
    <tableColumn id="6" xr3:uid="{00000000-0010-0000-0700-000006000000}" name="A&amp;I" dataDxfId="108"/>
    <tableColumn id="7" xr3:uid="{00000000-0010-0000-0700-000007000000}" name="WKP M&amp;T" dataDxfId="107"/>
    <tableColumn id="8" xr3:uid="{00000000-0010-0000-0700-000008000000}" name="DGUV V3 NS" dataDxfId="10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8000000}" name="Tabelle1416" displayName="Tabelle1416" ref="M5:N18" totalsRowShown="0" dataDxfId="105">
  <autoFilter ref="M5:N18" xr:uid="{00000000-0009-0000-0100-00000F000000}"/>
  <tableColumns count="2">
    <tableColumn id="1" xr3:uid="{00000000-0010-0000-0800-000001000000}" name="Anlagentyp" dataDxfId="104"/>
    <tableColumn id="2" xr3:uid="{00000000-0010-0000-0800-000002000000}" name="Preis" dataDxfId="103"/>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9000000}" name="Tabelle77" displayName="Tabelle77" ref="AI5:AS38" totalsRowShown="0" headerRowDxfId="90" dataDxfId="89">
  <autoFilter ref="AI5:AS38" xr:uid="{00000000-0009-0000-0100-000006000000}"/>
  <sortState ref="AI6:AS50">
    <sortCondition ref="AI5:AI50"/>
  </sortState>
  <tableColumns count="11">
    <tableColumn id="1" xr3:uid="{00000000-0010-0000-0900-000001000000}" name="Gewicht" dataDxfId="88"/>
    <tableColumn id="2" xr3:uid="{00000000-0010-0000-0900-000002000000}" name="Getriebe" dataDxfId="87"/>
    <tableColumn id="10" xr3:uid="{00000000-0010-0000-0900-00000A000000}" name="Triebstrang" dataDxfId="86"/>
    <tableColumn id="3" xr3:uid="{00000000-0010-0000-0900-000003000000}" name="Generator" dataDxfId="85"/>
    <tableColumn id="4" xr3:uid="{00000000-0010-0000-0900-000004000000}" name="Transformator" dataDxfId="84"/>
    <tableColumn id="5" xr3:uid="{00000000-0010-0000-0900-000005000000}" name="Blattlager" dataDxfId="83"/>
    <tableColumn id="6" xr3:uid="{00000000-0010-0000-0900-000006000000}" name="Maschinenhaus" dataDxfId="82"/>
    <tableColumn id="7" xr3:uid="{00000000-0010-0000-0900-000007000000}" name="Azimutgetriebe" dataDxfId="81"/>
    <tableColumn id="8" xr3:uid="{00000000-0010-0000-0900-000008000000}" name="Hauptlager inkl. Welle" dataDxfId="80"/>
    <tableColumn id="9" xr3:uid="{00000000-0010-0000-0900-000009000000}" name="Rotor " dataDxfId="79"/>
    <tableColumn id="11" xr3:uid="{00000000-0010-0000-0900-00000B000000}" name="Blatt" dataDxfId="78"/>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elle756" displayName="Tabelle756" ref="BO5:BY38" totalsRowShown="0" headerRowDxfId="77" dataDxfId="76">
  <autoFilter ref="BO5:BY38" xr:uid="{00000000-0009-0000-0100-00000B000000}"/>
  <tableColumns count="11">
    <tableColumn id="1" xr3:uid="{00000000-0010-0000-0A00-000001000000}" name="Tage" dataDxfId="75"/>
    <tableColumn id="2" xr3:uid="{00000000-0010-0000-0A00-000002000000}" name="Getriebe" dataDxfId="74"/>
    <tableColumn id="10" xr3:uid="{00000000-0010-0000-0A00-00000A000000}" name="Triebstrang" dataDxfId="73"/>
    <tableColumn id="3" xr3:uid="{00000000-0010-0000-0A00-000003000000}" name="Generator" dataDxfId="72"/>
    <tableColumn id="4" xr3:uid="{00000000-0010-0000-0A00-000004000000}" name="Transformator" dataDxfId="71"/>
    <tableColumn id="5" xr3:uid="{00000000-0010-0000-0A00-000005000000}" name="Blattlager" dataDxfId="70"/>
    <tableColumn id="6" xr3:uid="{00000000-0010-0000-0A00-000006000000}" name="Azimutlager" dataDxfId="69"/>
    <tableColumn id="7" xr3:uid="{00000000-0010-0000-0A00-000007000000}" name="Azimutgetriebe" dataDxfId="68"/>
    <tableColumn id="8" xr3:uid="{00000000-0010-0000-0A00-000008000000}" name="Hauptlager inkl. Welle" dataDxfId="67"/>
    <tableColumn id="9" xr3:uid="{00000000-0010-0000-0A00-000009000000}" name="Rotor " dataDxfId="66"/>
    <tableColumn id="11" xr3:uid="{00000000-0010-0000-0A00-00000B000000}" name="Blatt" dataDxfId="65"/>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B000000}" name="Tabelle136" displayName="Tabelle136" ref="C5:K38" totalsRowShown="0" headerRowDxfId="64" dataDxfId="62" headerRowBorderDxfId="63" tableBorderDxfId="61" totalsRowBorderDxfId="60">
  <autoFilter ref="C5:K38" xr:uid="{00000000-0009-0000-0100-000005000000}"/>
  <sortState ref="C6:K50">
    <sortCondition ref="C5:C50"/>
  </sortState>
  <tableColumns count="9">
    <tableColumn id="1" xr3:uid="{00000000-0010-0000-0B00-000001000000}" name="Anlage" dataDxfId="59"/>
    <tableColumn id="2" xr3:uid="{00000000-0010-0000-0B00-000002000000}" name="Getriebe" dataDxfId="58"/>
    <tableColumn id="3" xr3:uid="{00000000-0010-0000-0B00-000003000000}" name="Generator" dataDxfId="57"/>
    <tableColumn id="4" xr3:uid="{00000000-0010-0000-0B00-000004000000}" name="Blattreperaturen" dataDxfId="56"/>
    <tableColumn id="5" xr3:uid="{00000000-0010-0000-0B00-000005000000}" name="Transformator" dataDxfId="55"/>
    <tableColumn id="6" xr3:uid="{00000000-0010-0000-0B00-000006000000}" name="Blattlager" dataDxfId="54"/>
    <tableColumn id="7" xr3:uid="{00000000-0010-0000-0B00-000007000000}" name="Azimutlager" dataDxfId="53"/>
    <tableColumn id="8" xr3:uid="{00000000-0010-0000-0B00-000008000000}" name="Azimutgetriebe" dataDxfId="52"/>
    <tableColumn id="9" xr3:uid="{00000000-0010-0000-0B00-000009000000}" name="Hauptlager inkl. Welle" dataDxfId="51"/>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C000000}" name="Tabelle8" displayName="Tabelle8" ref="BA5:BK38" totalsRowShown="0" headerRowDxfId="50" dataDxfId="49" tableBorderDxfId="48">
  <autoFilter ref="BA5:BK38" xr:uid="{00000000-0009-0000-0100-000008000000}"/>
  <tableColumns count="11">
    <tableColumn id="1" xr3:uid="{00000000-0010-0000-0C00-000001000000}" name="Rotor" dataDxfId="47"/>
    <tableColumn id="2" xr3:uid="{00000000-0010-0000-0C00-000002000000}" name="Getriebe" dataDxfId="46"/>
    <tableColumn id="3" xr3:uid="{00000000-0010-0000-0C00-000003000000}" name="Triebstrang" dataDxfId="45"/>
    <tableColumn id="4" xr3:uid="{00000000-0010-0000-0C00-000004000000}" name="Generator" dataDxfId="44"/>
    <tableColumn id="5" xr3:uid="{00000000-0010-0000-0C00-000005000000}" name="Transformator" dataDxfId="43"/>
    <tableColumn id="6" xr3:uid="{00000000-0010-0000-0C00-000006000000}" name="Blattlager" dataDxfId="42"/>
    <tableColumn id="7" xr3:uid="{00000000-0010-0000-0C00-000007000000}" name="Azimutlager" dataDxfId="41"/>
    <tableColumn id="8" xr3:uid="{00000000-0010-0000-0C00-000008000000}" name="Azimutgetriebe" dataDxfId="40"/>
    <tableColumn id="9" xr3:uid="{00000000-0010-0000-0C00-000009000000}" name="Hauptlager inkl. Welle" dataDxfId="39"/>
    <tableColumn id="10" xr3:uid="{00000000-0010-0000-0C00-00000A000000}" name="Rotor " dataDxfId="38"/>
    <tableColumn id="11" xr3:uid="{00000000-0010-0000-0C00-00000B000000}" name="Blatt" dataDxfId="37"/>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D000000}" name="Tabelle13614" displayName="Tabelle13614" ref="S5:AA38" totalsRowShown="0" headerRowDxfId="36" dataDxfId="34" headerRowBorderDxfId="35" tableBorderDxfId="33" totalsRowBorderDxfId="32">
  <autoFilter ref="S5:AA38" xr:uid="{00000000-0009-0000-0100-00000D000000}"/>
  <sortState ref="S6:AA38">
    <sortCondition ref="S5:S38"/>
  </sortState>
  <tableColumns count="9">
    <tableColumn id="1" xr3:uid="{00000000-0010-0000-0D00-000001000000}" name="Anlage" dataDxfId="31"/>
    <tableColumn id="2" xr3:uid="{00000000-0010-0000-0D00-000002000000}" name="Getriebe" dataDxfId="30"/>
    <tableColumn id="3" xr3:uid="{00000000-0010-0000-0D00-000003000000}" name="Generator" dataDxfId="29"/>
    <tableColumn id="4" xr3:uid="{00000000-0010-0000-0D00-000004000000}" name="Blattreperaturen" dataDxfId="28"/>
    <tableColumn id="5" xr3:uid="{00000000-0010-0000-0D00-000005000000}" name="Transformator" dataDxfId="27"/>
    <tableColumn id="6" xr3:uid="{00000000-0010-0000-0D00-000006000000}" name="Blattlager" dataDxfId="26"/>
    <tableColumn id="7" xr3:uid="{00000000-0010-0000-0D00-000007000000}" name="Azimutlager" dataDxfId="25"/>
    <tableColumn id="8" xr3:uid="{00000000-0010-0000-0D00-000008000000}" name="Azimutgetriebe" dataDxfId="24"/>
    <tableColumn id="9" xr3:uid="{00000000-0010-0000-0D00-000009000000}" name="Hauptlager inkl. Welle" dataDxfId="23"/>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F535DB56-D781-4AD5-ACC7-3A3A0443A07E}" name="Ausfallwahrscheinlichkeiten" displayName="Ausfallwahrscheinlichkeiten" ref="CG6:CL26" totalsRowShown="0" headerRowDxfId="22" dataDxfId="20" headerRowBorderDxfId="21" tableBorderDxfId="19" totalsRowBorderDxfId="18">
  <autoFilter ref="CG6:CL26" xr:uid="{90937C58-EF55-4CD6-AC81-66282E6B190A}"/>
  <tableColumns count="6">
    <tableColumn id="1" xr3:uid="{EBFB62D2-79E6-453F-8603-DDD122602F09}" name="average" dataDxfId="17"/>
    <tableColumn id="2" xr3:uid="{8E889E02-2831-4CAD-9168-3B87BF7976BD}" name="negative" dataDxfId="16"/>
    <tableColumn id="3" xr3:uid="{84210AA7-D1A1-4ACD-A247-16EB51839935}" name="average2" dataDxfId="15"/>
    <tableColumn id="4" xr3:uid="{E43A27FA-F4D4-45DD-B2A9-08E163022542}" name="negative3" dataDxfId="14"/>
    <tableColumn id="5" xr3:uid="{4BB294F0-3378-4A50-9560-9DA704048F0C}" name="average4" dataDxfId="13"/>
    <tableColumn id="6" xr3:uid="{264E8509-75FF-487A-83C8-AF9A7FA7BC5A}" name="negative5" dataDxfId="12"/>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elle16" displayName="Tabelle16" ref="B4:G35" totalsRowShown="0" headerRowDxfId="9" dataDxfId="7" headerRowBorderDxfId="8" tableBorderDxfId="6">
  <autoFilter ref="B4:G35" xr:uid="{00000000-0009-0000-0100-000010000000}"/>
  <tableColumns count="6">
    <tableColumn id="1" xr3:uid="{00000000-0010-0000-0F00-000001000000}" name="Anlage" dataDxfId="5"/>
    <tableColumn id="2" xr3:uid="{00000000-0010-0000-0F00-000002000000}" name="5 Jahre" dataDxfId="4"/>
    <tableColumn id="3" xr3:uid="{00000000-0010-0000-0F00-000003000000}" name="10 Jahre" dataDxfId="3"/>
    <tableColumn id="4" xr3:uid="{00000000-0010-0000-0F00-000004000000}" name="15 Jahre" dataDxfId="2"/>
    <tableColumn id="5" xr3:uid="{00000000-0010-0000-0F00-000005000000}" name="20 Jahre" dataDxfId="1"/>
    <tableColumn id="6" xr3:uid="{00000000-0010-0000-0F00-000006000000}" name="25 Jahre" dataDxfId="0"/>
  </tableColumns>
  <tableStyleInfo name="TableStyleMedium9"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ctrlProp" Target="../ctrlProps/ctrlProp7.xml"/><Relationship Id="rId7"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4.vml"/><Relationship Id="rId7" Type="http://schemas.openxmlformats.org/officeDocument/2006/relationships/ctrlProp" Target="../ctrlProps/ctrlProp16.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5" Type="http://schemas.openxmlformats.org/officeDocument/2006/relationships/ctrlProp" Target="../ctrlProps/ctrlProp14.xml"/><Relationship Id="rId10" Type="http://schemas.openxmlformats.org/officeDocument/2006/relationships/comments" Target="../comments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drawing" Target="../drawings/drawing10.xml"/><Relationship Id="rId4"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11.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10.vml"/><Relationship Id="rId1" Type="http://schemas.openxmlformats.org/officeDocument/2006/relationships/printerSettings" Target="../printerSettings/printerSettings12.bin"/><Relationship Id="rId5" Type="http://schemas.openxmlformats.org/officeDocument/2006/relationships/comments" Target="../comments5.xml"/><Relationship Id="rId4"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vmlDrawing" Target="../drawings/vmlDrawing11.vml"/><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table" Target="../tables/table11.xml"/><Relationship Id="rId7" Type="http://schemas.openxmlformats.org/officeDocument/2006/relationships/table" Target="../tables/table15.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 Id="rId9"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2:M80"/>
  <sheetViews>
    <sheetView topLeftCell="A22" zoomScale="90" zoomScaleNormal="90" workbookViewId="0">
      <selection activeCell="F25" sqref="F25"/>
    </sheetView>
  </sheetViews>
  <sheetFormatPr baseColWidth="10" defaultColWidth="8.88671875" defaultRowHeight="14.4" x14ac:dyDescent="0.3"/>
  <cols>
    <col min="1" max="1" width="3.5546875" style="436" customWidth="1"/>
    <col min="2" max="2" width="63.5546875" style="437" customWidth="1"/>
    <col min="3" max="3" width="19.33203125" style="436" customWidth="1"/>
    <col min="4" max="4" width="21.33203125" style="437" customWidth="1"/>
    <col min="5" max="5" width="17.5546875" style="437" customWidth="1"/>
    <col min="6" max="6" width="13.33203125" style="437" bestFit="1" customWidth="1"/>
    <col min="7" max="7" width="13.109375" style="437" customWidth="1"/>
    <col min="8" max="8" width="14.33203125" style="438" customWidth="1"/>
    <col min="9" max="16384" width="8.88671875" style="438"/>
  </cols>
  <sheetData>
    <row r="2" spans="2:13" ht="19.5" customHeight="1" x14ac:dyDescent="0.3">
      <c r="B2" s="435" t="s">
        <v>143</v>
      </c>
      <c r="H2" s="752" t="s">
        <v>214</v>
      </c>
      <c r="I2" s="753"/>
      <c r="J2" s="753"/>
      <c r="K2" s="753"/>
      <c r="L2" s="753"/>
      <c r="M2" s="754"/>
    </row>
    <row r="3" spans="2:13" x14ac:dyDescent="0.3">
      <c r="H3" s="755"/>
      <c r="I3" s="756"/>
      <c r="J3" s="756"/>
      <c r="K3" s="756"/>
      <c r="L3" s="756"/>
      <c r="M3" s="757"/>
    </row>
    <row r="4" spans="2:13" x14ac:dyDescent="0.3">
      <c r="B4" s="759" t="s">
        <v>133</v>
      </c>
      <c r="C4" s="760"/>
      <c r="D4" s="760"/>
      <c r="E4" s="761"/>
      <c r="F4" s="438"/>
      <c r="G4" s="438"/>
      <c r="H4" s="755"/>
      <c r="I4" s="756"/>
      <c r="J4" s="756"/>
      <c r="K4" s="756"/>
      <c r="L4" s="756"/>
      <c r="M4" s="757"/>
    </row>
    <row r="5" spans="2:13" ht="15.75" customHeight="1" x14ac:dyDescent="0.3">
      <c r="B5" s="439" t="s">
        <v>134</v>
      </c>
      <c r="C5" s="731" t="s">
        <v>534</v>
      </c>
      <c r="D5" s="732"/>
      <c r="E5" s="732"/>
      <c r="F5" s="438"/>
      <c r="G5" s="438"/>
      <c r="H5" s="755"/>
      <c r="I5" s="756"/>
      <c r="J5" s="756"/>
      <c r="K5" s="756"/>
      <c r="L5" s="756"/>
      <c r="M5" s="757"/>
    </row>
    <row r="6" spans="2:13" ht="15.75" customHeight="1" x14ac:dyDescent="0.3">
      <c r="B6" s="439" t="s">
        <v>135</v>
      </c>
      <c r="C6" s="746"/>
      <c r="D6" s="747"/>
      <c r="E6" s="748"/>
      <c r="F6" s="438"/>
      <c r="G6" s="438"/>
      <c r="H6" s="755"/>
      <c r="I6" s="756"/>
      <c r="J6" s="756"/>
      <c r="K6" s="756"/>
      <c r="L6" s="756"/>
      <c r="M6" s="757"/>
    </row>
    <row r="7" spans="2:13" ht="15.75" customHeight="1" x14ac:dyDescent="0.3">
      <c r="B7" s="439"/>
      <c r="C7" s="749"/>
      <c r="D7" s="750"/>
      <c r="E7" s="751"/>
      <c r="F7" s="438"/>
      <c r="G7" s="438"/>
      <c r="H7" s="755"/>
      <c r="I7" s="756"/>
      <c r="J7" s="756"/>
      <c r="K7" s="756"/>
      <c r="L7" s="756"/>
      <c r="M7" s="757"/>
    </row>
    <row r="8" spans="2:13" ht="15.75" customHeight="1" x14ac:dyDescent="0.3">
      <c r="B8" s="439" t="s">
        <v>394</v>
      </c>
      <c r="C8" s="736"/>
      <c r="D8" s="762"/>
      <c r="E8" s="762"/>
      <c r="F8" s="438"/>
      <c r="G8" s="438"/>
      <c r="H8" s="755"/>
      <c r="I8" s="756"/>
      <c r="J8" s="756"/>
      <c r="K8" s="756"/>
      <c r="L8" s="756"/>
      <c r="M8" s="757"/>
    </row>
    <row r="9" spans="2:13" x14ac:dyDescent="0.3">
      <c r="B9" s="439" t="s">
        <v>227</v>
      </c>
      <c r="C9" s="679"/>
      <c r="D9" s="775"/>
      <c r="E9" s="776"/>
      <c r="F9" s="438"/>
      <c r="G9" s="438"/>
      <c r="H9" s="755"/>
      <c r="I9" s="756"/>
      <c r="J9" s="756"/>
      <c r="K9" s="756"/>
      <c r="L9" s="756"/>
      <c r="M9" s="757"/>
    </row>
    <row r="10" spans="2:13" ht="28.8" x14ac:dyDescent="0.3">
      <c r="B10" s="440" t="s">
        <v>136</v>
      </c>
      <c r="C10" s="736"/>
      <c r="D10" s="762"/>
      <c r="E10" s="762"/>
      <c r="F10" s="438"/>
      <c r="G10" s="438"/>
      <c r="H10" s="758"/>
      <c r="I10" s="742"/>
      <c r="J10" s="742"/>
      <c r="K10" s="742"/>
      <c r="L10" s="742"/>
      <c r="M10" s="743"/>
    </row>
    <row r="11" spans="2:13" ht="15" customHeight="1" x14ac:dyDescent="0.3">
      <c r="B11" s="438"/>
      <c r="C11" s="438"/>
      <c r="D11" s="438"/>
      <c r="E11" s="438"/>
      <c r="F11" s="438"/>
      <c r="G11" s="438"/>
      <c r="H11" s="441"/>
      <c r="I11" s="441"/>
      <c r="J11" s="441"/>
      <c r="K11" s="441"/>
      <c r="L11" s="441"/>
    </row>
    <row r="12" spans="2:13" ht="15" customHeight="1" x14ac:dyDescent="0.3">
      <c r="B12" s="759" t="s">
        <v>137</v>
      </c>
      <c r="C12" s="760"/>
      <c r="D12" s="760"/>
      <c r="E12" s="761"/>
      <c r="F12" s="438"/>
      <c r="G12" s="441"/>
      <c r="H12" s="686" t="s">
        <v>114</v>
      </c>
      <c r="I12" s="441"/>
      <c r="J12" s="441"/>
      <c r="K12" s="441"/>
      <c r="L12" s="441"/>
    </row>
    <row r="13" spans="2:13" x14ac:dyDescent="0.3">
      <c r="B13" s="668" t="s">
        <v>138</v>
      </c>
      <c r="C13" s="763" t="s">
        <v>535</v>
      </c>
      <c r="D13" s="764"/>
      <c r="E13" s="765"/>
      <c r="F13" s="438"/>
      <c r="G13" s="441"/>
      <c r="H13" s="441"/>
      <c r="I13" s="441"/>
      <c r="J13" s="441"/>
      <c r="K13" s="441"/>
      <c r="L13" s="441"/>
    </row>
    <row r="14" spans="2:13" ht="15.75" customHeight="1" x14ac:dyDescent="0.3">
      <c r="B14" s="668" t="s">
        <v>139</v>
      </c>
      <c r="C14" s="766"/>
      <c r="D14" s="767"/>
      <c r="E14" s="768"/>
      <c r="F14" s="438"/>
      <c r="G14" s="441"/>
      <c r="H14" s="709"/>
      <c r="I14" s="744" t="s">
        <v>507</v>
      </c>
      <c r="J14" s="744"/>
      <c r="K14" s="744"/>
      <c r="L14" s="745"/>
    </row>
    <row r="15" spans="2:13" x14ac:dyDescent="0.3">
      <c r="B15" s="668"/>
      <c r="C15" s="769"/>
      <c r="D15" s="770"/>
      <c r="E15" s="771"/>
      <c r="F15" s="438"/>
      <c r="G15" s="441"/>
      <c r="H15" s="710"/>
      <c r="I15" s="741" t="s">
        <v>524</v>
      </c>
      <c r="J15" s="742"/>
      <c r="K15" s="742"/>
      <c r="L15" s="743"/>
    </row>
    <row r="16" spans="2:13" ht="15" customHeight="1" x14ac:dyDescent="0.3">
      <c r="B16" s="668" t="s">
        <v>140</v>
      </c>
      <c r="C16" s="669"/>
      <c r="D16" s="669"/>
      <c r="E16" s="669"/>
      <c r="F16" s="438"/>
      <c r="G16" s="441"/>
      <c r="H16" s="441"/>
      <c r="I16" s="441"/>
      <c r="J16" s="441"/>
      <c r="K16" s="441"/>
      <c r="L16" s="441"/>
    </row>
    <row r="17" spans="2:12" x14ac:dyDescent="0.3">
      <c r="B17" s="668" t="s">
        <v>141</v>
      </c>
      <c r="C17" s="772">
        <v>6</v>
      </c>
      <c r="D17" s="773"/>
      <c r="E17" s="774"/>
      <c r="F17" s="438"/>
      <c r="G17" s="441"/>
      <c r="H17" s="441"/>
      <c r="I17" s="441"/>
      <c r="J17" s="441"/>
      <c r="K17" s="441"/>
      <c r="L17" s="441"/>
    </row>
    <row r="18" spans="2:12" x14ac:dyDescent="0.3">
      <c r="B18" s="386"/>
      <c r="C18" s="386"/>
      <c r="D18" s="386"/>
      <c r="E18" s="386"/>
      <c r="F18" s="438"/>
      <c r="G18" s="441"/>
      <c r="H18" s="441"/>
      <c r="I18" s="441"/>
      <c r="J18" s="441"/>
      <c r="K18" s="441"/>
      <c r="L18" s="441"/>
    </row>
    <row r="19" spans="2:12" x14ac:dyDescent="0.3">
      <c r="B19" s="737" t="s">
        <v>142</v>
      </c>
      <c r="C19" s="737"/>
      <c r="D19" s="737"/>
      <c r="E19" s="737"/>
      <c r="F19" s="438"/>
      <c r="G19" s="441"/>
      <c r="H19" s="441"/>
      <c r="I19" s="441"/>
      <c r="J19" s="441"/>
      <c r="K19" s="441"/>
      <c r="L19" s="441"/>
    </row>
    <row r="20" spans="2:12" ht="15.75" customHeight="1" x14ac:dyDescent="0.3">
      <c r="B20" s="668" t="s">
        <v>144</v>
      </c>
      <c r="C20" s="736"/>
      <c r="D20" s="730"/>
      <c r="E20" s="730"/>
      <c r="F20" s="438"/>
      <c r="G20" s="441"/>
    </row>
    <row r="21" spans="2:12" ht="15.75" customHeight="1" x14ac:dyDescent="0.3">
      <c r="B21" s="668" t="s">
        <v>145</v>
      </c>
      <c r="C21" s="736"/>
      <c r="D21" s="730"/>
      <c r="E21" s="730"/>
      <c r="F21" s="438"/>
      <c r="G21" s="438"/>
    </row>
    <row r="22" spans="2:12" ht="15.75" customHeight="1" x14ac:dyDescent="0.3">
      <c r="B22" s="668" t="s">
        <v>146</v>
      </c>
      <c r="C22" s="670"/>
      <c r="D22" s="708" t="s">
        <v>522</v>
      </c>
      <c r="E22" s="680">
        <v>43466</v>
      </c>
      <c r="F22" s="438"/>
      <c r="G22" s="438"/>
    </row>
    <row r="23" spans="2:12" x14ac:dyDescent="0.3">
      <c r="B23" s="668" t="s">
        <v>147</v>
      </c>
      <c r="C23" s="670"/>
      <c r="D23" s="708" t="s">
        <v>523</v>
      </c>
      <c r="E23" s="711"/>
      <c r="F23" s="438"/>
      <c r="G23" s="438"/>
    </row>
    <row r="24" spans="2:12" x14ac:dyDescent="0.3">
      <c r="B24" s="668" t="s">
        <v>148</v>
      </c>
      <c r="C24" s="736"/>
      <c r="D24" s="730"/>
      <c r="E24" s="730"/>
      <c r="F24" s="438"/>
      <c r="G24" s="438"/>
    </row>
    <row r="25" spans="2:12" ht="15.75" customHeight="1" x14ac:dyDescent="0.3">
      <c r="B25" s="737" t="s">
        <v>149</v>
      </c>
      <c r="C25" s="737"/>
      <c r="D25" s="737"/>
      <c r="E25" s="737"/>
      <c r="F25" s="438"/>
      <c r="G25" s="438"/>
    </row>
    <row r="26" spans="2:12" x14ac:dyDescent="0.3">
      <c r="B26" s="668" t="s">
        <v>150</v>
      </c>
      <c r="C26" s="738"/>
      <c r="D26" s="739"/>
      <c r="E26" s="740"/>
      <c r="F26" s="438"/>
      <c r="G26" s="438"/>
    </row>
    <row r="27" spans="2:12" x14ac:dyDescent="0.3">
      <c r="B27" s="668" t="s">
        <v>151</v>
      </c>
      <c r="C27" s="730"/>
      <c r="D27" s="730"/>
      <c r="E27" s="730"/>
      <c r="F27" s="438"/>
      <c r="G27" s="438"/>
    </row>
    <row r="28" spans="2:12" ht="28.8" x14ac:dyDescent="0.3">
      <c r="B28" s="671" t="s">
        <v>152</v>
      </c>
      <c r="C28" s="730"/>
      <c r="D28" s="730"/>
      <c r="E28" s="730"/>
      <c r="F28" s="438"/>
      <c r="G28" s="438"/>
    </row>
    <row r="29" spans="2:12" x14ac:dyDescent="0.3">
      <c r="B29" s="386"/>
      <c r="C29" s="386"/>
      <c r="D29" s="386"/>
      <c r="E29" s="386"/>
      <c r="F29" s="438"/>
      <c r="G29" s="438"/>
    </row>
    <row r="30" spans="2:12" x14ac:dyDescent="0.3">
      <c r="B30" s="672" t="s">
        <v>153</v>
      </c>
      <c r="C30" s="672" t="s">
        <v>159</v>
      </c>
      <c r="D30" s="672" t="s">
        <v>160</v>
      </c>
      <c r="E30" s="672" t="s">
        <v>161</v>
      </c>
      <c r="F30" s="443" t="s">
        <v>162</v>
      </c>
      <c r="G30" s="443" t="s">
        <v>163</v>
      </c>
    </row>
    <row r="31" spans="2:12" x14ac:dyDescent="0.3">
      <c r="B31" s="668" t="s">
        <v>154</v>
      </c>
      <c r="C31" s="681" t="s">
        <v>53</v>
      </c>
      <c r="D31" s="701"/>
      <c r="E31" s="701"/>
      <c r="F31" s="701"/>
      <c r="G31" s="442"/>
    </row>
    <row r="32" spans="2:12" x14ac:dyDescent="0.3">
      <c r="B32" s="673" t="s">
        <v>3</v>
      </c>
      <c r="C32" s="682" t="s">
        <v>69</v>
      </c>
      <c r="D32" s="702"/>
      <c r="E32" s="702"/>
      <c r="F32" s="702"/>
      <c r="G32" s="446"/>
    </row>
    <row r="33" spans="2:8" x14ac:dyDescent="0.3">
      <c r="B33" s="673" t="s">
        <v>155</v>
      </c>
      <c r="C33" s="674"/>
      <c r="D33" s="703"/>
      <c r="E33" s="703"/>
      <c r="F33" s="703"/>
      <c r="G33" s="446"/>
    </row>
    <row r="34" spans="2:8" x14ac:dyDescent="0.3">
      <c r="B34" s="706" t="s">
        <v>508</v>
      </c>
      <c r="C34" s="674">
        <f>VLOOKUP(C32,Tabelle4[#All],2,FALSE)</f>
        <v>2400</v>
      </c>
      <c r="D34" s="674" t="e">
        <f>VLOOKUP(D32,Tabelle4[#All],2,FALSE)</f>
        <v>#N/A</v>
      </c>
      <c r="E34" s="674" t="e">
        <f>VLOOKUP(E32,Tabelle4[#All],2,FALSE)</f>
        <v>#N/A</v>
      </c>
      <c r="F34" s="674" t="e">
        <f>VLOOKUP(F32,Tabelle4[#All],2,FALSE)</f>
        <v>#N/A</v>
      </c>
      <c r="G34" s="674" t="e">
        <f>VLOOKUP(G32,Tabelle4[#All],2,FALSE)</f>
        <v>#N/A</v>
      </c>
    </row>
    <row r="35" spans="2:8" x14ac:dyDescent="0.3">
      <c r="B35" s="673" t="s">
        <v>94</v>
      </c>
      <c r="C35" s="683">
        <v>140</v>
      </c>
      <c r="D35" s="703"/>
      <c r="E35" s="703"/>
      <c r="F35" s="703"/>
      <c r="G35" s="446"/>
    </row>
    <row r="36" spans="2:8" x14ac:dyDescent="0.3">
      <c r="B36" s="673" t="s">
        <v>156</v>
      </c>
      <c r="C36" s="682" t="s">
        <v>81</v>
      </c>
      <c r="D36" s="702"/>
      <c r="E36" s="702"/>
      <c r="F36" s="702"/>
      <c r="G36" s="446"/>
    </row>
    <row r="37" spans="2:8" x14ac:dyDescent="0.3">
      <c r="B37" s="673" t="s">
        <v>395</v>
      </c>
      <c r="C37" s="684" t="s">
        <v>186</v>
      </c>
      <c r="D37" s="704"/>
      <c r="E37" s="704"/>
      <c r="F37" s="704"/>
      <c r="G37" s="446"/>
    </row>
    <row r="38" spans="2:8" x14ac:dyDescent="0.3">
      <c r="B38" s="673" t="s">
        <v>157</v>
      </c>
      <c r="C38" s="685">
        <v>41255</v>
      </c>
      <c r="D38" s="705"/>
      <c r="E38" s="705"/>
      <c r="F38" s="705"/>
      <c r="G38" s="446"/>
    </row>
    <row r="39" spans="2:8" ht="28.8" x14ac:dyDescent="0.3">
      <c r="B39" s="673" t="s">
        <v>158</v>
      </c>
      <c r="C39" s="674"/>
      <c r="D39" s="675"/>
      <c r="E39" s="675"/>
      <c r="F39" s="446"/>
      <c r="G39" s="446"/>
    </row>
    <row r="40" spans="2:8" x14ac:dyDescent="0.3">
      <c r="B40" s="706" t="s">
        <v>512</v>
      </c>
      <c r="C40" s="712"/>
      <c r="D40" s="712"/>
      <c r="E40" s="712"/>
      <c r="F40" s="713"/>
      <c r="G40" s="713"/>
    </row>
    <row r="41" spans="2:8" x14ac:dyDescent="0.3">
      <c r="B41" s="706" t="s">
        <v>513</v>
      </c>
      <c r="C41" s="714"/>
      <c r="D41" s="712"/>
      <c r="E41" s="712"/>
      <c r="F41" s="713"/>
      <c r="G41" s="713"/>
    </row>
    <row r="42" spans="2:8" ht="15" customHeight="1" x14ac:dyDescent="0.3">
      <c r="B42" s="706" t="s">
        <v>514</v>
      </c>
      <c r="C42" s="714"/>
      <c r="D42" s="712"/>
      <c r="E42" s="712"/>
      <c r="F42" s="713"/>
      <c r="G42" s="713"/>
    </row>
    <row r="43" spans="2:8" ht="36.75" customHeight="1" x14ac:dyDescent="0.3">
      <c r="B43" s="733"/>
      <c r="C43" s="733"/>
      <c r="D43" s="733"/>
      <c r="E43" s="733"/>
      <c r="F43" s="733"/>
      <c r="G43" s="733"/>
      <c r="H43" s="449" t="s">
        <v>417</v>
      </c>
    </row>
    <row r="44" spans="2:8" x14ac:dyDescent="0.3">
      <c r="B44" s="706" t="s">
        <v>515</v>
      </c>
      <c r="C44" s="715">
        <f t="shared" ref="C44:G44" si="0">C40/$C$34</f>
        <v>0</v>
      </c>
      <c r="D44" s="715">
        <f t="shared" si="0"/>
        <v>0</v>
      </c>
      <c r="E44" s="715">
        <f t="shared" si="0"/>
        <v>0</v>
      </c>
      <c r="F44" s="715">
        <f t="shared" si="0"/>
        <v>0</v>
      </c>
      <c r="G44" s="715">
        <f t="shared" si="0"/>
        <v>0</v>
      </c>
      <c r="H44" s="438">
        <f>SUM(C44:G44)</f>
        <v>0</v>
      </c>
    </row>
    <row r="45" spans="2:8" x14ac:dyDescent="0.3">
      <c r="B45" s="706" t="s">
        <v>516</v>
      </c>
      <c r="C45" s="715">
        <f t="shared" ref="C45:G45" si="1">C41/$C$34</f>
        <v>0</v>
      </c>
      <c r="D45" s="715">
        <f t="shared" si="1"/>
        <v>0</v>
      </c>
      <c r="E45" s="715">
        <f t="shared" si="1"/>
        <v>0</v>
      </c>
      <c r="F45" s="715">
        <f t="shared" si="1"/>
        <v>0</v>
      </c>
      <c r="G45" s="715">
        <f t="shared" si="1"/>
        <v>0</v>
      </c>
      <c r="H45" s="438">
        <f>SUM(C45:G45)</f>
        <v>0</v>
      </c>
    </row>
    <row r="46" spans="2:8" x14ac:dyDescent="0.3">
      <c r="B46" s="706" t="s">
        <v>517</v>
      </c>
      <c r="C46" s="715">
        <f>C42/$C$34</f>
        <v>0</v>
      </c>
      <c r="D46" s="715">
        <f t="shared" ref="D46:G46" si="2">D42/$C$34</f>
        <v>0</v>
      </c>
      <c r="E46" s="715">
        <f t="shared" si="2"/>
        <v>0</v>
      </c>
      <c r="F46" s="715">
        <f t="shared" si="2"/>
        <v>0</v>
      </c>
      <c r="G46" s="715">
        <f t="shared" si="2"/>
        <v>0</v>
      </c>
      <c r="H46" s="438">
        <f>SUM(C46:G46)</f>
        <v>0</v>
      </c>
    </row>
    <row r="47" spans="2:8" x14ac:dyDescent="0.3">
      <c r="B47" s="444" t="s">
        <v>2</v>
      </c>
      <c r="C47" s="445"/>
      <c r="D47" s="446"/>
      <c r="E47" s="446"/>
      <c r="F47" s="446"/>
      <c r="G47" s="446"/>
    </row>
    <row r="48" spans="2:8" x14ac:dyDescent="0.3">
      <c r="B48" s="444" t="s">
        <v>0</v>
      </c>
      <c r="C48" s="445"/>
      <c r="D48" s="446"/>
      <c r="E48" s="446"/>
      <c r="F48" s="446"/>
      <c r="G48" s="446"/>
    </row>
    <row r="49" spans="2:7" x14ac:dyDescent="0.3">
      <c r="B49" s="444" t="s">
        <v>164</v>
      </c>
      <c r="C49" s="445"/>
      <c r="D49" s="445"/>
      <c r="E49" s="445"/>
      <c r="F49" s="445"/>
      <c r="G49" s="446"/>
    </row>
    <row r="50" spans="2:7" x14ac:dyDescent="0.3">
      <c r="B50" s="444" t="s">
        <v>165</v>
      </c>
      <c r="C50" s="445"/>
      <c r="D50" s="446"/>
      <c r="E50" s="446"/>
      <c r="F50" s="446"/>
      <c r="G50" s="446"/>
    </row>
    <row r="51" spans="2:7" x14ac:dyDescent="0.3">
      <c r="B51" s="444" t="s">
        <v>166</v>
      </c>
      <c r="C51" s="445"/>
      <c r="D51" s="446"/>
      <c r="E51" s="446"/>
      <c r="F51" s="446"/>
      <c r="G51" s="446"/>
    </row>
    <row r="52" spans="2:7" ht="15" customHeight="1" x14ac:dyDescent="0.3">
      <c r="B52" s="734" t="s">
        <v>396</v>
      </c>
      <c r="C52" s="445"/>
      <c r="D52" s="446"/>
      <c r="E52" s="446"/>
      <c r="F52" s="446"/>
      <c r="G52" s="446"/>
    </row>
    <row r="53" spans="2:7" x14ac:dyDescent="0.3">
      <c r="B53" s="735"/>
      <c r="C53" s="450"/>
      <c r="D53" s="446"/>
      <c r="E53" s="446"/>
      <c r="F53" s="446"/>
      <c r="G53" s="446"/>
    </row>
    <row r="54" spans="2:7" x14ac:dyDescent="0.3">
      <c r="B54" s="444" t="s">
        <v>167</v>
      </c>
      <c r="C54" s="717"/>
      <c r="D54" s="446"/>
      <c r="E54" s="446"/>
      <c r="F54" s="446"/>
      <c r="G54" s="446"/>
    </row>
    <row r="56" spans="2:7" x14ac:dyDescent="0.3">
      <c r="B56" s="443" t="s">
        <v>153</v>
      </c>
      <c r="C56" s="443" t="s">
        <v>412</v>
      </c>
      <c r="D56" s="443" t="s">
        <v>413</v>
      </c>
      <c r="E56" s="443" t="s">
        <v>414</v>
      </c>
      <c r="F56" s="443" t="s">
        <v>415</v>
      </c>
      <c r="G56" s="443" t="s">
        <v>416</v>
      </c>
    </row>
    <row r="57" spans="2:7" x14ac:dyDescent="0.3">
      <c r="B57" s="439" t="s">
        <v>154</v>
      </c>
      <c r="C57" s="442"/>
      <c r="D57" s="442"/>
      <c r="E57" s="442"/>
      <c r="F57" s="442"/>
      <c r="G57" s="442"/>
    </row>
    <row r="58" spans="2:7" x14ac:dyDescent="0.3">
      <c r="B58" s="444" t="s">
        <v>3</v>
      </c>
      <c r="C58" s="445"/>
      <c r="D58" s="445"/>
      <c r="E58" s="445"/>
      <c r="F58" s="445"/>
      <c r="G58" s="445"/>
    </row>
    <row r="59" spans="2:7" x14ac:dyDescent="0.3">
      <c r="B59" s="444" t="s">
        <v>155</v>
      </c>
      <c r="C59" s="445"/>
      <c r="D59" s="446"/>
      <c r="E59" s="446"/>
      <c r="F59" s="446"/>
      <c r="G59" s="446"/>
    </row>
    <row r="60" spans="2:7" x14ac:dyDescent="0.3">
      <c r="B60" s="706" t="s">
        <v>508</v>
      </c>
      <c r="C60" s="718" t="e">
        <f>VLOOKUP(C58,Tabelle4[#All],2,FALSE)</f>
        <v>#N/A</v>
      </c>
      <c r="D60" s="445" t="e">
        <f>VLOOKUP(D58,Tabelle4[#All],2,FALSE)</f>
        <v>#N/A</v>
      </c>
      <c r="E60" s="445" t="e">
        <f>VLOOKUP(E58,Tabelle4[#All],2,FALSE)</f>
        <v>#N/A</v>
      </c>
      <c r="F60" s="445" t="e">
        <f>VLOOKUP(F58,Tabelle4[#All],2,FALSE)</f>
        <v>#N/A</v>
      </c>
      <c r="G60" s="445" t="e">
        <f>VLOOKUP(G58,Tabelle4[#All],2,FALSE)</f>
        <v>#N/A</v>
      </c>
    </row>
    <row r="61" spans="2:7" x14ac:dyDescent="0.3">
      <c r="B61" s="444" t="s">
        <v>94</v>
      </c>
      <c r="C61" s="445"/>
      <c r="D61" s="446"/>
      <c r="E61" s="446"/>
      <c r="F61" s="446"/>
      <c r="G61" s="446"/>
    </row>
    <row r="62" spans="2:7" x14ac:dyDescent="0.3">
      <c r="B62" s="444" t="s">
        <v>156</v>
      </c>
      <c r="C62" s="445"/>
      <c r="D62" s="446"/>
      <c r="E62" s="446"/>
      <c r="F62" s="446"/>
      <c r="G62" s="446"/>
    </row>
    <row r="63" spans="2:7" x14ac:dyDescent="0.3">
      <c r="B63" s="444" t="s">
        <v>395</v>
      </c>
      <c r="C63" s="447"/>
      <c r="D63" s="447"/>
      <c r="E63" s="447"/>
      <c r="F63" s="447"/>
      <c r="G63" s="447"/>
    </row>
    <row r="64" spans="2:7" x14ac:dyDescent="0.3">
      <c r="B64" s="444" t="s">
        <v>157</v>
      </c>
      <c r="C64" s="448"/>
      <c r="D64" s="446"/>
      <c r="E64" s="446"/>
      <c r="F64" s="446"/>
      <c r="G64" s="446"/>
    </row>
    <row r="65" spans="2:8" ht="28.8" x14ac:dyDescent="0.3">
      <c r="B65" s="444" t="s">
        <v>158</v>
      </c>
      <c r="C65" s="445"/>
      <c r="D65" s="446"/>
      <c r="E65" s="446"/>
      <c r="F65" s="446"/>
      <c r="G65" s="446"/>
    </row>
    <row r="66" spans="2:8" x14ac:dyDescent="0.3">
      <c r="B66" s="706" t="s">
        <v>512</v>
      </c>
      <c r="C66" s="716"/>
      <c r="D66" s="716"/>
      <c r="E66" s="716"/>
      <c r="F66" s="716"/>
      <c r="G66" s="716"/>
    </row>
    <row r="67" spans="2:8" x14ac:dyDescent="0.3">
      <c r="B67" s="706" t="s">
        <v>513</v>
      </c>
      <c r="C67" s="716"/>
      <c r="D67" s="716"/>
      <c r="E67" s="716"/>
      <c r="F67" s="716"/>
      <c r="G67" s="716"/>
    </row>
    <row r="68" spans="2:8" x14ac:dyDescent="0.3">
      <c r="B68" s="706" t="s">
        <v>514</v>
      </c>
      <c r="C68" s="716"/>
      <c r="D68" s="716"/>
      <c r="E68" s="716"/>
      <c r="F68" s="716"/>
      <c r="G68" s="716"/>
    </row>
    <row r="69" spans="2:8" ht="31.5" customHeight="1" x14ac:dyDescent="0.3">
      <c r="B69" s="733"/>
      <c r="C69" s="733"/>
      <c r="D69" s="733"/>
      <c r="E69" s="733"/>
      <c r="F69" s="733"/>
      <c r="G69" s="733"/>
      <c r="H69" s="449" t="s">
        <v>417</v>
      </c>
    </row>
    <row r="70" spans="2:8" x14ac:dyDescent="0.3">
      <c r="B70" s="706" t="s">
        <v>515</v>
      </c>
      <c r="C70" s="715">
        <f>C66/$C$34</f>
        <v>0</v>
      </c>
      <c r="D70" s="715">
        <f t="shared" ref="D70:G70" si="3">D66/$C$34</f>
        <v>0</v>
      </c>
      <c r="E70" s="715">
        <f t="shared" si="3"/>
        <v>0</v>
      </c>
      <c r="F70" s="715">
        <f t="shared" si="3"/>
        <v>0</v>
      </c>
      <c r="G70" s="715">
        <f t="shared" si="3"/>
        <v>0</v>
      </c>
      <c r="H70" s="438">
        <f>SUM(C70:G70)</f>
        <v>0</v>
      </c>
    </row>
    <row r="71" spans="2:8" x14ac:dyDescent="0.3">
      <c r="B71" s="706" t="s">
        <v>516</v>
      </c>
      <c r="C71" s="715">
        <f t="shared" ref="C71:G72" si="4">C67/$C$34</f>
        <v>0</v>
      </c>
      <c r="D71" s="715">
        <f t="shared" si="4"/>
        <v>0</v>
      </c>
      <c r="E71" s="715">
        <f t="shared" si="4"/>
        <v>0</v>
      </c>
      <c r="F71" s="715">
        <f t="shared" si="4"/>
        <v>0</v>
      </c>
      <c r="G71" s="715">
        <f t="shared" si="4"/>
        <v>0</v>
      </c>
      <c r="H71" s="438">
        <f>SUM(C71:G71)</f>
        <v>0</v>
      </c>
    </row>
    <row r="72" spans="2:8" x14ac:dyDescent="0.3">
      <c r="B72" s="706" t="s">
        <v>517</v>
      </c>
      <c r="C72" s="715">
        <f t="shared" si="4"/>
        <v>0</v>
      </c>
      <c r="D72" s="715">
        <f t="shared" si="4"/>
        <v>0</v>
      </c>
      <c r="E72" s="715">
        <f t="shared" si="4"/>
        <v>0</v>
      </c>
      <c r="F72" s="715">
        <f t="shared" si="4"/>
        <v>0</v>
      </c>
      <c r="G72" s="715">
        <f t="shared" si="4"/>
        <v>0</v>
      </c>
      <c r="H72" s="438">
        <f>SUM(C72:G72)</f>
        <v>0</v>
      </c>
    </row>
    <row r="73" spans="2:8" x14ac:dyDescent="0.3">
      <c r="B73" s="444" t="s">
        <v>2</v>
      </c>
      <c r="C73" s="445"/>
      <c r="D73" s="446"/>
      <c r="E73" s="446"/>
      <c r="F73" s="446"/>
      <c r="G73" s="446"/>
    </row>
    <row r="74" spans="2:8" x14ac:dyDescent="0.3">
      <c r="B74" s="444" t="s">
        <v>0</v>
      </c>
      <c r="C74" s="445"/>
      <c r="D74" s="446"/>
      <c r="E74" s="446"/>
      <c r="F74" s="446"/>
      <c r="G74" s="446"/>
    </row>
    <row r="75" spans="2:8" x14ac:dyDescent="0.3">
      <c r="B75" s="444" t="s">
        <v>164</v>
      </c>
      <c r="C75" s="445"/>
      <c r="D75" s="446"/>
      <c r="E75" s="446"/>
      <c r="F75" s="446"/>
      <c r="G75" s="446"/>
    </row>
    <row r="76" spans="2:8" x14ac:dyDescent="0.3">
      <c r="B76" s="444" t="s">
        <v>165</v>
      </c>
      <c r="C76" s="445"/>
      <c r="D76" s="446"/>
      <c r="E76" s="446"/>
      <c r="F76" s="446"/>
      <c r="G76" s="446"/>
    </row>
    <row r="77" spans="2:8" x14ac:dyDescent="0.3">
      <c r="B77" s="444" t="s">
        <v>166</v>
      </c>
      <c r="C77" s="445"/>
      <c r="D77" s="446"/>
      <c r="E77" s="446"/>
      <c r="F77" s="446"/>
      <c r="G77" s="446"/>
    </row>
    <row r="78" spans="2:8" x14ac:dyDescent="0.3">
      <c r="B78" s="734" t="s">
        <v>396</v>
      </c>
      <c r="C78" s="445"/>
      <c r="D78" s="446"/>
      <c r="E78" s="446"/>
      <c r="F78" s="446"/>
      <c r="G78" s="446"/>
    </row>
    <row r="79" spans="2:8" x14ac:dyDescent="0.3">
      <c r="B79" s="735"/>
      <c r="C79" s="450"/>
      <c r="D79" s="446"/>
      <c r="E79" s="446"/>
      <c r="F79" s="446"/>
      <c r="G79" s="446"/>
    </row>
    <row r="80" spans="2:8" x14ac:dyDescent="0.3">
      <c r="B80" s="444" t="s">
        <v>167</v>
      </c>
      <c r="C80" s="717"/>
      <c r="D80" s="446"/>
      <c r="E80" s="446"/>
      <c r="F80" s="446"/>
      <c r="G80" s="446"/>
    </row>
  </sheetData>
  <mergeCells count="26">
    <mergeCell ref="I15:L15"/>
    <mergeCell ref="I14:L14"/>
    <mergeCell ref="C6:E7"/>
    <mergeCell ref="B52:B53"/>
    <mergeCell ref="B43:G43"/>
    <mergeCell ref="H2:M10"/>
    <mergeCell ref="B4:E4"/>
    <mergeCell ref="B19:E19"/>
    <mergeCell ref="C8:E8"/>
    <mergeCell ref="C10:E10"/>
    <mergeCell ref="B12:E12"/>
    <mergeCell ref="C13:E13"/>
    <mergeCell ref="C14:E14"/>
    <mergeCell ref="C15:E15"/>
    <mergeCell ref="C17:E17"/>
    <mergeCell ref="D9:E9"/>
    <mergeCell ref="C28:E28"/>
    <mergeCell ref="C5:E5"/>
    <mergeCell ref="B69:G69"/>
    <mergeCell ref="B78:B79"/>
    <mergeCell ref="C27:E27"/>
    <mergeCell ref="C20:E20"/>
    <mergeCell ref="C21:E21"/>
    <mergeCell ref="C24:E24"/>
    <mergeCell ref="B25:E25"/>
    <mergeCell ref="C26:E26"/>
  </mergeCells>
  <dataValidations count="11">
    <dataValidation type="list" allowBlank="1" showInputMessage="1" showErrorMessage="1" sqref="C62:G62 G36:G37 C36:G36" xr:uid="{00000000-0002-0000-0000-000000000000}">
      <formula1>BFA</formula1>
    </dataValidation>
    <dataValidation type="list" allowBlank="1" showInputMessage="1" showErrorMessage="1" sqref="C57:G57 C31:G31" xr:uid="{00000000-0002-0000-0000-000001000000}">
      <formula1>Hersteller</formula1>
    </dataValidation>
    <dataValidation type="list" allowBlank="1" showInputMessage="1" showErrorMessage="1" sqref="C32:F32" xr:uid="{7D2A8AA2-1F99-4088-9120-CB7B9A523BBA}">
      <formula1>INDIRECT($C$31)</formula1>
    </dataValidation>
    <dataValidation type="list" allowBlank="1" showInputMessage="1" showErrorMessage="1" sqref="G32" xr:uid="{00000000-0002-0000-0000-000003000000}">
      <formula1>INDIRECT($G$31)</formula1>
    </dataValidation>
    <dataValidation type="list" allowBlank="1" showInputMessage="1" showErrorMessage="1" sqref="G32" xr:uid="{00000000-0002-0000-0000-000007000000}">
      <formula1>INDIRECT($G$31)</formula1>
    </dataValidation>
    <dataValidation type="list" allowBlank="1" showInputMessage="1" showErrorMessage="1" sqref="C58" xr:uid="{00000000-0002-0000-0000-000008000000}">
      <formula1>INDIRECT($C$57)</formula1>
    </dataValidation>
    <dataValidation type="list" allowBlank="1" showInputMessage="1" showErrorMessage="1" sqref="D58" xr:uid="{00000000-0002-0000-0000-000009000000}">
      <formula1>INDIRECT($D$57)</formula1>
    </dataValidation>
    <dataValidation type="list" allowBlank="1" showInputMessage="1" showErrorMessage="1" sqref="E58" xr:uid="{00000000-0002-0000-0000-00000A000000}">
      <formula1>INDIRECT($E$57)</formula1>
    </dataValidation>
    <dataValidation type="list" allowBlank="1" showInputMessage="1" showErrorMessage="1" sqref="F58" xr:uid="{00000000-0002-0000-0000-00000B000000}">
      <formula1>INDIRECT($F$57)</formula1>
    </dataValidation>
    <dataValidation type="list" allowBlank="1" showInputMessage="1" showErrorMessage="1" sqref="G58" xr:uid="{00000000-0002-0000-0000-00000C000000}">
      <formula1>INDIRECT($G$57)</formula1>
    </dataValidation>
    <dataValidation type="list" allowBlank="1" showInputMessage="1" showErrorMessage="1" sqref="C37:G37" xr:uid="{00000000-0002-0000-0000-00000D000000}">
      <formula1>Turm</formula1>
    </dataValidation>
  </dataValidations>
  <pageMargins left="0.7" right="0.7" top="0.75" bottom="0.75" header="0.3" footer="0.3"/>
  <pageSetup paperSize="9" scale="78"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E000000}">
          <x14:formula1>
            <xm:f>Anlageninfo!$C$20:$C$21</xm:f>
          </x14:formula1>
          <xm:sqref>C63:G63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T60"/>
  <sheetViews>
    <sheetView zoomScale="80" zoomScaleNormal="80" workbookViewId="0">
      <selection activeCell="A16" sqref="A16:C16"/>
    </sheetView>
  </sheetViews>
  <sheetFormatPr baseColWidth="10" defaultRowHeight="14.4" x14ac:dyDescent="0.3"/>
  <cols>
    <col min="1" max="1" width="24.33203125" customWidth="1"/>
    <col min="2" max="2" width="6.5546875" customWidth="1"/>
    <col min="3" max="3" width="8" customWidth="1"/>
    <col min="4" max="4" width="19" customWidth="1"/>
    <col min="5" max="5" width="25.44140625" customWidth="1"/>
    <col min="6" max="6" width="14.44140625" customWidth="1"/>
    <col min="7" max="7" width="3.44140625" customWidth="1"/>
    <col min="8" max="8" width="25.88671875" customWidth="1"/>
    <col min="11" max="11" width="2.6640625" customWidth="1"/>
    <col min="12" max="12" width="33" customWidth="1"/>
    <col min="13" max="13" width="17.5546875" customWidth="1"/>
    <col min="15" max="15" width="14.33203125" customWidth="1"/>
    <col min="16" max="16" width="3" customWidth="1"/>
    <col min="17" max="17" width="33.33203125" customWidth="1"/>
  </cols>
  <sheetData>
    <row r="1" spans="1:20" ht="17.25" customHeight="1" x14ac:dyDescent="0.4">
      <c r="A1" s="58" t="str">
        <f>"Windpark "&amp;D4</f>
        <v>Windpark Remlingen</v>
      </c>
      <c r="B1" s="58"/>
      <c r="C1" s="58"/>
      <c r="D1" s="21"/>
      <c r="E1" s="51">
        <f ca="1">TODAY()</f>
        <v>43202</v>
      </c>
      <c r="F1" s="51"/>
      <c r="G1" s="22"/>
      <c r="H1" s="23"/>
      <c r="I1" s="23"/>
      <c r="J1" s="24"/>
      <c r="L1" s="180" t="s">
        <v>187</v>
      </c>
      <c r="M1" s="77"/>
      <c r="N1" s="21"/>
      <c r="O1" s="21"/>
      <c r="P1" s="21"/>
      <c r="Q1" s="180" t="s">
        <v>188</v>
      </c>
      <c r="R1" s="77"/>
      <c r="S1" s="21"/>
      <c r="T1" s="21"/>
    </row>
    <row r="2" spans="1:20" ht="12.75" customHeight="1" x14ac:dyDescent="0.3">
      <c r="A2" s="3"/>
      <c r="B2" s="3"/>
      <c r="C2" s="3"/>
      <c r="D2" s="3"/>
      <c r="E2" s="3"/>
      <c r="F2" s="3"/>
      <c r="G2" s="159"/>
      <c r="H2" s="2"/>
      <c r="I2" s="2"/>
      <c r="J2" s="1"/>
      <c r="L2" s="25"/>
      <c r="M2" s="2"/>
      <c r="N2" s="2"/>
      <c r="O2" s="1"/>
      <c r="P2" s="2"/>
      <c r="Q2" s="25"/>
      <c r="R2" s="2"/>
      <c r="S2" s="2"/>
      <c r="T2" s="1"/>
    </row>
    <row r="3" spans="1:20" ht="12.75" customHeight="1" x14ac:dyDescent="0.3">
      <c r="A3" s="801" t="s">
        <v>4</v>
      </c>
      <c r="B3" s="802"/>
      <c r="C3" s="802"/>
      <c r="D3" s="803"/>
      <c r="E3" s="804" t="s">
        <v>6</v>
      </c>
      <c r="F3" s="805"/>
      <c r="G3" s="159"/>
      <c r="H3" s="806" t="s">
        <v>7</v>
      </c>
      <c r="I3" s="807"/>
      <c r="J3" s="808"/>
      <c r="L3" s="793" t="s">
        <v>189</v>
      </c>
      <c r="M3" s="795" t="s">
        <v>118</v>
      </c>
      <c r="N3" s="797" t="s">
        <v>190</v>
      </c>
      <c r="O3" s="799" t="s">
        <v>7</v>
      </c>
      <c r="P3" s="2"/>
      <c r="Q3" s="793" t="s">
        <v>191</v>
      </c>
      <c r="R3" s="795" t="s">
        <v>118</v>
      </c>
      <c r="S3" s="797" t="s">
        <v>190</v>
      </c>
      <c r="T3" s="799" t="s">
        <v>7</v>
      </c>
    </row>
    <row r="4" spans="1:20" ht="12.75" customHeight="1" x14ac:dyDescent="0.3">
      <c r="A4" s="781" t="s">
        <v>9</v>
      </c>
      <c r="B4" s="782"/>
      <c r="C4" s="782"/>
      <c r="D4" s="117" t="str">
        <f>Basisdaten!C13</f>
        <v>Remlingen</v>
      </c>
      <c r="E4" s="28" t="s">
        <v>16</v>
      </c>
      <c r="F4" s="126">
        <f>I4</f>
        <v>11088</v>
      </c>
      <c r="G4" s="159"/>
      <c r="H4" s="28" t="s">
        <v>213</v>
      </c>
      <c r="I4" s="141">
        <f>J4*D12*D7</f>
        <v>11088</v>
      </c>
      <c r="J4" s="154">
        <v>0.77</v>
      </c>
      <c r="L4" s="794"/>
      <c r="M4" s="796"/>
      <c r="N4" s="798"/>
      <c r="O4" s="800"/>
      <c r="P4" s="2"/>
      <c r="Q4" s="794"/>
      <c r="R4" s="796"/>
      <c r="S4" s="798"/>
      <c r="T4" s="800"/>
    </row>
    <row r="5" spans="1:20" ht="12.75" customHeight="1" x14ac:dyDescent="0.3">
      <c r="A5" s="781" t="s">
        <v>10</v>
      </c>
      <c r="B5" s="782"/>
      <c r="C5" s="782"/>
      <c r="D5" s="183" t="str">
        <f>Basisdaten!C5</f>
        <v>Mainova Windprak Remlingen GmbH &amp; Co. KG</v>
      </c>
      <c r="E5" s="28"/>
      <c r="F5" s="126"/>
      <c r="G5" s="159"/>
      <c r="H5" s="28" t="s">
        <v>123</v>
      </c>
      <c r="I5" s="116"/>
      <c r="J5" s="155">
        <v>50</v>
      </c>
      <c r="L5" s="194" t="s">
        <v>192</v>
      </c>
      <c r="M5" s="206">
        <f>VLOOKUP(D$10,WartungMannstunden[#All],2,FALSE)</f>
        <v>52</v>
      </c>
      <c r="N5" s="790">
        <f>J5</f>
        <v>50</v>
      </c>
      <c r="O5" s="197">
        <f>M5*N$5</f>
        <v>2600</v>
      </c>
      <c r="P5" s="2"/>
      <c r="Q5" s="203" t="s">
        <v>229</v>
      </c>
      <c r="R5" s="204">
        <f>VLOOKUP(D10,WartungMannstunden[#All],11,FALSE)</f>
        <v>100</v>
      </c>
      <c r="S5" s="207">
        <f>J5</f>
        <v>50</v>
      </c>
      <c r="T5" s="205">
        <f>R5*S5</f>
        <v>5000</v>
      </c>
    </row>
    <row r="6" spans="1:20" ht="12.75" customHeight="1" x14ac:dyDescent="0.3">
      <c r="A6" s="781" t="s">
        <v>11</v>
      </c>
      <c r="B6" s="782"/>
      <c r="C6" s="782"/>
      <c r="D6" s="117" t="str">
        <f>Basisdaten!C31</f>
        <v>Nordex</v>
      </c>
      <c r="E6" s="28" t="s">
        <v>183</v>
      </c>
      <c r="F6" s="126">
        <f>I8</f>
        <v>84417.75</v>
      </c>
      <c r="G6" s="17"/>
      <c r="H6" s="28" t="s">
        <v>182</v>
      </c>
      <c r="I6" s="116"/>
      <c r="J6" s="181">
        <v>100</v>
      </c>
      <c r="L6" s="367" t="s">
        <v>193</v>
      </c>
      <c r="M6" s="206">
        <f>VLOOKUP(D$10,WartungMannstunden[#All],3,FALSE)</f>
        <v>50</v>
      </c>
      <c r="N6" s="790"/>
      <c r="O6" s="197">
        <f>M6*N$5</f>
        <v>2500</v>
      </c>
      <c r="P6" s="2"/>
      <c r="Q6" s="2"/>
      <c r="R6" s="2"/>
      <c r="S6" s="2"/>
      <c r="T6" s="81"/>
    </row>
    <row r="7" spans="1:20" ht="12.75" customHeight="1" x14ac:dyDescent="0.3">
      <c r="A7" s="781" t="s">
        <v>12</v>
      </c>
      <c r="B7" s="782"/>
      <c r="C7" s="782"/>
      <c r="D7" s="117">
        <f>Basisdaten!C17</f>
        <v>6</v>
      </c>
      <c r="E7" s="28" t="s">
        <v>225</v>
      </c>
      <c r="F7" s="126">
        <f>I9</f>
        <v>100350</v>
      </c>
      <c r="G7" s="159"/>
      <c r="H7" s="28"/>
      <c r="I7" s="419" t="s">
        <v>251</v>
      </c>
      <c r="J7" s="420" t="s">
        <v>499</v>
      </c>
      <c r="L7" s="28" t="s">
        <v>405</v>
      </c>
      <c r="M7" s="206">
        <f>VLOOKUP(D$10,WartungMannstunden[#All],4,FALSE)</f>
        <v>71</v>
      </c>
      <c r="N7" s="790"/>
      <c r="O7" s="197">
        <f t="shared" ref="O7:O13" si="0">M7*N$5</f>
        <v>3550</v>
      </c>
      <c r="P7" s="2"/>
      <c r="Q7" s="793" t="s">
        <v>194</v>
      </c>
      <c r="R7" s="795" t="s">
        <v>7</v>
      </c>
      <c r="S7" s="811"/>
      <c r="T7" s="812"/>
    </row>
    <row r="8" spans="1:20" ht="12.75" customHeight="1" x14ac:dyDescent="0.3">
      <c r="A8" s="781" t="s">
        <v>103</v>
      </c>
      <c r="B8" s="782"/>
      <c r="C8" s="782"/>
      <c r="D8" s="117" t="str">
        <f>Basisdaten!C36</f>
        <v>Ja</v>
      </c>
      <c r="E8" s="28" t="s">
        <v>436</v>
      </c>
      <c r="F8" s="395">
        <f>(I10/D23/D7)+(J10/D23)</f>
        <v>0</v>
      </c>
      <c r="G8" s="159"/>
      <c r="H8" s="27" t="s">
        <v>183</v>
      </c>
      <c r="I8" s="141">
        <f>J8*D7</f>
        <v>84417.75</v>
      </c>
      <c r="J8" s="182">
        <f>O47</f>
        <v>14069.625</v>
      </c>
      <c r="L8" s="28" t="s">
        <v>398</v>
      </c>
      <c r="M8" s="206">
        <f>VLOOKUP(D$10,WartungMannstunden[#All],5,FALSE)</f>
        <v>0</v>
      </c>
      <c r="N8" s="790"/>
      <c r="O8" s="197">
        <f t="shared" si="0"/>
        <v>0</v>
      </c>
      <c r="P8" s="2"/>
      <c r="Q8" s="794"/>
      <c r="R8" s="796"/>
      <c r="S8" s="813"/>
      <c r="T8" s="814"/>
    </row>
    <row r="9" spans="1:20" ht="12.75" customHeight="1" x14ac:dyDescent="0.3">
      <c r="A9" s="781" t="s">
        <v>184</v>
      </c>
      <c r="B9" s="782"/>
      <c r="C9" s="782"/>
      <c r="D9" s="117" t="str">
        <f>Basisdaten!C37</f>
        <v>Rohrturm</v>
      </c>
      <c r="E9" s="28" t="s">
        <v>391</v>
      </c>
      <c r="F9" s="395">
        <f>(I11/D23/D7)+(J11/D23)</f>
        <v>0</v>
      </c>
      <c r="G9" s="159"/>
      <c r="H9" s="28" t="s">
        <v>224</v>
      </c>
      <c r="I9" s="141">
        <f>J9*D7</f>
        <v>100350</v>
      </c>
      <c r="J9" s="182">
        <f>T20</f>
        <v>16725</v>
      </c>
      <c r="L9" s="28" t="s">
        <v>399</v>
      </c>
      <c r="M9" s="206">
        <f>VLOOKUP(D$10,WartungMannstunden[#All],6,FALSE)</f>
        <v>0</v>
      </c>
      <c r="N9" s="790"/>
      <c r="O9" s="197">
        <f t="shared" si="0"/>
        <v>0</v>
      </c>
      <c r="P9" s="2"/>
      <c r="Q9" s="203" t="s">
        <v>230</v>
      </c>
      <c r="R9" s="791">
        <f>VLOOKUP(D10,Wartungsmaterialkosten[#All],11,FALSE)</f>
        <v>7500</v>
      </c>
      <c r="S9" s="809"/>
      <c r="T9" s="810"/>
    </row>
    <row r="10" spans="1:20" ht="12.75" customHeight="1" x14ac:dyDescent="0.3">
      <c r="A10" s="781" t="s">
        <v>3</v>
      </c>
      <c r="B10" s="782"/>
      <c r="C10" s="782"/>
      <c r="D10" s="117" t="str">
        <f>Basisdaten!C32</f>
        <v>N117/2400</v>
      </c>
      <c r="E10" s="31"/>
      <c r="F10" s="29"/>
      <c r="G10" s="159"/>
      <c r="H10" s="28" t="s">
        <v>435</v>
      </c>
      <c r="I10" s="353"/>
      <c r="J10" s="421"/>
      <c r="L10" s="28" t="s">
        <v>400</v>
      </c>
      <c r="M10" s="206">
        <f>VLOOKUP(D$10,WartungMannstunden[#All],7,FALSE)</f>
        <v>0</v>
      </c>
      <c r="N10" s="790"/>
      <c r="O10" s="197">
        <f t="shared" si="0"/>
        <v>0</v>
      </c>
      <c r="P10" s="2"/>
      <c r="Q10" s="80"/>
      <c r="R10" s="53"/>
      <c r="S10" s="2"/>
      <c r="T10" s="2"/>
    </row>
    <row r="11" spans="1:20" ht="12.75" customHeight="1" thickBot="1" x14ac:dyDescent="0.35">
      <c r="A11" s="781" t="s">
        <v>94</v>
      </c>
      <c r="B11" s="782"/>
      <c r="C11" s="782"/>
      <c r="D11" s="187">
        <f>Basisdaten!C35</f>
        <v>140</v>
      </c>
      <c r="E11" s="31"/>
      <c r="F11" s="34"/>
      <c r="G11" s="159"/>
      <c r="H11" s="28" t="s">
        <v>475</v>
      </c>
      <c r="I11" s="353"/>
      <c r="J11" s="421"/>
      <c r="L11" s="28" t="s">
        <v>401</v>
      </c>
      <c r="M11" s="206">
        <f>VLOOKUP(D$10,WartungMannstunden[#All],8,FALSE)</f>
        <v>0</v>
      </c>
      <c r="N11" s="790"/>
      <c r="O11" s="197">
        <f t="shared" si="0"/>
        <v>0</v>
      </c>
      <c r="P11" s="2"/>
      <c r="Q11" s="793" t="s">
        <v>196</v>
      </c>
      <c r="R11" s="795" t="s">
        <v>118</v>
      </c>
      <c r="S11" s="797" t="s">
        <v>197</v>
      </c>
      <c r="T11" s="799" t="s">
        <v>7</v>
      </c>
    </row>
    <row r="12" spans="1:20" ht="12.75" customHeight="1" thickTop="1" x14ac:dyDescent="0.3">
      <c r="A12" s="781" t="s">
        <v>520</v>
      </c>
      <c r="B12" s="782"/>
      <c r="C12" s="782"/>
      <c r="D12" s="161">
        <f>VLOOKUP(D10,Anlageninfo!G4:H35,2,FALSE)</f>
        <v>2400</v>
      </c>
      <c r="E12" s="36" t="s">
        <v>18</v>
      </c>
      <c r="F12" s="127">
        <f>SUM(F4:F9)</f>
        <v>195855.75</v>
      </c>
      <c r="G12" s="37"/>
      <c r="H12" s="28"/>
      <c r="I12" s="116"/>
      <c r="J12" s="117"/>
      <c r="L12" s="28" t="s">
        <v>402</v>
      </c>
      <c r="M12" s="206">
        <f>VLOOKUP(D$10,WartungMannstunden[#All],9,FALSE)</f>
        <v>0</v>
      </c>
      <c r="N12" s="790"/>
      <c r="O12" s="197">
        <f t="shared" si="0"/>
        <v>0</v>
      </c>
      <c r="P12" s="2"/>
      <c r="Q12" s="794"/>
      <c r="R12" s="796"/>
      <c r="S12" s="798"/>
      <c r="T12" s="800"/>
    </row>
    <row r="13" spans="1:20" ht="12.75" customHeight="1" thickBot="1" x14ac:dyDescent="0.35">
      <c r="A13" s="783" t="s">
        <v>521</v>
      </c>
      <c r="B13" s="784"/>
      <c r="C13" s="784"/>
      <c r="D13" s="33">
        <f>D12/1000*1250000</f>
        <v>3000000</v>
      </c>
      <c r="E13" s="28" t="s">
        <v>19</v>
      </c>
      <c r="F13" s="126">
        <f>F12/D7</f>
        <v>32642.625</v>
      </c>
      <c r="G13" s="159"/>
      <c r="H13" s="28"/>
      <c r="I13" s="119"/>
      <c r="J13" s="117"/>
      <c r="L13" s="32" t="s">
        <v>403</v>
      </c>
      <c r="M13" s="204">
        <f>VLOOKUP(D$10,WartungMannstunden[#All],10,FALSE)</f>
        <v>0</v>
      </c>
      <c r="N13" s="815"/>
      <c r="O13" s="205">
        <f t="shared" si="0"/>
        <v>0</v>
      </c>
      <c r="P13" s="2"/>
      <c r="Q13" s="203" t="s">
        <v>198</v>
      </c>
      <c r="R13" s="209">
        <f>S13/25</f>
        <v>4</v>
      </c>
      <c r="S13" s="204">
        <f>J6</f>
        <v>100</v>
      </c>
      <c r="T13" s="205">
        <f>(R13*S5)+S13*0.3</f>
        <v>230</v>
      </c>
    </row>
    <row r="14" spans="1:20" ht="12.75" customHeight="1" thickTop="1" x14ac:dyDescent="0.3">
      <c r="A14" s="801" t="s">
        <v>5</v>
      </c>
      <c r="B14" s="802"/>
      <c r="C14" s="802"/>
      <c r="D14" s="803"/>
      <c r="E14" s="28" t="s">
        <v>20</v>
      </c>
      <c r="F14" s="126">
        <f>F13/(D12/1000)</f>
        <v>13601.09375</v>
      </c>
      <c r="G14" s="159"/>
      <c r="H14" s="36" t="s">
        <v>527</v>
      </c>
      <c r="I14" s="144">
        <f>SUM(I4:I11)</f>
        <v>195855.75</v>
      </c>
      <c r="J14" s="117"/>
      <c r="L14" s="2"/>
      <c r="M14" s="2"/>
      <c r="N14" s="2"/>
      <c r="O14" s="81"/>
      <c r="P14" s="2"/>
      <c r="Q14" s="81"/>
      <c r="R14" s="1"/>
      <c r="S14" s="1"/>
      <c r="T14" s="1"/>
    </row>
    <row r="15" spans="1:20" ht="12.75" customHeight="1" x14ac:dyDescent="0.3">
      <c r="A15" s="781" t="s">
        <v>533</v>
      </c>
      <c r="B15" s="782"/>
      <c r="C15" s="782"/>
      <c r="D15" s="377">
        <f>(1/D7)*SUM(Basisdaten!H44:H46)/IF(AND(Basisdaten!C45=0,Basisdaten!C46=0),1,IF(Basisdaten!C46=0,2,3))+SUM(Basisdaten!H70:H72)/IF(AND(Basisdaten!C71=0,Basisdaten!C72=0),1,IF(Basisdaten!C72=0,2,3))</f>
        <v>0</v>
      </c>
      <c r="E15" s="28" t="s">
        <v>21</v>
      </c>
      <c r="F15" s="128" t="e">
        <f>F12/D18</f>
        <v>#DIV/0!</v>
      </c>
      <c r="G15" s="159"/>
      <c r="H15" s="120"/>
      <c r="I15" s="116"/>
      <c r="J15" s="121"/>
      <c r="L15" s="793" t="s">
        <v>195</v>
      </c>
      <c r="M15" s="795" t="s">
        <v>7</v>
      </c>
      <c r="N15" s="795"/>
      <c r="O15" s="816" t="s">
        <v>423</v>
      </c>
      <c r="P15" s="2"/>
      <c r="Q15" s="793" t="s">
        <v>199</v>
      </c>
      <c r="R15" s="795" t="s">
        <v>200</v>
      </c>
      <c r="S15" s="797" t="s">
        <v>26</v>
      </c>
      <c r="T15" s="799" t="s">
        <v>18</v>
      </c>
    </row>
    <row r="16" spans="1:20" ht="12.75" customHeight="1" x14ac:dyDescent="0.3">
      <c r="A16" s="781" t="s">
        <v>509</v>
      </c>
      <c r="B16" s="782"/>
      <c r="C16" s="782"/>
      <c r="D16" s="707">
        <f>Basisdaten!C54</f>
        <v>0</v>
      </c>
      <c r="E16" s="30" t="s">
        <v>22</v>
      </c>
      <c r="F16" s="129" t="e">
        <f>F12/D19</f>
        <v>#DIV/0!</v>
      </c>
      <c r="G16" s="159"/>
      <c r="H16" s="41"/>
      <c r="I16" s="122"/>
      <c r="J16" s="121"/>
      <c r="L16" s="794"/>
      <c r="M16" s="796"/>
      <c r="N16" s="796"/>
      <c r="O16" s="817"/>
      <c r="P16" s="1"/>
      <c r="Q16" s="794"/>
      <c r="R16" s="796"/>
      <c r="S16" s="798"/>
      <c r="T16" s="800"/>
    </row>
    <row r="17" spans="1:20" ht="12.75" customHeight="1" x14ac:dyDescent="0.3">
      <c r="A17" s="781" t="s">
        <v>510</v>
      </c>
      <c r="B17" s="782"/>
      <c r="C17" s="782"/>
      <c r="D17" s="78">
        <f>D7*D12</f>
        <v>14400</v>
      </c>
      <c r="E17" s="41"/>
      <c r="F17" s="42"/>
      <c r="G17" s="159"/>
      <c r="H17" s="41"/>
      <c r="I17" s="122"/>
      <c r="J17" s="121"/>
      <c r="L17" s="194" t="s">
        <v>192</v>
      </c>
      <c r="M17" s="790">
        <f>VLOOKUP(D$10,Wartungsmaterialkosten[#All],2,FALSE)</f>
        <v>550</v>
      </c>
      <c r="N17" s="790"/>
      <c r="O17" s="368"/>
      <c r="P17" s="81"/>
      <c r="Q17" s="194" t="s">
        <v>191</v>
      </c>
      <c r="R17" s="195">
        <f>T5</f>
        <v>5000</v>
      </c>
      <c r="S17" s="196">
        <v>0.2</v>
      </c>
      <c r="T17" s="197">
        <f>R17*(1+S17)</f>
        <v>6000</v>
      </c>
    </row>
    <row r="18" spans="1:20" ht="12.75" customHeight="1" x14ac:dyDescent="0.3">
      <c r="A18" s="781" t="s">
        <v>511</v>
      </c>
      <c r="B18" s="782"/>
      <c r="C18" s="782"/>
      <c r="D18" s="79">
        <f>D17/D7*D15</f>
        <v>0</v>
      </c>
      <c r="E18" s="60"/>
      <c r="F18" s="61"/>
      <c r="G18" s="159"/>
      <c r="H18" s="30" t="s">
        <v>525</v>
      </c>
      <c r="I18" s="144">
        <f>F12-(D7*M47)-(D7*R20)-(I4/D7)</f>
        <v>40034.625</v>
      </c>
      <c r="J18" s="132">
        <f>I18/F12</f>
        <v>0.20440872938374288</v>
      </c>
      <c r="L18" s="30" t="s">
        <v>193</v>
      </c>
      <c r="M18" s="790">
        <f>VLOOKUP(D$10,Wartungsmaterialkosten[#All],3,FALSE)</f>
        <v>550</v>
      </c>
      <c r="N18" s="790"/>
      <c r="O18" s="368"/>
      <c r="P18" s="1"/>
      <c r="Q18" s="30" t="s">
        <v>194</v>
      </c>
      <c r="R18" s="195">
        <f>R9</f>
        <v>7500</v>
      </c>
      <c r="S18" s="196">
        <v>0.2</v>
      </c>
      <c r="T18" s="197">
        <f>R18*(1+S18)</f>
        <v>9000</v>
      </c>
    </row>
    <row r="19" spans="1:20" ht="12.75" customHeight="1" x14ac:dyDescent="0.3">
      <c r="A19" s="783" t="s">
        <v>519</v>
      </c>
      <c r="B19" s="784"/>
      <c r="C19" s="784"/>
      <c r="D19" s="33">
        <f>D17*D15*D16</f>
        <v>0</v>
      </c>
      <c r="E19" s="62" t="s">
        <v>23</v>
      </c>
      <c r="F19" s="63" t="s">
        <v>24</v>
      </c>
      <c r="G19" s="159"/>
      <c r="H19" s="30" t="s">
        <v>526</v>
      </c>
      <c r="I19" s="144" t="e">
        <f>F36*D7-(D7*M47)-(D7*R20)-(I4/D7)</f>
        <v>#DIV/0!</v>
      </c>
      <c r="J19" s="132" t="e">
        <f>I19/F12</f>
        <v>#DIV/0!</v>
      </c>
      <c r="L19" s="28" t="s">
        <v>405</v>
      </c>
      <c r="M19" s="790">
        <f>VLOOKUP(D$10,Wartungsmaterialkosten[#All],4,FALSE)</f>
        <v>9400</v>
      </c>
      <c r="N19" s="790"/>
      <c r="O19" s="372">
        <v>6</v>
      </c>
      <c r="P19" s="1"/>
      <c r="Q19" s="28" t="s">
        <v>201</v>
      </c>
      <c r="R19" s="195">
        <f>R5/16*T13</f>
        <v>1437.5</v>
      </c>
      <c r="S19" s="196">
        <v>0.2</v>
      </c>
      <c r="T19" s="197">
        <f>R19*(1+S19)</f>
        <v>1725</v>
      </c>
    </row>
    <row r="20" spans="1:20" ht="12.75" customHeight="1" x14ac:dyDescent="0.3">
      <c r="A20" s="801" t="s">
        <v>8</v>
      </c>
      <c r="B20" s="802"/>
      <c r="C20" s="802"/>
      <c r="D20" s="803"/>
      <c r="E20" s="130">
        <f>F12*D23</f>
        <v>2741980.5</v>
      </c>
      <c r="F20" s="131">
        <f>I18*D23</f>
        <v>560484.75</v>
      </c>
      <c r="G20" s="159"/>
      <c r="H20" s="30"/>
      <c r="I20" s="52"/>
      <c r="J20" s="121"/>
      <c r="L20" s="28" t="s">
        <v>398</v>
      </c>
      <c r="M20" s="790">
        <f>VLOOKUP(D$10,Wartungsmaterialkosten[#All],5,FALSE)</f>
        <v>0</v>
      </c>
      <c r="N20" s="790"/>
      <c r="O20" s="372">
        <v>2</v>
      </c>
      <c r="P20" s="19"/>
      <c r="Q20" s="198" t="s">
        <v>44</v>
      </c>
      <c r="R20" s="199">
        <f>SUM(R17:R19)</f>
        <v>13937.5</v>
      </c>
      <c r="S20" s="200">
        <f>AVERAGE(S17:S19)</f>
        <v>0.20000000000000004</v>
      </c>
      <c r="T20" s="201">
        <f>SUM(T17:T19)</f>
        <v>16725</v>
      </c>
    </row>
    <row r="21" spans="1:20" ht="12.75" customHeight="1" x14ac:dyDescent="0.3">
      <c r="A21" s="777" t="s">
        <v>75</v>
      </c>
      <c r="B21" s="778"/>
      <c r="C21" s="778"/>
      <c r="D21" s="189">
        <f>Basisdaten!E22</f>
        <v>43466</v>
      </c>
      <c r="E21" s="157"/>
      <c r="F21" s="158"/>
      <c r="G21" s="159"/>
      <c r="H21" s="30"/>
      <c r="I21" s="52"/>
      <c r="J21" s="121"/>
      <c r="L21" s="28" t="s">
        <v>399</v>
      </c>
      <c r="M21" s="790">
        <f>VLOOKUP(D$10,Wartungsmaterialkosten[#All],6,FALSE)</f>
        <v>0</v>
      </c>
      <c r="N21" s="790"/>
      <c r="O21" s="372">
        <v>3</v>
      </c>
      <c r="P21" s="20"/>
      <c r="Q21" s="1"/>
      <c r="R21" s="2"/>
      <c r="S21" s="1"/>
      <c r="T21" s="1"/>
    </row>
    <row r="22" spans="1:20" ht="12.75" customHeight="1" x14ac:dyDescent="0.3">
      <c r="A22" s="779" t="s">
        <v>13</v>
      </c>
      <c r="B22" s="780"/>
      <c r="C22" s="780"/>
      <c r="D22" s="190">
        <f>Basisdaten!C38</f>
        <v>41255</v>
      </c>
      <c r="E22" s="41"/>
      <c r="F22" s="42"/>
      <c r="G22" s="159"/>
      <c r="H22" s="30"/>
      <c r="I22" s="52"/>
      <c r="J22" s="121"/>
      <c r="L22" s="28" t="s">
        <v>400</v>
      </c>
      <c r="M22" s="790">
        <f>VLOOKUP(D$10,Wartungsmaterialkosten[#All],7,FALSE)</f>
        <v>0</v>
      </c>
      <c r="N22" s="790"/>
      <c r="O22" s="372">
        <v>4</v>
      </c>
      <c r="P22" s="20"/>
      <c r="Q22" s="1"/>
      <c r="R22" s="2"/>
      <c r="S22" s="1"/>
      <c r="T22" s="1"/>
    </row>
    <row r="23" spans="1:20" ht="12.75" customHeight="1" x14ac:dyDescent="0.3">
      <c r="A23" s="781" t="str">
        <f>IF(ISBLANK(Basisdaten!E23)=TRUE,"potentielle Vertragslaufzeit","Vertragslaufzeit")</f>
        <v>potentielle Vertragslaufzeit</v>
      </c>
      <c r="B23" s="782"/>
      <c r="C23" s="782"/>
      <c r="D23" s="109">
        <f>IF(ISBLANK(Basisdaten!E23)=TRUE,20-DATEDIF(D22,D21,"y"),Basisdaten!E23)</f>
        <v>14</v>
      </c>
      <c r="E23" s="41"/>
      <c r="F23" s="42"/>
      <c r="G23" s="159"/>
      <c r="H23" s="307"/>
      <c r="I23" s="52"/>
      <c r="J23" s="121"/>
      <c r="L23" s="28" t="s">
        <v>401</v>
      </c>
      <c r="M23" s="790">
        <f>VLOOKUP(D$10,Wartungsmaterialkosten[#All],8,FALSE)</f>
        <v>0</v>
      </c>
      <c r="N23" s="790"/>
      <c r="O23" s="372">
        <v>5</v>
      </c>
      <c r="P23" s="80"/>
      <c r="Q23" s="1"/>
      <c r="R23" s="1"/>
      <c r="S23" s="1"/>
      <c r="T23" s="1"/>
    </row>
    <row r="24" spans="1:20" ht="12.75" customHeight="1" x14ac:dyDescent="0.3">
      <c r="A24" s="779" t="s">
        <v>14</v>
      </c>
      <c r="B24" s="780"/>
      <c r="C24" s="780"/>
      <c r="D24" s="110">
        <f>DATEDIF(D22,D21,"y")</f>
        <v>6</v>
      </c>
      <c r="E24" s="41"/>
      <c r="F24" s="42"/>
      <c r="G24" s="159"/>
      <c r="H24" s="41"/>
      <c r="I24" s="52"/>
      <c r="J24" s="121"/>
      <c r="L24" s="28" t="s">
        <v>402</v>
      </c>
      <c r="M24" s="790">
        <f>VLOOKUP(D$10,Wartungsmaterialkosten[#All],9,FALSE)</f>
        <v>0</v>
      </c>
      <c r="N24" s="790"/>
      <c r="O24" s="372">
        <v>6</v>
      </c>
      <c r="P24" s="81"/>
      <c r="Q24" s="1"/>
      <c r="R24" s="1"/>
      <c r="S24" s="1"/>
      <c r="T24" s="1"/>
    </row>
    <row r="25" spans="1:20" ht="12.75" customHeight="1" x14ac:dyDescent="0.3">
      <c r="A25" s="783" t="s">
        <v>15</v>
      </c>
      <c r="B25" s="784"/>
      <c r="C25" s="784"/>
      <c r="D25" s="111">
        <f>SUM(D23,D24)</f>
        <v>20</v>
      </c>
      <c r="E25" s="44"/>
      <c r="F25" s="45"/>
      <c r="G25" s="159"/>
      <c r="H25" s="44"/>
      <c r="I25" s="123"/>
      <c r="J25" s="124"/>
      <c r="L25" s="32" t="s">
        <v>403</v>
      </c>
      <c r="M25" s="815">
        <f>VLOOKUP(D$10,Wartungsmaterialkosten[#All],10,FALSE)</f>
        <v>0</v>
      </c>
      <c r="N25" s="815"/>
      <c r="O25" s="373">
        <v>10</v>
      </c>
      <c r="P25" s="81"/>
      <c r="Q25" s="1"/>
      <c r="R25" s="1"/>
      <c r="S25" s="1"/>
      <c r="T25" s="1"/>
    </row>
    <row r="26" spans="1:20" ht="12.75" customHeight="1" x14ac:dyDescent="0.3">
      <c r="A26" s="83"/>
      <c r="B26" s="83"/>
      <c r="C26" s="83"/>
      <c r="D26" s="40"/>
      <c r="E26" s="159"/>
      <c r="F26" s="159"/>
      <c r="G26" s="80"/>
      <c r="H26" s="2"/>
      <c r="I26" s="2"/>
      <c r="J26" s="1"/>
      <c r="L26" s="80"/>
      <c r="M26" s="1"/>
      <c r="N26" s="1"/>
      <c r="O26" s="2"/>
      <c r="P26" s="81"/>
      <c r="Q26" s="1"/>
      <c r="R26" s="1"/>
      <c r="S26" s="1"/>
      <c r="T26" s="1"/>
    </row>
    <row r="27" spans="1:20" ht="12.75" customHeight="1" x14ac:dyDescent="0.3">
      <c r="A27" s="787" t="s">
        <v>45</v>
      </c>
      <c r="B27" s="788"/>
      <c r="C27" s="789"/>
      <c r="D27" s="104" t="str">
        <f>D4</f>
        <v>Remlingen</v>
      </c>
      <c r="E27" s="105"/>
      <c r="F27" s="106"/>
      <c r="G27" s="80"/>
      <c r="J27" s="1"/>
      <c r="L27" s="793" t="s">
        <v>196</v>
      </c>
      <c r="M27" s="795" t="s">
        <v>118</v>
      </c>
      <c r="N27" s="797" t="s">
        <v>197</v>
      </c>
      <c r="O27" s="799" t="s">
        <v>7</v>
      </c>
      <c r="P27" s="81"/>
      <c r="Q27" s="1"/>
      <c r="R27" s="1"/>
      <c r="S27" s="1"/>
      <c r="T27" s="1"/>
    </row>
    <row r="28" spans="1:20" ht="12.75" customHeight="1" x14ac:dyDescent="0.3">
      <c r="A28" s="46" t="s">
        <v>39</v>
      </c>
      <c r="B28" s="287" t="s">
        <v>368</v>
      </c>
      <c r="C28" s="287" t="s">
        <v>369</v>
      </c>
      <c r="D28" s="47" t="s">
        <v>42</v>
      </c>
      <c r="E28" s="47" t="s">
        <v>43</v>
      </c>
      <c r="F28" s="48" t="s">
        <v>44</v>
      </c>
      <c r="G28" s="80"/>
      <c r="J28" s="1"/>
      <c r="L28" s="794"/>
      <c r="M28" s="796"/>
      <c r="N28" s="798"/>
      <c r="O28" s="800"/>
      <c r="P28" s="81"/>
      <c r="Q28" s="1"/>
      <c r="R28" s="1"/>
      <c r="S28" s="1"/>
      <c r="T28" s="1"/>
    </row>
    <row r="29" spans="1:20" ht="12.75" customHeight="1" x14ac:dyDescent="0.3">
      <c r="A29" s="30" t="s">
        <v>250</v>
      </c>
      <c r="B29" s="724">
        <f>D24+1</f>
        <v>7</v>
      </c>
      <c r="C29" s="283"/>
      <c r="D29" s="289">
        <f t="shared" ref="D29:D34" si="1">IF(ISBLANK(C29),0,C29-B29+1)</f>
        <v>0</v>
      </c>
      <c r="E29" s="80"/>
      <c r="F29" s="126">
        <f t="shared" ref="F29:F34" si="2">D29*E29</f>
        <v>0</v>
      </c>
      <c r="G29" s="80"/>
      <c r="J29" s="1"/>
      <c r="L29" s="203" t="s">
        <v>198</v>
      </c>
      <c r="M29" s="209">
        <f>N29/25</f>
        <v>4</v>
      </c>
      <c r="N29" s="204">
        <f>J6</f>
        <v>100</v>
      </c>
      <c r="O29" s="205">
        <f>(M29*N5)+N29*0.3</f>
        <v>230</v>
      </c>
      <c r="P29" s="81"/>
      <c r="Q29" s="1"/>
      <c r="R29" s="1"/>
      <c r="S29" s="1"/>
      <c r="T29" s="1"/>
    </row>
    <row r="30" spans="1:20" ht="12.75" customHeight="1" x14ac:dyDescent="0.3">
      <c r="A30" s="30" t="s">
        <v>250</v>
      </c>
      <c r="B30" s="283"/>
      <c r="C30" s="283"/>
      <c r="D30" s="289">
        <f t="shared" si="1"/>
        <v>0</v>
      </c>
      <c r="E30" s="80"/>
      <c r="F30" s="126">
        <f t="shared" si="2"/>
        <v>0</v>
      </c>
      <c r="G30" s="80"/>
      <c r="J30" s="1"/>
      <c r="L30" s="81"/>
      <c r="M30" s="1"/>
      <c r="N30" s="1"/>
      <c r="O30" s="1"/>
      <c r="P30" s="81"/>
      <c r="Q30" s="1"/>
      <c r="R30" s="2"/>
      <c r="S30" s="1"/>
      <c r="T30" s="1"/>
    </row>
    <row r="31" spans="1:20" ht="12.75" customHeight="1" x14ac:dyDescent="0.3">
      <c r="A31" s="30" t="s">
        <v>250</v>
      </c>
      <c r="B31" s="283"/>
      <c r="C31" s="283"/>
      <c r="D31" s="289">
        <f t="shared" si="1"/>
        <v>0</v>
      </c>
      <c r="E31" s="80"/>
      <c r="F31" s="126">
        <f t="shared" si="2"/>
        <v>0</v>
      </c>
      <c r="G31" s="80"/>
      <c r="J31" s="1"/>
      <c r="L31" s="793" t="s">
        <v>117</v>
      </c>
      <c r="M31" s="795" t="s">
        <v>7</v>
      </c>
      <c r="N31" s="795"/>
      <c r="O31" s="818"/>
      <c r="P31" s="81"/>
      <c r="Q31" s="1"/>
      <c r="R31" s="2"/>
      <c r="S31" s="1"/>
      <c r="T31" s="1"/>
    </row>
    <row r="32" spans="1:20" ht="12.75" customHeight="1" x14ac:dyDescent="0.3">
      <c r="A32" s="30" t="s">
        <v>250</v>
      </c>
      <c r="B32" s="283"/>
      <c r="C32" s="283"/>
      <c r="D32" s="289">
        <f t="shared" si="1"/>
        <v>0</v>
      </c>
      <c r="E32" s="80"/>
      <c r="F32" s="126">
        <f t="shared" si="2"/>
        <v>0</v>
      </c>
      <c r="G32" s="83"/>
      <c r="J32" s="1"/>
      <c r="L32" s="794"/>
      <c r="M32" s="796"/>
      <c r="N32" s="796"/>
      <c r="O32" s="819"/>
      <c r="P32" s="81"/>
      <c r="Q32" s="1"/>
      <c r="R32" s="2"/>
      <c r="S32" s="1"/>
      <c r="T32" s="1"/>
    </row>
    <row r="33" spans="1:20" ht="12.75" customHeight="1" x14ac:dyDescent="0.3">
      <c r="A33" s="30" t="s">
        <v>250</v>
      </c>
      <c r="B33" s="283"/>
      <c r="C33" s="283"/>
      <c r="D33" s="289">
        <f t="shared" si="1"/>
        <v>0</v>
      </c>
      <c r="E33" s="80"/>
      <c r="F33" s="126">
        <f t="shared" si="2"/>
        <v>0</v>
      </c>
      <c r="G33" s="159"/>
      <c r="J33" s="1"/>
      <c r="L33" s="203" t="s">
        <v>202</v>
      </c>
      <c r="M33" s="791">
        <f>VLOOKUP(D10,'Externe Leistungen'!C5:G38,5,FALSE)</f>
        <v>4900</v>
      </c>
      <c r="N33" s="791"/>
      <c r="O33" s="792"/>
      <c r="P33" s="2"/>
      <c r="Q33" s="1"/>
      <c r="R33" s="2"/>
      <c r="S33" s="1"/>
      <c r="T33" s="1"/>
    </row>
    <row r="34" spans="1:20" ht="12.75" customHeight="1" x14ac:dyDescent="0.3">
      <c r="A34" s="30" t="s">
        <v>250</v>
      </c>
      <c r="B34" s="283"/>
      <c r="C34" s="283"/>
      <c r="D34" s="289">
        <f t="shared" si="1"/>
        <v>0</v>
      </c>
      <c r="E34" s="80"/>
      <c r="F34" s="126">
        <f t="shared" si="2"/>
        <v>0</v>
      </c>
      <c r="G34" s="159"/>
      <c r="J34" s="1"/>
      <c r="L34" s="54"/>
      <c r="M34" s="54"/>
      <c r="N34" s="7"/>
      <c r="O34" s="7"/>
      <c r="P34" s="1"/>
      <c r="Q34" s="1"/>
      <c r="R34" s="2"/>
      <c r="S34" s="1"/>
      <c r="T34" s="1"/>
    </row>
    <row r="35" spans="1:20" ht="12.75" customHeight="1" x14ac:dyDescent="0.3">
      <c r="A35" s="30" t="s">
        <v>40</v>
      </c>
      <c r="B35" s="193"/>
      <c r="C35" s="193"/>
      <c r="D35" s="52">
        <f>SUM(D29:D34)</f>
        <v>0</v>
      </c>
      <c r="E35" s="49"/>
      <c r="F35" s="29"/>
      <c r="G35" s="159"/>
      <c r="J35" s="1"/>
      <c r="L35" s="793" t="s">
        <v>203</v>
      </c>
      <c r="M35" s="795" t="s">
        <v>7</v>
      </c>
      <c r="N35" s="795"/>
      <c r="O35" s="818"/>
    </row>
    <row r="36" spans="1:20" ht="12.75" customHeight="1" x14ac:dyDescent="0.3">
      <c r="A36" s="30" t="s">
        <v>41</v>
      </c>
      <c r="B36" s="193"/>
      <c r="C36" s="193"/>
      <c r="D36" s="193"/>
      <c r="E36" s="193"/>
      <c r="F36" s="273" t="e">
        <f>SUM(F29:F34)/D35</f>
        <v>#DIV/0!</v>
      </c>
      <c r="G36" s="159"/>
      <c r="H36" s="80"/>
      <c r="I36" s="80"/>
      <c r="J36" s="1"/>
      <c r="L36" s="794"/>
      <c r="M36" s="796"/>
      <c r="N36" s="796"/>
      <c r="O36" s="819"/>
    </row>
    <row r="37" spans="1:20" ht="12.75" customHeight="1" x14ac:dyDescent="0.3">
      <c r="A37" s="65"/>
      <c r="B37" s="288"/>
      <c r="C37" s="288"/>
      <c r="D37" s="66" t="s">
        <v>46</v>
      </c>
      <c r="E37" s="66" t="s">
        <v>47</v>
      </c>
      <c r="F37" s="67" t="s">
        <v>48</v>
      </c>
      <c r="G37" s="159"/>
      <c r="H37" s="785" t="s">
        <v>248</v>
      </c>
      <c r="I37" s="786"/>
      <c r="J37" s="1"/>
      <c r="L37" s="202" t="s">
        <v>204</v>
      </c>
      <c r="M37" s="815">
        <v>750</v>
      </c>
      <c r="N37" s="815"/>
      <c r="O37" s="820"/>
    </row>
    <row r="38" spans="1:20" ht="12.75" customHeight="1" x14ac:dyDescent="0.3">
      <c r="A38" s="30" t="str">
        <f t="shared" ref="A38:A43" si="3">IF(ISBLANK(A29),"",A29)</f>
        <v>Betriebsjahr</v>
      </c>
      <c r="B38" s="724">
        <f>B29</f>
        <v>7</v>
      </c>
      <c r="C38" s="283"/>
      <c r="D38" s="142" t="str">
        <f t="shared" ref="D38:D43" si="4">IF(ISBLANK(E29),"",ROUND(E29*0.85,-2))</f>
        <v/>
      </c>
      <c r="E38" s="156" t="str">
        <f>IF(ISBLANK(E29),"",E29/($D$12*$D$15*F38))</f>
        <v/>
      </c>
      <c r="F38" s="64">
        <v>0.97</v>
      </c>
      <c r="G38" s="159"/>
      <c r="H38" s="269" t="str">
        <f t="shared" ref="H38:H43" si="5">IF(E38="","",E38*D$12*D$15)</f>
        <v/>
      </c>
      <c r="I38" s="143" t="str">
        <f t="shared" ref="I38:I43" si="6">IF(H38="","",H38*D29)</f>
        <v/>
      </c>
      <c r="J38" s="1"/>
      <c r="L38" s="1"/>
      <c r="M38" s="1"/>
      <c r="N38" s="1"/>
      <c r="O38" s="1"/>
    </row>
    <row r="39" spans="1:20" ht="12.75" customHeight="1" x14ac:dyDescent="0.3">
      <c r="A39" s="30" t="str">
        <f t="shared" si="3"/>
        <v>Betriebsjahr</v>
      </c>
      <c r="B39" s="283"/>
      <c r="C39" s="283"/>
      <c r="D39" s="142" t="str">
        <f t="shared" si="4"/>
        <v/>
      </c>
      <c r="E39" s="156" t="str">
        <f>IF(ISBLANK(E30),"",E30/($D$12*$D$15*F39))</f>
        <v/>
      </c>
      <c r="F39" s="64">
        <v>0.97</v>
      </c>
      <c r="G39" s="159"/>
      <c r="H39" s="269" t="str">
        <f t="shared" si="5"/>
        <v/>
      </c>
      <c r="I39" s="143" t="str">
        <f t="shared" si="6"/>
        <v/>
      </c>
      <c r="J39" s="1"/>
      <c r="L39" s="793" t="s">
        <v>205</v>
      </c>
      <c r="M39" s="795" t="s">
        <v>200</v>
      </c>
      <c r="N39" s="797" t="s">
        <v>26</v>
      </c>
      <c r="O39" s="799" t="s">
        <v>18</v>
      </c>
    </row>
    <row r="40" spans="1:20" ht="12.75" customHeight="1" x14ac:dyDescent="0.3">
      <c r="A40" s="30" t="str">
        <f t="shared" si="3"/>
        <v>Betriebsjahr</v>
      </c>
      <c r="B40" s="283"/>
      <c r="C40" s="283"/>
      <c r="D40" s="142" t="str">
        <f t="shared" si="4"/>
        <v/>
      </c>
      <c r="E40" s="156" t="str">
        <f t="shared" ref="E40:E43" si="7">IF(ISBLANK(E31),"",E31/($D$12*$D$15*F40))</f>
        <v/>
      </c>
      <c r="F40" s="64">
        <v>0.97</v>
      </c>
      <c r="G40" s="11"/>
      <c r="H40" s="269" t="str">
        <f t="shared" si="5"/>
        <v/>
      </c>
      <c r="I40" s="143" t="str">
        <f t="shared" si="6"/>
        <v/>
      </c>
      <c r="J40" s="1"/>
      <c r="L40" s="794"/>
      <c r="M40" s="796"/>
      <c r="N40" s="798"/>
      <c r="O40" s="800"/>
    </row>
    <row r="41" spans="1:20" ht="12.75" customHeight="1" x14ac:dyDescent="0.3">
      <c r="A41" s="30" t="str">
        <f t="shared" si="3"/>
        <v>Betriebsjahr</v>
      </c>
      <c r="B41" s="283"/>
      <c r="C41" s="283"/>
      <c r="D41" s="142" t="str">
        <f t="shared" si="4"/>
        <v/>
      </c>
      <c r="E41" s="156" t="str">
        <f t="shared" si="7"/>
        <v/>
      </c>
      <c r="F41" s="64">
        <v>0.97</v>
      </c>
      <c r="G41" s="80"/>
      <c r="H41" s="269" t="str">
        <f t="shared" si="5"/>
        <v/>
      </c>
      <c r="I41" s="143" t="str">
        <f t="shared" si="6"/>
        <v/>
      </c>
      <c r="J41" s="1"/>
      <c r="L41" s="194" t="s">
        <v>206</v>
      </c>
      <c r="M41" s="195">
        <f>O5+O6+M17+M18</f>
        <v>6200</v>
      </c>
      <c r="N41" s="196">
        <v>0.2</v>
      </c>
      <c r="O41" s="197">
        <f t="shared" ref="O41:O46" si="8">M41*(1+N41)</f>
        <v>7440</v>
      </c>
    </row>
    <row r="42" spans="1:20" ht="12.75" customHeight="1" x14ac:dyDescent="0.3">
      <c r="A42" s="30" t="str">
        <f t="shared" si="3"/>
        <v>Betriebsjahr</v>
      </c>
      <c r="B42" s="283"/>
      <c r="C42" s="283"/>
      <c r="D42" s="142" t="str">
        <f t="shared" si="4"/>
        <v/>
      </c>
      <c r="E42" s="156" t="str">
        <f t="shared" si="7"/>
        <v/>
      </c>
      <c r="F42" s="64">
        <v>0.97</v>
      </c>
      <c r="G42" s="80"/>
      <c r="H42" s="269" t="str">
        <f t="shared" si="5"/>
        <v/>
      </c>
      <c r="I42" s="143" t="str">
        <f t="shared" si="6"/>
        <v/>
      </c>
      <c r="J42" s="1"/>
      <c r="L42" s="194" t="s">
        <v>405</v>
      </c>
      <c r="M42" s="195">
        <f>(O7+M19)/O19</f>
        <v>2158.3333333333335</v>
      </c>
      <c r="N42" s="196">
        <v>0.2</v>
      </c>
      <c r="O42" s="197">
        <f t="shared" si="8"/>
        <v>2590</v>
      </c>
    </row>
    <row r="43" spans="1:20" ht="12.75" customHeight="1" x14ac:dyDescent="0.3">
      <c r="A43" s="30" t="str">
        <f t="shared" si="3"/>
        <v>Betriebsjahr</v>
      </c>
      <c r="B43" s="283"/>
      <c r="C43" s="283"/>
      <c r="D43" s="142" t="str">
        <f t="shared" si="4"/>
        <v/>
      </c>
      <c r="E43" s="156" t="str">
        <f t="shared" si="7"/>
        <v/>
      </c>
      <c r="F43" s="64">
        <v>0.97</v>
      </c>
      <c r="G43" s="80"/>
      <c r="H43" s="269" t="str">
        <f t="shared" si="5"/>
        <v/>
      </c>
      <c r="I43" s="143" t="str">
        <f t="shared" si="6"/>
        <v/>
      </c>
      <c r="J43" s="1"/>
      <c r="L43" s="30" t="s">
        <v>404</v>
      </c>
      <c r="M43" s="195">
        <f>((O8+M20)/O20+(O9+M21)/O21+(O10+M22)/O22+(O11+M23)/O23+(O12+M24)/O24+(O13+M25)/O25)</f>
        <v>0</v>
      </c>
      <c r="N43" s="196">
        <v>0.2</v>
      </c>
      <c r="O43" s="197">
        <f t="shared" si="8"/>
        <v>0</v>
      </c>
    </row>
    <row r="44" spans="1:20" ht="12.75" customHeight="1" x14ac:dyDescent="0.3">
      <c r="A44" s="93" t="s">
        <v>1</v>
      </c>
      <c r="B44" s="94"/>
      <c r="C44" s="94"/>
      <c r="D44" s="94"/>
      <c r="E44" s="94"/>
      <c r="F44" s="95"/>
      <c r="G44" s="11"/>
      <c r="H44" s="271"/>
      <c r="I44" s="143">
        <f>SUM(I38:I43)</f>
        <v>0</v>
      </c>
      <c r="J44" s="1"/>
      <c r="L44" s="28" t="s">
        <v>226</v>
      </c>
      <c r="M44" s="195">
        <f>((M5+M6+(M7/O19)+(M8/O20)+(M9/O21)+(M10/O22)+(M11/O23)+(M12/O24)+(M13/O25))/16)*O29</f>
        <v>1636.3541666666665</v>
      </c>
      <c r="N44" s="196">
        <v>0.2</v>
      </c>
      <c r="O44" s="197">
        <f t="shared" si="8"/>
        <v>1963.6249999999998</v>
      </c>
      <c r="Q44" s="677"/>
    </row>
    <row r="45" spans="1:20" ht="12.75" customHeight="1" x14ac:dyDescent="0.3">
      <c r="A45" s="96"/>
      <c r="B45" s="97"/>
      <c r="C45" s="97"/>
      <c r="D45" s="97"/>
      <c r="E45" s="97"/>
      <c r="F45" s="98"/>
      <c r="G45" s="159"/>
      <c r="H45" s="272" t="s">
        <v>249</v>
      </c>
      <c r="I45" s="270">
        <f>I44/D$23</f>
        <v>0</v>
      </c>
      <c r="J45" s="1"/>
      <c r="L45" s="28" t="s">
        <v>207</v>
      </c>
      <c r="M45" s="195">
        <f>M33/5</f>
        <v>980</v>
      </c>
      <c r="N45" s="196">
        <v>0.2</v>
      </c>
      <c r="O45" s="197">
        <f t="shared" si="8"/>
        <v>1176</v>
      </c>
      <c r="Q45" s="676"/>
    </row>
    <row r="46" spans="1:20" ht="12.75" customHeight="1" x14ac:dyDescent="0.3">
      <c r="A46" s="99"/>
      <c r="B46" s="100"/>
      <c r="C46" s="100"/>
      <c r="D46" s="100"/>
      <c r="E46" s="100"/>
      <c r="F46" s="101"/>
      <c r="G46" s="159"/>
      <c r="H46" s="2"/>
      <c r="I46" s="107"/>
      <c r="J46" s="1"/>
      <c r="L46" s="28" t="s">
        <v>203</v>
      </c>
      <c r="M46" s="195">
        <f>M37</f>
        <v>750</v>
      </c>
      <c r="N46" s="196">
        <v>0.2</v>
      </c>
      <c r="O46" s="197">
        <f t="shared" si="8"/>
        <v>900</v>
      </c>
      <c r="Q46" s="676"/>
    </row>
    <row r="47" spans="1:20" ht="12.75" customHeight="1" x14ac:dyDescent="0.3">
      <c r="A47" s="84"/>
      <c r="B47" s="85"/>
      <c r="C47" s="85"/>
      <c r="D47" s="85"/>
      <c r="E47" s="85"/>
      <c r="F47" s="86"/>
      <c r="G47" s="159"/>
      <c r="H47" s="2"/>
      <c r="I47" s="2"/>
      <c r="J47" s="1"/>
      <c r="L47" s="198" t="s">
        <v>44</v>
      </c>
      <c r="M47" s="199">
        <f>SUM(M41:M46)</f>
        <v>11724.6875</v>
      </c>
      <c r="N47" s="200">
        <f>AVERAGE(N41:N46)</f>
        <v>0.19999999999999998</v>
      </c>
      <c r="O47" s="201">
        <f>SUM(O41:O46)</f>
        <v>14069.625</v>
      </c>
      <c r="Q47" s="676"/>
    </row>
    <row r="48" spans="1:20" ht="12.75" customHeight="1" x14ac:dyDescent="0.3">
      <c r="A48" s="84"/>
      <c r="B48" s="85"/>
      <c r="C48" s="85"/>
      <c r="D48" s="85"/>
      <c r="E48" s="85"/>
      <c r="F48" s="86"/>
      <c r="G48" s="159"/>
    </row>
    <row r="49" spans="1:13" ht="12.75" customHeight="1" x14ac:dyDescent="0.3">
      <c r="A49" s="84"/>
      <c r="B49" s="85"/>
      <c r="C49" s="85"/>
      <c r="D49" s="85"/>
      <c r="E49" s="85"/>
      <c r="F49" s="86"/>
      <c r="G49" s="159"/>
    </row>
    <row r="50" spans="1:13" ht="12.75" customHeight="1" x14ac:dyDescent="0.3">
      <c r="A50" s="84"/>
      <c r="B50" s="85"/>
      <c r="C50" s="85"/>
      <c r="D50" s="85"/>
      <c r="E50" s="85"/>
      <c r="F50" s="86"/>
      <c r="L50" s="1" t="s">
        <v>208</v>
      </c>
    </row>
    <row r="51" spans="1:13" ht="12.75" customHeight="1" x14ac:dyDescent="0.3">
      <c r="A51" s="87"/>
      <c r="B51" s="88"/>
      <c r="C51" s="88"/>
      <c r="D51" s="88"/>
      <c r="E51" s="88"/>
      <c r="F51" s="89"/>
      <c r="L51" s="1"/>
    </row>
    <row r="52" spans="1:13" ht="12.75" customHeight="1" x14ac:dyDescent="0.3">
      <c r="A52" s="90"/>
      <c r="B52" s="91"/>
      <c r="C52" s="91"/>
      <c r="D52" s="91"/>
      <c r="E52" s="91"/>
      <c r="F52" s="92"/>
      <c r="L52" s="1" t="s">
        <v>217</v>
      </c>
    </row>
    <row r="53" spans="1:13" x14ac:dyDescent="0.3">
      <c r="L53" s="1" t="s">
        <v>218</v>
      </c>
    </row>
    <row r="56" spans="1:13" x14ac:dyDescent="0.3">
      <c r="L56" s="12" t="s">
        <v>114</v>
      </c>
      <c r="M56" s="53"/>
    </row>
    <row r="57" spans="1:13" x14ac:dyDescent="0.3">
      <c r="L57" s="191"/>
      <c r="M57" s="53"/>
    </row>
    <row r="58" spans="1:13" x14ac:dyDescent="0.3">
      <c r="L58" s="134"/>
      <c r="M58" s="151" t="s">
        <v>111</v>
      </c>
    </row>
    <row r="59" spans="1:13" x14ac:dyDescent="0.3">
      <c r="L59" s="133"/>
      <c r="M59" s="152" t="s">
        <v>113</v>
      </c>
    </row>
    <row r="60" spans="1:13" x14ac:dyDescent="0.3">
      <c r="L60" s="135"/>
      <c r="M60" s="153" t="s">
        <v>112</v>
      </c>
    </row>
  </sheetData>
  <mergeCells count="73">
    <mergeCell ref="L35:L36"/>
    <mergeCell ref="M35:O36"/>
    <mergeCell ref="M37:O37"/>
    <mergeCell ref="L39:L40"/>
    <mergeCell ref="M39:M40"/>
    <mergeCell ref="N39:N40"/>
    <mergeCell ref="O39:O40"/>
    <mergeCell ref="O15:O16"/>
    <mergeCell ref="R15:R16"/>
    <mergeCell ref="S15:S16"/>
    <mergeCell ref="T15:T16"/>
    <mergeCell ref="L31:L32"/>
    <mergeCell ref="M31:O32"/>
    <mergeCell ref="Q15:Q16"/>
    <mergeCell ref="L15:L16"/>
    <mergeCell ref="M18:N18"/>
    <mergeCell ref="M17:N17"/>
    <mergeCell ref="M15:N16"/>
    <mergeCell ref="M25:N25"/>
    <mergeCell ref="M24:N24"/>
    <mergeCell ref="M19:N19"/>
    <mergeCell ref="M20:N20"/>
    <mergeCell ref="M21:N21"/>
    <mergeCell ref="R9:T9"/>
    <mergeCell ref="L3:L4"/>
    <mergeCell ref="M3:M4"/>
    <mergeCell ref="N3:N4"/>
    <mergeCell ref="O3:O4"/>
    <mergeCell ref="Q3:Q4"/>
    <mergeCell ref="R3:R4"/>
    <mergeCell ref="S3:S4"/>
    <mergeCell ref="T3:T4"/>
    <mergeCell ref="Q7:Q8"/>
    <mergeCell ref="R7:T8"/>
    <mergeCell ref="N5:N13"/>
    <mergeCell ref="Q11:Q12"/>
    <mergeCell ref="R11:R12"/>
    <mergeCell ref="S11:S12"/>
    <mergeCell ref="T11:T12"/>
    <mergeCell ref="A3:D3"/>
    <mergeCell ref="E3:F3"/>
    <mergeCell ref="H3:J3"/>
    <mergeCell ref="A14:D14"/>
    <mergeCell ref="A20:D20"/>
    <mergeCell ref="A16:C16"/>
    <mergeCell ref="M22:N22"/>
    <mergeCell ref="M23:N23"/>
    <mergeCell ref="M33:O33"/>
    <mergeCell ref="L27:L28"/>
    <mergeCell ref="M27:M28"/>
    <mergeCell ref="N27:N28"/>
    <mergeCell ref="O27:O28"/>
    <mergeCell ref="H37:I37"/>
    <mergeCell ref="A27:C27"/>
    <mergeCell ref="A4:C4"/>
    <mergeCell ref="A5:C5"/>
    <mergeCell ref="A6:C6"/>
    <mergeCell ref="A7:C7"/>
    <mergeCell ref="A8:C8"/>
    <mergeCell ref="A9:C9"/>
    <mergeCell ref="A10:C10"/>
    <mergeCell ref="A11:C11"/>
    <mergeCell ref="A12:C12"/>
    <mergeCell ref="A13:C13"/>
    <mergeCell ref="A15:C15"/>
    <mergeCell ref="A19:C19"/>
    <mergeCell ref="A18:C18"/>
    <mergeCell ref="A17:C17"/>
    <mergeCell ref="A21:C21"/>
    <mergeCell ref="A22:C22"/>
    <mergeCell ref="A23:C23"/>
    <mergeCell ref="A24:C24"/>
    <mergeCell ref="A25:C25"/>
  </mergeCells>
  <conditionalFormatting sqref="J19">
    <cfRule type="cellIs" dxfId="268" priority="8" operator="greaterThan">
      <formula>0.2</formula>
    </cfRule>
    <cfRule type="cellIs" dxfId="267" priority="11" operator="lessThan">
      <formula>0.2</formula>
    </cfRule>
  </conditionalFormatting>
  <conditionalFormatting sqref="D11">
    <cfRule type="cellIs" dxfId="266" priority="7" operator="lessThan">
      <formula>50</formula>
    </cfRule>
  </conditionalFormatting>
  <conditionalFormatting sqref="D7">
    <cfRule type="cellIs" dxfId="265" priority="6" operator="equal">
      <formula>0</formula>
    </cfRule>
  </conditionalFormatting>
  <conditionalFormatting sqref="D4:D10">
    <cfRule type="cellIs" dxfId="264" priority="5" operator="equal">
      <formula>0</formula>
    </cfRule>
  </conditionalFormatting>
  <conditionalFormatting sqref="D16">
    <cfRule type="cellIs" dxfId="263" priority="4" operator="equal">
      <formula>0</formula>
    </cfRule>
  </conditionalFormatting>
  <conditionalFormatting sqref="D21:D22">
    <cfRule type="cellIs" dxfId="262" priority="3" operator="equal">
      <formula>"00.01.1900"</formula>
    </cfRule>
  </conditionalFormatting>
  <conditionalFormatting sqref="D12:D13 D17:D19">
    <cfRule type="cellIs" dxfId="261" priority="1" operator="greaterThan">
      <formula>800</formula>
    </cfRule>
    <cfRule type="expression" dxfId="260" priority="2">
      <formula>ISERROR(#N/A)</formula>
    </cfRule>
  </conditionalFormatting>
  <dataValidations count="4">
    <dataValidation type="list" allowBlank="1" showInputMessage="1" showErrorMessage="1" sqref="D8" xr:uid="{00000000-0002-0000-0100-000000000000}">
      <formula1>BFA</formula1>
    </dataValidation>
    <dataValidation type="decimal" allowBlank="1" showInputMessage="1" showErrorMessage="1" sqref="D11" xr:uid="{00000000-0002-0000-0100-000001000000}">
      <formula1>45</formula1>
      <formula2>160</formula2>
    </dataValidation>
    <dataValidation type="list" allowBlank="1" showInputMessage="1" showErrorMessage="1" sqref="D10" xr:uid="{00000000-0002-0000-0100-000002000000}">
      <formula1>INDIRECT(D6)</formula1>
    </dataValidation>
    <dataValidation type="list" allowBlank="1" showInputMessage="1" showErrorMessage="1" sqref="D9" xr:uid="{00000000-0002-0000-0100-000003000000}">
      <formula1>Turm</formula1>
    </dataValidation>
  </dataValidations>
  <pageMargins left="0.7" right="0.7" top="0.78740157499999996" bottom="0.78740157499999996" header="0.3" footer="0.3"/>
  <pageSetup paperSize="9" orientation="portrait" horizontalDpi="0" verticalDpi="0" r:id="rId1"/>
  <ignoredErrors>
    <ignoredError sqref="N47" formula="1"/>
  </ignoredErrors>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4000000}">
          <x14:formula1>
            <xm:f>Anlageninfo!$B$3:$D$3</xm:f>
          </x14:formula1>
          <xm:sqref>D6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pageSetUpPr fitToPage="1"/>
  </sheetPr>
  <dimension ref="A1:AD69"/>
  <sheetViews>
    <sheetView tabSelected="1" topLeftCell="A7" zoomScale="80" zoomScaleNormal="80" workbookViewId="0">
      <selection activeCell="F27" sqref="F27"/>
    </sheetView>
  </sheetViews>
  <sheetFormatPr baseColWidth="10" defaultColWidth="9.109375" defaultRowHeight="13.8" outlineLevelCol="1" x14ac:dyDescent="0.3"/>
  <cols>
    <col min="1" max="1" width="24.44140625" style="3" customWidth="1"/>
    <col min="2" max="2" width="7.109375" style="3" customWidth="1"/>
    <col min="3" max="3" width="6.5546875" style="3" customWidth="1"/>
    <col min="4" max="4" width="18" style="3" customWidth="1"/>
    <col min="5" max="5" width="25" style="3" customWidth="1"/>
    <col min="6" max="6" width="24.6640625" style="3" customWidth="1"/>
    <col min="7" max="7" width="3.33203125" style="71" customWidth="1"/>
    <col min="8" max="8" width="27.109375" style="2" customWidth="1"/>
    <col min="9" max="9" width="11.44140625" style="2" customWidth="1"/>
    <col min="10" max="10" width="11.44140625" style="1" customWidth="1"/>
    <col min="11" max="11" width="3" style="4" customWidth="1"/>
    <col min="12" max="12" width="17.88671875" style="4" customWidth="1"/>
    <col min="13" max="13" width="41.6640625" style="1" customWidth="1"/>
    <col min="14" max="14" width="18.6640625" style="2" customWidth="1"/>
    <col min="15" max="15" width="17" style="1" customWidth="1"/>
    <col min="16" max="16" width="18.44140625" style="1" customWidth="1"/>
    <col min="17" max="17" width="15" style="2" customWidth="1"/>
    <col min="18" max="18" width="13.6640625" style="2" customWidth="1"/>
    <col min="19" max="19" width="14.5546875" style="2" customWidth="1"/>
    <col min="20" max="20" width="15.109375" style="2" customWidth="1"/>
    <col min="21" max="21" width="16.33203125" style="1" hidden="1" customWidth="1" outlineLevel="1"/>
    <col min="22" max="22" width="12.88671875" style="1" hidden="1" customWidth="1" outlineLevel="1"/>
    <col min="23" max="23" width="9.33203125" style="1" hidden="1" customWidth="1" outlineLevel="1"/>
    <col min="24" max="25" width="14.6640625" style="1" hidden="1" customWidth="1" outlineLevel="1"/>
    <col min="26" max="27" width="9.109375" style="1" hidden="1" customWidth="1" outlineLevel="1"/>
    <col min="28" max="28" width="15" style="1" hidden="1" customWidth="1" outlineLevel="1"/>
    <col min="29" max="29" width="15.33203125" style="1" customWidth="1" collapsed="1"/>
    <col min="30" max="30" width="15.44140625" style="1" customWidth="1"/>
    <col min="31" max="259" width="9.109375" style="1"/>
    <col min="260" max="260" width="40.88671875" style="1" customWidth="1"/>
    <col min="261" max="261" width="17.33203125" style="1" customWidth="1"/>
    <col min="262" max="262" width="17.109375" style="1" customWidth="1"/>
    <col min="263" max="263" width="15.109375" style="1" customWidth="1"/>
    <col min="264" max="264" width="16.88671875" style="1" customWidth="1"/>
    <col min="265" max="266" width="7.88671875" style="1" bestFit="1" customWidth="1"/>
    <col min="267" max="267" width="51" style="1" customWidth="1"/>
    <col min="268" max="268" width="13.44140625" style="1" customWidth="1"/>
    <col min="269" max="269" width="16.33203125" style="1" bestFit="1" customWidth="1"/>
    <col min="270" max="270" width="11.88671875" style="1" customWidth="1"/>
    <col min="271" max="271" width="9" style="1" customWidth="1"/>
    <col min="272" max="272" width="11.33203125" style="1" customWidth="1"/>
    <col min="273" max="273" width="17.33203125" style="1" customWidth="1"/>
    <col min="274" max="274" width="16.88671875" style="1" bestFit="1" customWidth="1"/>
    <col min="275" max="275" width="34.6640625" style="1" customWidth="1"/>
    <col min="276" max="276" width="22.33203125" style="1" customWidth="1"/>
    <col min="277" max="277" width="18.33203125" style="1" customWidth="1"/>
    <col min="278" max="278" width="19.88671875" style="1" customWidth="1"/>
    <col min="279" max="515" width="9.109375" style="1"/>
    <col min="516" max="516" width="40.88671875" style="1" customWidth="1"/>
    <col min="517" max="517" width="17.33203125" style="1" customWidth="1"/>
    <col min="518" max="518" width="17.109375" style="1" customWidth="1"/>
    <col min="519" max="519" width="15.109375" style="1" customWidth="1"/>
    <col min="520" max="520" width="16.88671875" style="1" customWidth="1"/>
    <col min="521" max="522" width="7.88671875" style="1" bestFit="1" customWidth="1"/>
    <col min="523" max="523" width="51" style="1" customWidth="1"/>
    <col min="524" max="524" width="13.44140625" style="1" customWidth="1"/>
    <col min="525" max="525" width="16.33203125" style="1" bestFit="1" customWidth="1"/>
    <col min="526" max="526" width="11.88671875" style="1" customWidth="1"/>
    <col min="527" max="527" width="9" style="1" customWidth="1"/>
    <col min="528" max="528" width="11.33203125" style="1" customWidth="1"/>
    <col min="529" max="529" width="17.33203125" style="1" customWidth="1"/>
    <col min="530" max="530" width="16.88671875" style="1" bestFit="1" customWidth="1"/>
    <col min="531" max="531" width="34.6640625" style="1" customWidth="1"/>
    <col min="532" max="532" width="22.33203125" style="1" customWidth="1"/>
    <col min="533" max="533" width="18.33203125" style="1" customWidth="1"/>
    <col min="534" max="534" width="19.88671875" style="1" customWidth="1"/>
    <col min="535" max="771" width="9.109375" style="1"/>
    <col min="772" max="772" width="40.88671875" style="1" customWidth="1"/>
    <col min="773" max="773" width="17.33203125" style="1" customWidth="1"/>
    <col min="774" max="774" width="17.109375" style="1" customWidth="1"/>
    <col min="775" max="775" width="15.109375" style="1" customWidth="1"/>
    <col min="776" max="776" width="16.88671875" style="1" customWidth="1"/>
    <col min="777" max="778" width="7.88671875" style="1" bestFit="1" customWidth="1"/>
    <col min="779" max="779" width="51" style="1" customWidth="1"/>
    <col min="780" max="780" width="13.44140625" style="1" customWidth="1"/>
    <col min="781" max="781" width="16.33203125" style="1" bestFit="1" customWidth="1"/>
    <col min="782" max="782" width="11.88671875" style="1" customWidth="1"/>
    <col min="783" max="783" width="9" style="1" customWidth="1"/>
    <col min="784" max="784" width="11.33203125" style="1" customWidth="1"/>
    <col min="785" max="785" width="17.33203125" style="1" customWidth="1"/>
    <col min="786" max="786" width="16.88671875" style="1" bestFit="1" customWidth="1"/>
    <col min="787" max="787" width="34.6640625" style="1" customWidth="1"/>
    <col min="788" max="788" width="22.33203125" style="1" customWidth="1"/>
    <col min="789" max="789" width="18.33203125" style="1" customWidth="1"/>
    <col min="790" max="790" width="19.88671875" style="1" customWidth="1"/>
    <col min="791" max="1027" width="9.109375" style="1"/>
    <col min="1028" max="1028" width="40.88671875" style="1" customWidth="1"/>
    <col min="1029" max="1029" width="17.33203125" style="1" customWidth="1"/>
    <col min="1030" max="1030" width="17.109375" style="1" customWidth="1"/>
    <col min="1031" max="1031" width="15.109375" style="1" customWidth="1"/>
    <col min="1032" max="1032" width="16.88671875" style="1" customWidth="1"/>
    <col min="1033" max="1034" width="7.88671875" style="1" bestFit="1" customWidth="1"/>
    <col min="1035" max="1035" width="51" style="1" customWidth="1"/>
    <col min="1036" max="1036" width="13.44140625" style="1" customWidth="1"/>
    <col min="1037" max="1037" width="16.33203125" style="1" bestFit="1" customWidth="1"/>
    <col min="1038" max="1038" width="11.88671875" style="1" customWidth="1"/>
    <col min="1039" max="1039" width="9" style="1" customWidth="1"/>
    <col min="1040" max="1040" width="11.33203125" style="1" customWidth="1"/>
    <col min="1041" max="1041" width="17.33203125" style="1" customWidth="1"/>
    <col min="1042" max="1042" width="16.88671875" style="1" bestFit="1" customWidth="1"/>
    <col min="1043" max="1043" width="34.6640625" style="1" customWidth="1"/>
    <col min="1044" max="1044" width="22.33203125" style="1" customWidth="1"/>
    <col min="1045" max="1045" width="18.33203125" style="1" customWidth="1"/>
    <col min="1046" max="1046" width="19.88671875" style="1" customWidth="1"/>
    <col min="1047" max="1283" width="9.109375" style="1"/>
    <col min="1284" max="1284" width="40.88671875" style="1" customWidth="1"/>
    <col min="1285" max="1285" width="17.33203125" style="1" customWidth="1"/>
    <col min="1286" max="1286" width="17.109375" style="1" customWidth="1"/>
    <col min="1287" max="1287" width="15.109375" style="1" customWidth="1"/>
    <col min="1288" max="1288" width="16.88671875" style="1" customWidth="1"/>
    <col min="1289" max="1290" width="7.88671875" style="1" bestFit="1" customWidth="1"/>
    <col min="1291" max="1291" width="51" style="1" customWidth="1"/>
    <col min="1292" max="1292" width="13.44140625" style="1" customWidth="1"/>
    <col min="1293" max="1293" width="16.33203125" style="1" bestFit="1" customWidth="1"/>
    <col min="1294" max="1294" width="11.88671875" style="1" customWidth="1"/>
    <col min="1295" max="1295" width="9" style="1" customWidth="1"/>
    <col min="1296" max="1296" width="11.33203125" style="1" customWidth="1"/>
    <col min="1297" max="1297" width="17.33203125" style="1" customWidth="1"/>
    <col min="1298" max="1298" width="16.88671875" style="1" bestFit="1" customWidth="1"/>
    <col min="1299" max="1299" width="34.6640625" style="1" customWidth="1"/>
    <col min="1300" max="1300" width="22.33203125" style="1" customWidth="1"/>
    <col min="1301" max="1301" width="18.33203125" style="1" customWidth="1"/>
    <col min="1302" max="1302" width="19.88671875" style="1" customWidth="1"/>
    <col min="1303" max="1539" width="9.109375" style="1"/>
    <col min="1540" max="1540" width="40.88671875" style="1" customWidth="1"/>
    <col min="1541" max="1541" width="17.33203125" style="1" customWidth="1"/>
    <col min="1542" max="1542" width="17.109375" style="1" customWidth="1"/>
    <col min="1543" max="1543" width="15.109375" style="1" customWidth="1"/>
    <col min="1544" max="1544" width="16.88671875" style="1" customWidth="1"/>
    <col min="1545" max="1546" width="7.88671875" style="1" bestFit="1" customWidth="1"/>
    <col min="1547" max="1547" width="51" style="1" customWidth="1"/>
    <col min="1548" max="1548" width="13.44140625" style="1" customWidth="1"/>
    <col min="1549" max="1549" width="16.33203125" style="1" bestFit="1" customWidth="1"/>
    <col min="1550" max="1550" width="11.88671875" style="1" customWidth="1"/>
    <col min="1551" max="1551" width="9" style="1" customWidth="1"/>
    <col min="1552" max="1552" width="11.33203125" style="1" customWidth="1"/>
    <col min="1553" max="1553" width="17.33203125" style="1" customWidth="1"/>
    <col min="1554" max="1554" width="16.88671875" style="1" bestFit="1" customWidth="1"/>
    <col min="1555" max="1555" width="34.6640625" style="1" customWidth="1"/>
    <col min="1556" max="1556" width="22.33203125" style="1" customWidth="1"/>
    <col min="1557" max="1557" width="18.33203125" style="1" customWidth="1"/>
    <col min="1558" max="1558" width="19.88671875" style="1" customWidth="1"/>
    <col min="1559" max="1795" width="9.109375" style="1"/>
    <col min="1796" max="1796" width="40.88671875" style="1" customWidth="1"/>
    <col min="1797" max="1797" width="17.33203125" style="1" customWidth="1"/>
    <col min="1798" max="1798" width="17.109375" style="1" customWidth="1"/>
    <col min="1799" max="1799" width="15.109375" style="1" customWidth="1"/>
    <col min="1800" max="1800" width="16.88671875" style="1" customWidth="1"/>
    <col min="1801" max="1802" width="7.88671875" style="1" bestFit="1" customWidth="1"/>
    <col min="1803" max="1803" width="51" style="1" customWidth="1"/>
    <col min="1804" max="1804" width="13.44140625" style="1" customWidth="1"/>
    <col min="1805" max="1805" width="16.33203125" style="1" bestFit="1" customWidth="1"/>
    <col min="1806" max="1806" width="11.88671875" style="1" customWidth="1"/>
    <col min="1807" max="1807" width="9" style="1" customWidth="1"/>
    <col min="1808" max="1808" width="11.33203125" style="1" customWidth="1"/>
    <col min="1809" max="1809" width="17.33203125" style="1" customWidth="1"/>
    <col min="1810" max="1810" width="16.88671875" style="1" bestFit="1" customWidth="1"/>
    <col min="1811" max="1811" width="34.6640625" style="1" customWidth="1"/>
    <col min="1812" max="1812" width="22.33203125" style="1" customWidth="1"/>
    <col min="1813" max="1813" width="18.33203125" style="1" customWidth="1"/>
    <col min="1814" max="1814" width="19.88671875" style="1" customWidth="1"/>
    <col min="1815" max="2051" width="9.109375" style="1"/>
    <col min="2052" max="2052" width="40.88671875" style="1" customWidth="1"/>
    <col min="2053" max="2053" width="17.33203125" style="1" customWidth="1"/>
    <col min="2054" max="2054" width="17.109375" style="1" customWidth="1"/>
    <col min="2055" max="2055" width="15.109375" style="1" customWidth="1"/>
    <col min="2056" max="2056" width="16.88671875" style="1" customWidth="1"/>
    <col min="2057" max="2058" width="7.88671875" style="1" bestFit="1" customWidth="1"/>
    <col min="2059" max="2059" width="51" style="1" customWidth="1"/>
    <col min="2060" max="2060" width="13.44140625" style="1" customWidth="1"/>
    <col min="2061" max="2061" width="16.33203125" style="1" bestFit="1" customWidth="1"/>
    <col min="2062" max="2062" width="11.88671875" style="1" customWidth="1"/>
    <col min="2063" max="2063" width="9" style="1" customWidth="1"/>
    <col min="2064" max="2064" width="11.33203125" style="1" customWidth="1"/>
    <col min="2065" max="2065" width="17.33203125" style="1" customWidth="1"/>
    <col min="2066" max="2066" width="16.88671875" style="1" bestFit="1" customWidth="1"/>
    <col min="2067" max="2067" width="34.6640625" style="1" customWidth="1"/>
    <col min="2068" max="2068" width="22.33203125" style="1" customWidth="1"/>
    <col min="2069" max="2069" width="18.33203125" style="1" customWidth="1"/>
    <col min="2070" max="2070" width="19.88671875" style="1" customWidth="1"/>
    <col min="2071" max="2307" width="9.109375" style="1"/>
    <col min="2308" max="2308" width="40.88671875" style="1" customWidth="1"/>
    <col min="2309" max="2309" width="17.33203125" style="1" customWidth="1"/>
    <col min="2310" max="2310" width="17.109375" style="1" customWidth="1"/>
    <col min="2311" max="2311" width="15.109375" style="1" customWidth="1"/>
    <col min="2312" max="2312" width="16.88671875" style="1" customWidth="1"/>
    <col min="2313" max="2314" width="7.88671875" style="1" bestFit="1" customWidth="1"/>
    <col min="2315" max="2315" width="51" style="1" customWidth="1"/>
    <col min="2316" max="2316" width="13.44140625" style="1" customWidth="1"/>
    <col min="2317" max="2317" width="16.33203125" style="1" bestFit="1" customWidth="1"/>
    <col min="2318" max="2318" width="11.88671875" style="1" customWidth="1"/>
    <col min="2319" max="2319" width="9" style="1" customWidth="1"/>
    <col min="2320" max="2320" width="11.33203125" style="1" customWidth="1"/>
    <col min="2321" max="2321" width="17.33203125" style="1" customWidth="1"/>
    <col min="2322" max="2322" width="16.88671875" style="1" bestFit="1" customWidth="1"/>
    <col min="2323" max="2323" width="34.6640625" style="1" customWidth="1"/>
    <col min="2324" max="2324" width="22.33203125" style="1" customWidth="1"/>
    <col min="2325" max="2325" width="18.33203125" style="1" customWidth="1"/>
    <col min="2326" max="2326" width="19.88671875" style="1" customWidth="1"/>
    <col min="2327" max="2563" width="9.109375" style="1"/>
    <col min="2564" max="2564" width="40.88671875" style="1" customWidth="1"/>
    <col min="2565" max="2565" width="17.33203125" style="1" customWidth="1"/>
    <col min="2566" max="2566" width="17.109375" style="1" customWidth="1"/>
    <col min="2567" max="2567" width="15.109375" style="1" customWidth="1"/>
    <col min="2568" max="2568" width="16.88671875" style="1" customWidth="1"/>
    <col min="2569" max="2570" width="7.88671875" style="1" bestFit="1" customWidth="1"/>
    <col min="2571" max="2571" width="51" style="1" customWidth="1"/>
    <col min="2572" max="2572" width="13.44140625" style="1" customWidth="1"/>
    <col min="2573" max="2573" width="16.33203125" style="1" bestFit="1" customWidth="1"/>
    <col min="2574" max="2574" width="11.88671875" style="1" customWidth="1"/>
    <col min="2575" max="2575" width="9" style="1" customWidth="1"/>
    <col min="2576" max="2576" width="11.33203125" style="1" customWidth="1"/>
    <col min="2577" max="2577" width="17.33203125" style="1" customWidth="1"/>
    <col min="2578" max="2578" width="16.88671875" style="1" bestFit="1" customWidth="1"/>
    <col min="2579" max="2579" width="34.6640625" style="1" customWidth="1"/>
    <col min="2580" max="2580" width="22.33203125" style="1" customWidth="1"/>
    <col min="2581" max="2581" width="18.33203125" style="1" customWidth="1"/>
    <col min="2582" max="2582" width="19.88671875" style="1" customWidth="1"/>
    <col min="2583" max="2819" width="9.109375" style="1"/>
    <col min="2820" max="2820" width="40.88671875" style="1" customWidth="1"/>
    <col min="2821" max="2821" width="17.33203125" style="1" customWidth="1"/>
    <col min="2822" max="2822" width="17.109375" style="1" customWidth="1"/>
    <col min="2823" max="2823" width="15.109375" style="1" customWidth="1"/>
    <col min="2824" max="2824" width="16.88671875" style="1" customWidth="1"/>
    <col min="2825" max="2826" width="7.88671875" style="1" bestFit="1" customWidth="1"/>
    <col min="2827" max="2827" width="51" style="1" customWidth="1"/>
    <col min="2828" max="2828" width="13.44140625" style="1" customWidth="1"/>
    <col min="2829" max="2829" width="16.33203125" style="1" bestFit="1" customWidth="1"/>
    <col min="2830" max="2830" width="11.88671875" style="1" customWidth="1"/>
    <col min="2831" max="2831" width="9" style="1" customWidth="1"/>
    <col min="2832" max="2832" width="11.33203125" style="1" customWidth="1"/>
    <col min="2833" max="2833" width="17.33203125" style="1" customWidth="1"/>
    <col min="2834" max="2834" width="16.88671875" style="1" bestFit="1" customWidth="1"/>
    <col min="2835" max="2835" width="34.6640625" style="1" customWidth="1"/>
    <col min="2836" max="2836" width="22.33203125" style="1" customWidth="1"/>
    <col min="2837" max="2837" width="18.33203125" style="1" customWidth="1"/>
    <col min="2838" max="2838" width="19.88671875" style="1" customWidth="1"/>
    <col min="2839" max="3075" width="9.109375" style="1"/>
    <col min="3076" max="3076" width="40.88671875" style="1" customWidth="1"/>
    <col min="3077" max="3077" width="17.33203125" style="1" customWidth="1"/>
    <col min="3078" max="3078" width="17.109375" style="1" customWidth="1"/>
    <col min="3079" max="3079" width="15.109375" style="1" customWidth="1"/>
    <col min="3080" max="3080" width="16.88671875" style="1" customWidth="1"/>
    <col min="3081" max="3082" width="7.88671875" style="1" bestFit="1" customWidth="1"/>
    <col min="3083" max="3083" width="51" style="1" customWidth="1"/>
    <col min="3084" max="3084" width="13.44140625" style="1" customWidth="1"/>
    <col min="3085" max="3085" width="16.33203125" style="1" bestFit="1" customWidth="1"/>
    <col min="3086" max="3086" width="11.88671875" style="1" customWidth="1"/>
    <col min="3087" max="3087" width="9" style="1" customWidth="1"/>
    <col min="3088" max="3088" width="11.33203125" style="1" customWidth="1"/>
    <col min="3089" max="3089" width="17.33203125" style="1" customWidth="1"/>
    <col min="3090" max="3090" width="16.88671875" style="1" bestFit="1" customWidth="1"/>
    <col min="3091" max="3091" width="34.6640625" style="1" customWidth="1"/>
    <col min="3092" max="3092" width="22.33203125" style="1" customWidth="1"/>
    <col min="3093" max="3093" width="18.33203125" style="1" customWidth="1"/>
    <col min="3094" max="3094" width="19.88671875" style="1" customWidth="1"/>
    <col min="3095" max="3331" width="9.109375" style="1"/>
    <col min="3332" max="3332" width="40.88671875" style="1" customWidth="1"/>
    <col min="3333" max="3333" width="17.33203125" style="1" customWidth="1"/>
    <col min="3334" max="3334" width="17.109375" style="1" customWidth="1"/>
    <col min="3335" max="3335" width="15.109375" style="1" customWidth="1"/>
    <col min="3336" max="3336" width="16.88671875" style="1" customWidth="1"/>
    <col min="3337" max="3338" width="7.88671875" style="1" bestFit="1" customWidth="1"/>
    <col min="3339" max="3339" width="51" style="1" customWidth="1"/>
    <col min="3340" max="3340" width="13.44140625" style="1" customWidth="1"/>
    <col min="3341" max="3341" width="16.33203125" style="1" bestFit="1" customWidth="1"/>
    <col min="3342" max="3342" width="11.88671875" style="1" customWidth="1"/>
    <col min="3343" max="3343" width="9" style="1" customWidth="1"/>
    <col min="3344" max="3344" width="11.33203125" style="1" customWidth="1"/>
    <col min="3345" max="3345" width="17.33203125" style="1" customWidth="1"/>
    <col min="3346" max="3346" width="16.88671875" style="1" bestFit="1" customWidth="1"/>
    <col min="3347" max="3347" width="34.6640625" style="1" customWidth="1"/>
    <col min="3348" max="3348" width="22.33203125" style="1" customWidth="1"/>
    <col min="3349" max="3349" width="18.33203125" style="1" customWidth="1"/>
    <col min="3350" max="3350" width="19.88671875" style="1" customWidth="1"/>
    <col min="3351" max="3587" width="9.109375" style="1"/>
    <col min="3588" max="3588" width="40.88671875" style="1" customWidth="1"/>
    <col min="3589" max="3589" width="17.33203125" style="1" customWidth="1"/>
    <col min="3590" max="3590" width="17.109375" style="1" customWidth="1"/>
    <col min="3591" max="3591" width="15.109375" style="1" customWidth="1"/>
    <col min="3592" max="3592" width="16.88671875" style="1" customWidth="1"/>
    <col min="3593" max="3594" width="7.88671875" style="1" bestFit="1" customWidth="1"/>
    <col min="3595" max="3595" width="51" style="1" customWidth="1"/>
    <col min="3596" max="3596" width="13.44140625" style="1" customWidth="1"/>
    <col min="3597" max="3597" width="16.33203125" style="1" bestFit="1" customWidth="1"/>
    <col min="3598" max="3598" width="11.88671875" style="1" customWidth="1"/>
    <col min="3599" max="3599" width="9" style="1" customWidth="1"/>
    <col min="3600" max="3600" width="11.33203125" style="1" customWidth="1"/>
    <col min="3601" max="3601" width="17.33203125" style="1" customWidth="1"/>
    <col min="3602" max="3602" width="16.88671875" style="1" bestFit="1" customWidth="1"/>
    <col min="3603" max="3603" width="34.6640625" style="1" customWidth="1"/>
    <col min="3604" max="3604" width="22.33203125" style="1" customWidth="1"/>
    <col min="3605" max="3605" width="18.33203125" style="1" customWidth="1"/>
    <col min="3606" max="3606" width="19.88671875" style="1" customWidth="1"/>
    <col min="3607" max="3843" width="9.109375" style="1"/>
    <col min="3844" max="3844" width="40.88671875" style="1" customWidth="1"/>
    <col min="3845" max="3845" width="17.33203125" style="1" customWidth="1"/>
    <col min="3846" max="3846" width="17.109375" style="1" customWidth="1"/>
    <col min="3847" max="3847" width="15.109375" style="1" customWidth="1"/>
    <col min="3848" max="3848" width="16.88671875" style="1" customWidth="1"/>
    <col min="3849" max="3850" width="7.88671875" style="1" bestFit="1" customWidth="1"/>
    <col min="3851" max="3851" width="51" style="1" customWidth="1"/>
    <col min="3852" max="3852" width="13.44140625" style="1" customWidth="1"/>
    <col min="3853" max="3853" width="16.33203125" style="1" bestFit="1" customWidth="1"/>
    <col min="3854" max="3854" width="11.88671875" style="1" customWidth="1"/>
    <col min="3855" max="3855" width="9" style="1" customWidth="1"/>
    <col min="3856" max="3856" width="11.33203125" style="1" customWidth="1"/>
    <col min="3857" max="3857" width="17.33203125" style="1" customWidth="1"/>
    <col min="3858" max="3858" width="16.88671875" style="1" bestFit="1" customWidth="1"/>
    <col min="3859" max="3859" width="34.6640625" style="1" customWidth="1"/>
    <col min="3860" max="3860" width="22.33203125" style="1" customWidth="1"/>
    <col min="3861" max="3861" width="18.33203125" style="1" customWidth="1"/>
    <col min="3862" max="3862" width="19.88671875" style="1" customWidth="1"/>
    <col min="3863" max="4099" width="9.109375" style="1"/>
    <col min="4100" max="4100" width="40.88671875" style="1" customWidth="1"/>
    <col min="4101" max="4101" width="17.33203125" style="1" customWidth="1"/>
    <col min="4102" max="4102" width="17.109375" style="1" customWidth="1"/>
    <col min="4103" max="4103" width="15.109375" style="1" customWidth="1"/>
    <col min="4104" max="4104" width="16.88671875" style="1" customWidth="1"/>
    <col min="4105" max="4106" width="7.88671875" style="1" bestFit="1" customWidth="1"/>
    <col min="4107" max="4107" width="51" style="1" customWidth="1"/>
    <col min="4108" max="4108" width="13.44140625" style="1" customWidth="1"/>
    <col min="4109" max="4109" width="16.33203125" style="1" bestFit="1" customWidth="1"/>
    <col min="4110" max="4110" width="11.88671875" style="1" customWidth="1"/>
    <col min="4111" max="4111" width="9" style="1" customWidth="1"/>
    <col min="4112" max="4112" width="11.33203125" style="1" customWidth="1"/>
    <col min="4113" max="4113" width="17.33203125" style="1" customWidth="1"/>
    <col min="4114" max="4114" width="16.88671875" style="1" bestFit="1" customWidth="1"/>
    <col min="4115" max="4115" width="34.6640625" style="1" customWidth="1"/>
    <col min="4116" max="4116" width="22.33203125" style="1" customWidth="1"/>
    <col min="4117" max="4117" width="18.33203125" style="1" customWidth="1"/>
    <col min="4118" max="4118" width="19.88671875" style="1" customWidth="1"/>
    <col min="4119" max="4355" width="9.109375" style="1"/>
    <col min="4356" max="4356" width="40.88671875" style="1" customWidth="1"/>
    <col min="4357" max="4357" width="17.33203125" style="1" customWidth="1"/>
    <col min="4358" max="4358" width="17.109375" style="1" customWidth="1"/>
    <col min="4359" max="4359" width="15.109375" style="1" customWidth="1"/>
    <col min="4360" max="4360" width="16.88671875" style="1" customWidth="1"/>
    <col min="4361" max="4362" width="7.88671875" style="1" bestFit="1" customWidth="1"/>
    <col min="4363" max="4363" width="51" style="1" customWidth="1"/>
    <col min="4364" max="4364" width="13.44140625" style="1" customWidth="1"/>
    <col min="4365" max="4365" width="16.33203125" style="1" bestFit="1" customWidth="1"/>
    <col min="4366" max="4366" width="11.88671875" style="1" customWidth="1"/>
    <col min="4367" max="4367" width="9" style="1" customWidth="1"/>
    <col min="4368" max="4368" width="11.33203125" style="1" customWidth="1"/>
    <col min="4369" max="4369" width="17.33203125" style="1" customWidth="1"/>
    <col min="4370" max="4370" width="16.88671875" style="1" bestFit="1" customWidth="1"/>
    <col min="4371" max="4371" width="34.6640625" style="1" customWidth="1"/>
    <col min="4372" max="4372" width="22.33203125" style="1" customWidth="1"/>
    <col min="4373" max="4373" width="18.33203125" style="1" customWidth="1"/>
    <col min="4374" max="4374" width="19.88671875" style="1" customWidth="1"/>
    <col min="4375" max="4611" width="9.109375" style="1"/>
    <col min="4612" max="4612" width="40.88671875" style="1" customWidth="1"/>
    <col min="4613" max="4613" width="17.33203125" style="1" customWidth="1"/>
    <col min="4614" max="4614" width="17.109375" style="1" customWidth="1"/>
    <col min="4615" max="4615" width="15.109375" style="1" customWidth="1"/>
    <col min="4616" max="4616" width="16.88671875" style="1" customWidth="1"/>
    <col min="4617" max="4618" width="7.88671875" style="1" bestFit="1" customWidth="1"/>
    <col min="4619" max="4619" width="51" style="1" customWidth="1"/>
    <col min="4620" max="4620" width="13.44140625" style="1" customWidth="1"/>
    <col min="4621" max="4621" width="16.33203125" style="1" bestFit="1" customWidth="1"/>
    <col min="4622" max="4622" width="11.88671875" style="1" customWidth="1"/>
    <col min="4623" max="4623" width="9" style="1" customWidth="1"/>
    <col min="4624" max="4624" width="11.33203125" style="1" customWidth="1"/>
    <col min="4625" max="4625" width="17.33203125" style="1" customWidth="1"/>
    <col min="4626" max="4626" width="16.88671875" style="1" bestFit="1" customWidth="1"/>
    <col min="4627" max="4627" width="34.6640625" style="1" customWidth="1"/>
    <col min="4628" max="4628" width="22.33203125" style="1" customWidth="1"/>
    <col min="4629" max="4629" width="18.33203125" style="1" customWidth="1"/>
    <col min="4630" max="4630" width="19.88671875" style="1" customWidth="1"/>
    <col min="4631" max="4867" width="9.109375" style="1"/>
    <col min="4868" max="4868" width="40.88671875" style="1" customWidth="1"/>
    <col min="4869" max="4869" width="17.33203125" style="1" customWidth="1"/>
    <col min="4870" max="4870" width="17.109375" style="1" customWidth="1"/>
    <col min="4871" max="4871" width="15.109375" style="1" customWidth="1"/>
    <col min="4872" max="4872" width="16.88671875" style="1" customWidth="1"/>
    <col min="4873" max="4874" width="7.88671875" style="1" bestFit="1" customWidth="1"/>
    <col min="4875" max="4875" width="51" style="1" customWidth="1"/>
    <col min="4876" max="4876" width="13.44140625" style="1" customWidth="1"/>
    <col min="4877" max="4877" width="16.33203125" style="1" bestFit="1" customWidth="1"/>
    <col min="4878" max="4878" width="11.88671875" style="1" customWidth="1"/>
    <col min="4879" max="4879" width="9" style="1" customWidth="1"/>
    <col min="4880" max="4880" width="11.33203125" style="1" customWidth="1"/>
    <col min="4881" max="4881" width="17.33203125" style="1" customWidth="1"/>
    <col min="4882" max="4882" width="16.88671875" style="1" bestFit="1" customWidth="1"/>
    <col min="4883" max="4883" width="34.6640625" style="1" customWidth="1"/>
    <col min="4884" max="4884" width="22.33203125" style="1" customWidth="1"/>
    <col min="4885" max="4885" width="18.33203125" style="1" customWidth="1"/>
    <col min="4886" max="4886" width="19.88671875" style="1" customWidth="1"/>
    <col min="4887" max="5123" width="9.109375" style="1"/>
    <col min="5124" max="5124" width="40.88671875" style="1" customWidth="1"/>
    <col min="5125" max="5125" width="17.33203125" style="1" customWidth="1"/>
    <col min="5126" max="5126" width="17.109375" style="1" customWidth="1"/>
    <col min="5127" max="5127" width="15.109375" style="1" customWidth="1"/>
    <col min="5128" max="5128" width="16.88671875" style="1" customWidth="1"/>
    <col min="5129" max="5130" width="7.88671875" style="1" bestFit="1" customWidth="1"/>
    <col min="5131" max="5131" width="51" style="1" customWidth="1"/>
    <col min="5132" max="5132" width="13.44140625" style="1" customWidth="1"/>
    <col min="5133" max="5133" width="16.33203125" style="1" bestFit="1" customWidth="1"/>
    <col min="5134" max="5134" width="11.88671875" style="1" customWidth="1"/>
    <col min="5135" max="5135" width="9" style="1" customWidth="1"/>
    <col min="5136" max="5136" width="11.33203125" style="1" customWidth="1"/>
    <col min="5137" max="5137" width="17.33203125" style="1" customWidth="1"/>
    <col min="5138" max="5138" width="16.88671875" style="1" bestFit="1" customWidth="1"/>
    <col min="5139" max="5139" width="34.6640625" style="1" customWidth="1"/>
    <col min="5140" max="5140" width="22.33203125" style="1" customWidth="1"/>
    <col min="5141" max="5141" width="18.33203125" style="1" customWidth="1"/>
    <col min="5142" max="5142" width="19.88671875" style="1" customWidth="1"/>
    <col min="5143" max="5379" width="9.109375" style="1"/>
    <col min="5380" max="5380" width="40.88671875" style="1" customWidth="1"/>
    <col min="5381" max="5381" width="17.33203125" style="1" customWidth="1"/>
    <col min="5382" max="5382" width="17.109375" style="1" customWidth="1"/>
    <col min="5383" max="5383" width="15.109375" style="1" customWidth="1"/>
    <col min="5384" max="5384" width="16.88671875" style="1" customWidth="1"/>
    <col min="5385" max="5386" width="7.88671875" style="1" bestFit="1" customWidth="1"/>
    <col min="5387" max="5387" width="51" style="1" customWidth="1"/>
    <col min="5388" max="5388" width="13.44140625" style="1" customWidth="1"/>
    <col min="5389" max="5389" width="16.33203125" style="1" bestFit="1" customWidth="1"/>
    <col min="5390" max="5390" width="11.88671875" style="1" customWidth="1"/>
    <col min="5391" max="5391" width="9" style="1" customWidth="1"/>
    <col min="5392" max="5392" width="11.33203125" style="1" customWidth="1"/>
    <col min="5393" max="5393" width="17.33203125" style="1" customWidth="1"/>
    <col min="5394" max="5394" width="16.88671875" style="1" bestFit="1" customWidth="1"/>
    <col min="5395" max="5395" width="34.6640625" style="1" customWidth="1"/>
    <col min="5396" max="5396" width="22.33203125" style="1" customWidth="1"/>
    <col min="5397" max="5397" width="18.33203125" style="1" customWidth="1"/>
    <col min="5398" max="5398" width="19.88671875" style="1" customWidth="1"/>
    <col min="5399" max="5635" width="9.109375" style="1"/>
    <col min="5636" max="5636" width="40.88671875" style="1" customWidth="1"/>
    <col min="5637" max="5637" width="17.33203125" style="1" customWidth="1"/>
    <col min="5638" max="5638" width="17.109375" style="1" customWidth="1"/>
    <col min="5639" max="5639" width="15.109375" style="1" customWidth="1"/>
    <col min="5640" max="5640" width="16.88671875" style="1" customWidth="1"/>
    <col min="5641" max="5642" width="7.88671875" style="1" bestFit="1" customWidth="1"/>
    <col min="5643" max="5643" width="51" style="1" customWidth="1"/>
    <col min="5644" max="5644" width="13.44140625" style="1" customWidth="1"/>
    <col min="5645" max="5645" width="16.33203125" style="1" bestFit="1" customWidth="1"/>
    <col min="5646" max="5646" width="11.88671875" style="1" customWidth="1"/>
    <col min="5647" max="5647" width="9" style="1" customWidth="1"/>
    <col min="5648" max="5648" width="11.33203125" style="1" customWidth="1"/>
    <col min="5649" max="5649" width="17.33203125" style="1" customWidth="1"/>
    <col min="5650" max="5650" width="16.88671875" style="1" bestFit="1" customWidth="1"/>
    <col min="5651" max="5651" width="34.6640625" style="1" customWidth="1"/>
    <col min="5652" max="5652" width="22.33203125" style="1" customWidth="1"/>
    <col min="5653" max="5653" width="18.33203125" style="1" customWidth="1"/>
    <col min="5654" max="5654" width="19.88671875" style="1" customWidth="1"/>
    <col min="5655" max="5891" width="9.109375" style="1"/>
    <col min="5892" max="5892" width="40.88671875" style="1" customWidth="1"/>
    <col min="5893" max="5893" width="17.33203125" style="1" customWidth="1"/>
    <col min="5894" max="5894" width="17.109375" style="1" customWidth="1"/>
    <col min="5895" max="5895" width="15.109375" style="1" customWidth="1"/>
    <col min="5896" max="5896" width="16.88671875" style="1" customWidth="1"/>
    <col min="5897" max="5898" width="7.88671875" style="1" bestFit="1" customWidth="1"/>
    <col min="5899" max="5899" width="51" style="1" customWidth="1"/>
    <col min="5900" max="5900" width="13.44140625" style="1" customWidth="1"/>
    <col min="5901" max="5901" width="16.33203125" style="1" bestFit="1" customWidth="1"/>
    <col min="5902" max="5902" width="11.88671875" style="1" customWidth="1"/>
    <col min="5903" max="5903" width="9" style="1" customWidth="1"/>
    <col min="5904" max="5904" width="11.33203125" style="1" customWidth="1"/>
    <col min="5905" max="5905" width="17.33203125" style="1" customWidth="1"/>
    <col min="5906" max="5906" width="16.88671875" style="1" bestFit="1" customWidth="1"/>
    <col min="5907" max="5907" width="34.6640625" style="1" customWidth="1"/>
    <col min="5908" max="5908" width="22.33203125" style="1" customWidth="1"/>
    <col min="5909" max="5909" width="18.33203125" style="1" customWidth="1"/>
    <col min="5910" max="5910" width="19.88671875" style="1" customWidth="1"/>
    <col min="5911" max="6147" width="9.109375" style="1"/>
    <col min="6148" max="6148" width="40.88671875" style="1" customWidth="1"/>
    <col min="6149" max="6149" width="17.33203125" style="1" customWidth="1"/>
    <col min="6150" max="6150" width="17.109375" style="1" customWidth="1"/>
    <col min="6151" max="6151" width="15.109375" style="1" customWidth="1"/>
    <col min="6152" max="6152" width="16.88671875" style="1" customWidth="1"/>
    <col min="6153" max="6154" width="7.88671875" style="1" bestFit="1" customWidth="1"/>
    <col min="6155" max="6155" width="51" style="1" customWidth="1"/>
    <col min="6156" max="6156" width="13.44140625" style="1" customWidth="1"/>
    <col min="6157" max="6157" width="16.33203125" style="1" bestFit="1" customWidth="1"/>
    <col min="6158" max="6158" width="11.88671875" style="1" customWidth="1"/>
    <col min="6159" max="6159" width="9" style="1" customWidth="1"/>
    <col min="6160" max="6160" width="11.33203125" style="1" customWidth="1"/>
    <col min="6161" max="6161" width="17.33203125" style="1" customWidth="1"/>
    <col min="6162" max="6162" width="16.88671875" style="1" bestFit="1" customWidth="1"/>
    <col min="6163" max="6163" width="34.6640625" style="1" customWidth="1"/>
    <col min="6164" max="6164" width="22.33203125" style="1" customWidth="1"/>
    <col min="6165" max="6165" width="18.33203125" style="1" customWidth="1"/>
    <col min="6166" max="6166" width="19.88671875" style="1" customWidth="1"/>
    <col min="6167" max="6403" width="9.109375" style="1"/>
    <col min="6404" max="6404" width="40.88671875" style="1" customWidth="1"/>
    <col min="6405" max="6405" width="17.33203125" style="1" customWidth="1"/>
    <col min="6406" max="6406" width="17.109375" style="1" customWidth="1"/>
    <col min="6407" max="6407" width="15.109375" style="1" customWidth="1"/>
    <col min="6408" max="6408" width="16.88671875" style="1" customWidth="1"/>
    <col min="6409" max="6410" width="7.88671875" style="1" bestFit="1" customWidth="1"/>
    <col min="6411" max="6411" width="51" style="1" customWidth="1"/>
    <col min="6412" max="6412" width="13.44140625" style="1" customWidth="1"/>
    <col min="6413" max="6413" width="16.33203125" style="1" bestFit="1" customWidth="1"/>
    <col min="6414" max="6414" width="11.88671875" style="1" customWidth="1"/>
    <col min="6415" max="6415" width="9" style="1" customWidth="1"/>
    <col min="6416" max="6416" width="11.33203125" style="1" customWidth="1"/>
    <col min="6417" max="6417" width="17.33203125" style="1" customWidth="1"/>
    <col min="6418" max="6418" width="16.88671875" style="1" bestFit="1" customWidth="1"/>
    <col min="6419" max="6419" width="34.6640625" style="1" customWidth="1"/>
    <col min="6420" max="6420" width="22.33203125" style="1" customWidth="1"/>
    <col min="6421" max="6421" width="18.33203125" style="1" customWidth="1"/>
    <col min="6422" max="6422" width="19.88671875" style="1" customWidth="1"/>
    <col min="6423" max="6659" width="9.109375" style="1"/>
    <col min="6660" max="6660" width="40.88671875" style="1" customWidth="1"/>
    <col min="6661" max="6661" width="17.33203125" style="1" customWidth="1"/>
    <col min="6662" max="6662" width="17.109375" style="1" customWidth="1"/>
    <col min="6663" max="6663" width="15.109375" style="1" customWidth="1"/>
    <col min="6664" max="6664" width="16.88671875" style="1" customWidth="1"/>
    <col min="6665" max="6666" width="7.88671875" style="1" bestFit="1" customWidth="1"/>
    <col min="6667" max="6667" width="51" style="1" customWidth="1"/>
    <col min="6668" max="6668" width="13.44140625" style="1" customWidth="1"/>
    <col min="6669" max="6669" width="16.33203125" style="1" bestFit="1" customWidth="1"/>
    <col min="6670" max="6670" width="11.88671875" style="1" customWidth="1"/>
    <col min="6671" max="6671" width="9" style="1" customWidth="1"/>
    <col min="6672" max="6672" width="11.33203125" style="1" customWidth="1"/>
    <col min="6673" max="6673" width="17.33203125" style="1" customWidth="1"/>
    <col min="6674" max="6674" width="16.88671875" style="1" bestFit="1" customWidth="1"/>
    <col min="6675" max="6675" width="34.6640625" style="1" customWidth="1"/>
    <col min="6676" max="6676" width="22.33203125" style="1" customWidth="1"/>
    <col min="6677" max="6677" width="18.33203125" style="1" customWidth="1"/>
    <col min="6678" max="6678" width="19.88671875" style="1" customWidth="1"/>
    <col min="6679" max="6915" width="9.109375" style="1"/>
    <col min="6916" max="6916" width="40.88671875" style="1" customWidth="1"/>
    <col min="6917" max="6917" width="17.33203125" style="1" customWidth="1"/>
    <col min="6918" max="6918" width="17.109375" style="1" customWidth="1"/>
    <col min="6919" max="6919" width="15.109375" style="1" customWidth="1"/>
    <col min="6920" max="6920" width="16.88671875" style="1" customWidth="1"/>
    <col min="6921" max="6922" width="7.88671875" style="1" bestFit="1" customWidth="1"/>
    <col min="6923" max="6923" width="51" style="1" customWidth="1"/>
    <col min="6924" max="6924" width="13.44140625" style="1" customWidth="1"/>
    <col min="6925" max="6925" width="16.33203125" style="1" bestFit="1" customWidth="1"/>
    <col min="6926" max="6926" width="11.88671875" style="1" customWidth="1"/>
    <col min="6927" max="6927" width="9" style="1" customWidth="1"/>
    <col min="6928" max="6928" width="11.33203125" style="1" customWidth="1"/>
    <col min="6929" max="6929" width="17.33203125" style="1" customWidth="1"/>
    <col min="6930" max="6930" width="16.88671875" style="1" bestFit="1" customWidth="1"/>
    <col min="6931" max="6931" width="34.6640625" style="1" customWidth="1"/>
    <col min="6932" max="6932" width="22.33203125" style="1" customWidth="1"/>
    <col min="6933" max="6933" width="18.33203125" style="1" customWidth="1"/>
    <col min="6934" max="6934" width="19.88671875" style="1" customWidth="1"/>
    <col min="6935" max="7171" width="9.109375" style="1"/>
    <col min="7172" max="7172" width="40.88671875" style="1" customWidth="1"/>
    <col min="7173" max="7173" width="17.33203125" style="1" customWidth="1"/>
    <col min="7174" max="7174" width="17.109375" style="1" customWidth="1"/>
    <col min="7175" max="7175" width="15.109375" style="1" customWidth="1"/>
    <col min="7176" max="7176" width="16.88671875" style="1" customWidth="1"/>
    <col min="7177" max="7178" width="7.88671875" style="1" bestFit="1" customWidth="1"/>
    <col min="7179" max="7179" width="51" style="1" customWidth="1"/>
    <col min="7180" max="7180" width="13.44140625" style="1" customWidth="1"/>
    <col min="7181" max="7181" width="16.33203125" style="1" bestFit="1" customWidth="1"/>
    <col min="7182" max="7182" width="11.88671875" style="1" customWidth="1"/>
    <col min="7183" max="7183" width="9" style="1" customWidth="1"/>
    <col min="7184" max="7184" width="11.33203125" style="1" customWidth="1"/>
    <col min="7185" max="7185" width="17.33203125" style="1" customWidth="1"/>
    <col min="7186" max="7186" width="16.88671875" style="1" bestFit="1" customWidth="1"/>
    <col min="7187" max="7187" width="34.6640625" style="1" customWidth="1"/>
    <col min="7188" max="7188" width="22.33203125" style="1" customWidth="1"/>
    <col min="7189" max="7189" width="18.33203125" style="1" customWidth="1"/>
    <col min="7190" max="7190" width="19.88671875" style="1" customWidth="1"/>
    <col min="7191" max="7427" width="9.109375" style="1"/>
    <col min="7428" max="7428" width="40.88671875" style="1" customWidth="1"/>
    <col min="7429" max="7429" width="17.33203125" style="1" customWidth="1"/>
    <col min="7430" max="7430" width="17.109375" style="1" customWidth="1"/>
    <col min="7431" max="7431" width="15.109375" style="1" customWidth="1"/>
    <col min="7432" max="7432" width="16.88671875" style="1" customWidth="1"/>
    <col min="7433" max="7434" width="7.88671875" style="1" bestFit="1" customWidth="1"/>
    <col min="7435" max="7435" width="51" style="1" customWidth="1"/>
    <col min="7436" max="7436" width="13.44140625" style="1" customWidth="1"/>
    <col min="7437" max="7437" width="16.33203125" style="1" bestFit="1" customWidth="1"/>
    <col min="7438" max="7438" width="11.88671875" style="1" customWidth="1"/>
    <col min="7439" max="7439" width="9" style="1" customWidth="1"/>
    <col min="7440" max="7440" width="11.33203125" style="1" customWidth="1"/>
    <col min="7441" max="7441" width="17.33203125" style="1" customWidth="1"/>
    <col min="7442" max="7442" width="16.88671875" style="1" bestFit="1" customWidth="1"/>
    <col min="7443" max="7443" width="34.6640625" style="1" customWidth="1"/>
    <col min="7444" max="7444" width="22.33203125" style="1" customWidth="1"/>
    <col min="7445" max="7445" width="18.33203125" style="1" customWidth="1"/>
    <col min="7446" max="7446" width="19.88671875" style="1" customWidth="1"/>
    <col min="7447" max="7683" width="9.109375" style="1"/>
    <col min="7684" max="7684" width="40.88671875" style="1" customWidth="1"/>
    <col min="7685" max="7685" width="17.33203125" style="1" customWidth="1"/>
    <col min="7686" max="7686" width="17.109375" style="1" customWidth="1"/>
    <col min="7687" max="7687" width="15.109375" style="1" customWidth="1"/>
    <col min="7688" max="7688" width="16.88671875" style="1" customWidth="1"/>
    <col min="7689" max="7690" width="7.88671875" style="1" bestFit="1" customWidth="1"/>
    <col min="7691" max="7691" width="51" style="1" customWidth="1"/>
    <col min="7692" max="7692" width="13.44140625" style="1" customWidth="1"/>
    <col min="7693" max="7693" width="16.33203125" style="1" bestFit="1" customWidth="1"/>
    <col min="7694" max="7694" width="11.88671875" style="1" customWidth="1"/>
    <col min="7695" max="7695" width="9" style="1" customWidth="1"/>
    <col min="7696" max="7696" width="11.33203125" style="1" customWidth="1"/>
    <col min="7697" max="7697" width="17.33203125" style="1" customWidth="1"/>
    <col min="7698" max="7698" width="16.88671875" style="1" bestFit="1" customWidth="1"/>
    <col min="7699" max="7699" width="34.6640625" style="1" customWidth="1"/>
    <col min="7700" max="7700" width="22.33203125" style="1" customWidth="1"/>
    <col min="7701" max="7701" width="18.33203125" style="1" customWidth="1"/>
    <col min="7702" max="7702" width="19.88671875" style="1" customWidth="1"/>
    <col min="7703" max="7939" width="9.109375" style="1"/>
    <col min="7940" max="7940" width="40.88671875" style="1" customWidth="1"/>
    <col min="7941" max="7941" width="17.33203125" style="1" customWidth="1"/>
    <col min="7942" max="7942" width="17.109375" style="1" customWidth="1"/>
    <col min="7943" max="7943" width="15.109375" style="1" customWidth="1"/>
    <col min="7944" max="7944" width="16.88671875" style="1" customWidth="1"/>
    <col min="7945" max="7946" width="7.88671875" style="1" bestFit="1" customWidth="1"/>
    <col min="7947" max="7947" width="51" style="1" customWidth="1"/>
    <col min="7948" max="7948" width="13.44140625" style="1" customWidth="1"/>
    <col min="7949" max="7949" width="16.33203125" style="1" bestFit="1" customWidth="1"/>
    <col min="7950" max="7950" width="11.88671875" style="1" customWidth="1"/>
    <col min="7951" max="7951" width="9" style="1" customWidth="1"/>
    <col min="7952" max="7952" width="11.33203125" style="1" customWidth="1"/>
    <col min="7953" max="7953" width="17.33203125" style="1" customWidth="1"/>
    <col min="7954" max="7954" width="16.88671875" style="1" bestFit="1" customWidth="1"/>
    <col min="7955" max="7955" width="34.6640625" style="1" customWidth="1"/>
    <col min="7956" max="7956" width="22.33203125" style="1" customWidth="1"/>
    <col min="7957" max="7957" width="18.33203125" style="1" customWidth="1"/>
    <col min="7958" max="7958" width="19.88671875" style="1" customWidth="1"/>
    <col min="7959" max="8195" width="9.109375" style="1"/>
    <col min="8196" max="8196" width="40.88671875" style="1" customWidth="1"/>
    <col min="8197" max="8197" width="17.33203125" style="1" customWidth="1"/>
    <col min="8198" max="8198" width="17.109375" style="1" customWidth="1"/>
    <col min="8199" max="8199" width="15.109375" style="1" customWidth="1"/>
    <col min="8200" max="8200" width="16.88671875" style="1" customWidth="1"/>
    <col min="8201" max="8202" width="7.88671875" style="1" bestFit="1" customWidth="1"/>
    <col min="8203" max="8203" width="51" style="1" customWidth="1"/>
    <col min="8204" max="8204" width="13.44140625" style="1" customWidth="1"/>
    <col min="8205" max="8205" width="16.33203125" style="1" bestFit="1" customWidth="1"/>
    <col min="8206" max="8206" width="11.88671875" style="1" customWidth="1"/>
    <col min="8207" max="8207" width="9" style="1" customWidth="1"/>
    <col min="8208" max="8208" width="11.33203125" style="1" customWidth="1"/>
    <col min="8209" max="8209" width="17.33203125" style="1" customWidth="1"/>
    <col min="8210" max="8210" width="16.88671875" style="1" bestFit="1" customWidth="1"/>
    <col min="8211" max="8211" width="34.6640625" style="1" customWidth="1"/>
    <col min="8212" max="8212" width="22.33203125" style="1" customWidth="1"/>
    <col min="8213" max="8213" width="18.33203125" style="1" customWidth="1"/>
    <col min="8214" max="8214" width="19.88671875" style="1" customWidth="1"/>
    <col min="8215" max="8451" width="9.109375" style="1"/>
    <col min="8452" max="8452" width="40.88671875" style="1" customWidth="1"/>
    <col min="8453" max="8453" width="17.33203125" style="1" customWidth="1"/>
    <col min="8454" max="8454" width="17.109375" style="1" customWidth="1"/>
    <col min="8455" max="8455" width="15.109375" style="1" customWidth="1"/>
    <col min="8456" max="8456" width="16.88671875" style="1" customWidth="1"/>
    <col min="8457" max="8458" width="7.88671875" style="1" bestFit="1" customWidth="1"/>
    <col min="8459" max="8459" width="51" style="1" customWidth="1"/>
    <col min="8460" max="8460" width="13.44140625" style="1" customWidth="1"/>
    <col min="8461" max="8461" width="16.33203125" style="1" bestFit="1" customWidth="1"/>
    <col min="8462" max="8462" width="11.88671875" style="1" customWidth="1"/>
    <col min="8463" max="8463" width="9" style="1" customWidth="1"/>
    <col min="8464" max="8464" width="11.33203125" style="1" customWidth="1"/>
    <col min="8465" max="8465" width="17.33203125" style="1" customWidth="1"/>
    <col min="8466" max="8466" width="16.88671875" style="1" bestFit="1" customWidth="1"/>
    <col min="8467" max="8467" width="34.6640625" style="1" customWidth="1"/>
    <col min="8468" max="8468" width="22.33203125" style="1" customWidth="1"/>
    <col min="8469" max="8469" width="18.33203125" style="1" customWidth="1"/>
    <col min="8470" max="8470" width="19.88671875" style="1" customWidth="1"/>
    <col min="8471" max="8707" width="9.109375" style="1"/>
    <col min="8708" max="8708" width="40.88671875" style="1" customWidth="1"/>
    <col min="8709" max="8709" width="17.33203125" style="1" customWidth="1"/>
    <col min="8710" max="8710" width="17.109375" style="1" customWidth="1"/>
    <col min="8711" max="8711" width="15.109375" style="1" customWidth="1"/>
    <col min="8712" max="8712" width="16.88671875" style="1" customWidth="1"/>
    <col min="8713" max="8714" width="7.88671875" style="1" bestFit="1" customWidth="1"/>
    <col min="8715" max="8715" width="51" style="1" customWidth="1"/>
    <col min="8716" max="8716" width="13.44140625" style="1" customWidth="1"/>
    <col min="8717" max="8717" width="16.33203125" style="1" bestFit="1" customWidth="1"/>
    <col min="8718" max="8718" width="11.88671875" style="1" customWidth="1"/>
    <col min="8719" max="8719" width="9" style="1" customWidth="1"/>
    <col min="8720" max="8720" width="11.33203125" style="1" customWidth="1"/>
    <col min="8721" max="8721" width="17.33203125" style="1" customWidth="1"/>
    <col min="8722" max="8722" width="16.88671875" style="1" bestFit="1" customWidth="1"/>
    <col min="8723" max="8723" width="34.6640625" style="1" customWidth="1"/>
    <col min="8724" max="8724" width="22.33203125" style="1" customWidth="1"/>
    <col min="8725" max="8725" width="18.33203125" style="1" customWidth="1"/>
    <col min="8726" max="8726" width="19.88671875" style="1" customWidth="1"/>
    <col min="8727" max="8963" width="9.109375" style="1"/>
    <col min="8964" max="8964" width="40.88671875" style="1" customWidth="1"/>
    <col min="8965" max="8965" width="17.33203125" style="1" customWidth="1"/>
    <col min="8966" max="8966" width="17.109375" style="1" customWidth="1"/>
    <col min="8967" max="8967" width="15.109375" style="1" customWidth="1"/>
    <col min="8968" max="8968" width="16.88671875" style="1" customWidth="1"/>
    <col min="8969" max="8970" width="7.88671875" style="1" bestFit="1" customWidth="1"/>
    <col min="8971" max="8971" width="51" style="1" customWidth="1"/>
    <col min="8972" max="8972" width="13.44140625" style="1" customWidth="1"/>
    <col min="8973" max="8973" width="16.33203125" style="1" bestFit="1" customWidth="1"/>
    <col min="8974" max="8974" width="11.88671875" style="1" customWidth="1"/>
    <col min="8975" max="8975" width="9" style="1" customWidth="1"/>
    <col min="8976" max="8976" width="11.33203125" style="1" customWidth="1"/>
    <col min="8977" max="8977" width="17.33203125" style="1" customWidth="1"/>
    <col min="8978" max="8978" width="16.88671875" style="1" bestFit="1" customWidth="1"/>
    <col min="8979" max="8979" width="34.6640625" style="1" customWidth="1"/>
    <col min="8980" max="8980" width="22.33203125" style="1" customWidth="1"/>
    <col min="8981" max="8981" width="18.33203125" style="1" customWidth="1"/>
    <col min="8982" max="8982" width="19.88671875" style="1" customWidth="1"/>
    <col min="8983" max="9219" width="9.109375" style="1"/>
    <col min="9220" max="9220" width="40.88671875" style="1" customWidth="1"/>
    <col min="9221" max="9221" width="17.33203125" style="1" customWidth="1"/>
    <col min="9222" max="9222" width="17.109375" style="1" customWidth="1"/>
    <col min="9223" max="9223" width="15.109375" style="1" customWidth="1"/>
    <col min="9224" max="9224" width="16.88671875" style="1" customWidth="1"/>
    <col min="9225" max="9226" width="7.88671875" style="1" bestFit="1" customWidth="1"/>
    <col min="9227" max="9227" width="51" style="1" customWidth="1"/>
    <col min="9228" max="9228" width="13.44140625" style="1" customWidth="1"/>
    <col min="9229" max="9229" width="16.33203125" style="1" bestFit="1" customWidth="1"/>
    <col min="9230" max="9230" width="11.88671875" style="1" customWidth="1"/>
    <col min="9231" max="9231" width="9" style="1" customWidth="1"/>
    <col min="9232" max="9232" width="11.33203125" style="1" customWidth="1"/>
    <col min="9233" max="9233" width="17.33203125" style="1" customWidth="1"/>
    <col min="9234" max="9234" width="16.88671875" style="1" bestFit="1" customWidth="1"/>
    <col min="9235" max="9235" width="34.6640625" style="1" customWidth="1"/>
    <col min="9236" max="9236" width="22.33203125" style="1" customWidth="1"/>
    <col min="9237" max="9237" width="18.33203125" style="1" customWidth="1"/>
    <col min="9238" max="9238" width="19.88671875" style="1" customWidth="1"/>
    <col min="9239" max="9475" width="9.109375" style="1"/>
    <col min="9476" max="9476" width="40.88671875" style="1" customWidth="1"/>
    <col min="9477" max="9477" width="17.33203125" style="1" customWidth="1"/>
    <col min="9478" max="9478" width="17.109375" style="1" customWidth="1"/>
    <col min="9479" max="9479" width="15.109375" style="1" customWidth="1"/>
    <col min="9480" max="9480" width="16.88671875" style="1" customWidth="1"/>
    <col min="9481" max="9482" width="7.88671875" style="1" bestFit="1" customWidth="1"/>
    <col min="9483" max="9483" width="51" style="1" customWidth="1"/>
    <col min="9484" max="9484" width="13.44140625" style="1" customWidth="1"/>
    <col min="9485" max="9485" width="16.33203125" style="1" bestFit="1" customWidth="1"/>
    <col min="9486" max="9486" width="11.88671875" style="1" customWidth="1"/>
    <col min="9487" max="9487" width="9" style="1" customWidth="1"/>
    <col min="9488" max="9488" width="11.33203125" style="1" customWidth="1"/>
    <col min="9489" max="9489" width="17.33203125" style="1" customWidth="1"/>
    <col min="9490" max="9490" width="16.88671875" style="1" bestFit="1" customWidth="1"/>
    <col min="9491" max="9491" width="34.6640625" style="1" customWidth="1"/>
    <col min="9492" max="9492" width="22.33203125" style="1" customWidth="1"/>
    <col min="9493" max="9493" width="18.33203125" style="1" customWidth="1"/>
    <col min="9494" max="9494" width="19.88671875" style="1" customWidth="1"/>
    <col min="9495" max="9731" width="9.109375" style="1"/>
    <col min="9732" max="9732" width="40.88671875" style="1" customWidth="1"/>
    <col min="9733" max="9733" width="17.33203125" style="1" customWidth="1"/>
    <col min="9734" max="9734" width="17.109375" style="1" customWidth="1"/>
    <col min="9735" max="9735" width="15.109375" style="1" customWidth="1"/>
    <col min="9736" max="9736" width="16.88671875" style="1" customWidth="1"/>
    <col min="9737" max="9738" width="7.88671875" style="1" bestFit="1" customWidth="1"/>
    <col min="9739" max="9739" width="51" style="1" customWidth="1"/>
    <col min="9740" max="9740" width="13.44140625" style="1" customWidth="1"/>
    <col min="9741" max="9741" width="16.33203125" style="1" bestFit="1" customWidth="1"/>
    <col min="9742" max="9742" width="11.88671875" style="1" customWidth="1"/>
    <col min="9743" max="9743" width="9" style="1" customWidth="1"/>
    <col min="9744" max="9744" width="11.33203125" style="1" customWidth="1"/>
    <col min="9745" max="9745" width="17.33203125" style="1" customWidth="1"/>
    <col min="9746" max="9746" width="16.88671875" style="1" bestFit="1" customWidth="1"/>
    <col min="9747" max="9747" width="34.6640625" style="1" customWidth="1"/>
    <col min="9748" max="9748" width="22.33203125" style="1" customWidth="1"/>
    <col min="9749" max="9749" width="18.33203125" style="1" customWidth="1"/>
    <col min="9750" max="9750" width="19.88671875" style="1" customWidth="1"/>
    <col min="9751" max="9987" width="9.109375" style="1"/>
    <col min="9988" max="9988" width="40.88671875" style="1" customWidth="1"/>
    <col min="9989" max="9989" width="17.33203125" style="1" customWidth="1"/>
    <col min="9990" max="9990" width="17.109375" style="1" customWidth="1"/>
    <col min="9991" max="9991" width="15.109375" style="1" customWidth="1"/>
    <col min="9992" max="9992" width="16.88671875" style="1" customWidth="1"/>
    <col min="9993" max="9994" width="7.88671875" style="1" bestFit="1" customWidth="1"/>
    <col min="9995" max="9995" width="51" style="1" customWidth="1"/>
    <col min="9996" max="9996" width="13.44140625" style="1" customWidth="1"/>
    <col min="9997" max="9997" width="16.33203125" style="1" bestFit="1" customWidth="1"/>
    <col min="9998" max="9998" width="11.88671875" style="1" customWidth="1"/>
    <col min="9999" max="9999" width="9" style="1" customWidth="1"/>
    <col min="10000" max="10000" width="11.33203125" style="1" customWidth="1"/>
    <col min="10001" max="10001" width="17.33203125" style="1" customWidth="1"/>
    <col min="10002" max="10002" width="16.88671875" style="1" bestFit="1" customWidth="1"/>
    <col min="10003" max="10003" width="34.6640625" style="1" customWidth="1"/>
    <col min="10004" max="10004" width="22.33203125" style="1" customWidth="1"/>
    <col min="10005" max="10005" width="18.33203125" style="1" customWidth="1"/>
    <col min="10006" max="10006" width="19.88671875" style="1" customWidth="1"/>
    <col min="10007" max="10243" width="9.109375" style="1"/>
    <col min="10244" max="10244" width="40.88671875" style="1" customWidth="1"/>
    <col min="10245" max="10245" width="17.33203125" style="1" customWidth="1"/>
    <col min="10246" max="10246" width="17.109375" style="1" customWidth="1"/>
    <col min="10247" max="10247" width="15.109375" style="1" customWidth="1"/>
    <col min="10248" max="10248" width="16.88671875" style="1" customWidth="1"/>
    <col min="10249" max="10250" width="7.88671875" style="1" bestFit="1" customWidth="1"/>
    <col min="10251" max="10251" width="51" style="1" customWidth="1"/>
    <col min="10252" max="10252" width="13.44140625" style="1" customWidth="1"/>
    <col min="10253" max="10253" width="16.33203125" style="1" bestFit="1" customWidth="1"/>
    <col min="10254" max="10254" width="11.88671875" style="1" customWidth="1"/>
    <col min="10255" max="10255" width="9" style="1" customWidth="1"/>
    <col min="10256" max="10256" width="11.33203125" style="1" customWidth="1"/>
    <col min="10257" max="10257" width="17.33203125" style="1" customWidth="1"/>
    <col min="10258" max="10258" width="16.88671875" style="1" bestFit="1" customWidth="1"/>
    <col min="10259" max="10259" width="34.6640625" style="1" customWidth="1"/>
    <col min="10260" max="10260" width="22.33203125" style="1" customWidth="1"/>
    <col min="10261" max="10261" width="18.33203125" style="1" customWidth="1"/>
    <col min="10262" max="10262" width="19.88671875" style="1" customWidth="1"/>
    <col min="10263" max="10499" width="9.109375" style="1"/>
    <col min="10500" max="10500" width="40.88671875" style="1" customWidth="1"/>
    <col min="10501" max="10501" width="17.33203125" style="1" customWidth="1"/>
    <col min="10502" max="10502" width="17.109375" style="1" customWidth="1"/>
    <col min="10503" max="10503" width="15.109375" style="1" customWidth="1"/>
    <col min="10504" max="10504" width="16.88671875" style="1" customWidth="1"/>
    <col min="10505" max="10506" width="7.88671875" style="1" bestFit="1" customWidth="1"/>
    <col min="10507" max="10507" width="51" style="1" customWidth="1"/>
    <col min="10508" max="10508" width="13.44140625" style="1" customWidth="1"/>
    <col min="10509" max="10509" width="16.33203125" style="1" bestFit="1" customWidth="1"/>
    <col min="10510" max="10510" width="11.88671875" style="1" customWidth="1"/>
    <col min="10511" max="10511" width="9" style="1" customWidth="1"/>
    <col min="10512" max="10512" width="11.33203125" style="1" customWidth="1"/>
    <col min="10513" max="10513" width="17.33203125" style="1" customWidth="1"/>
    <col min="10514" max="10514" width="16.88671875" style="1" bestFit="1" customWidth="1"/>
    <col min="10515" max="10515" width="34.6640625" style="1" customWidth="1"/>
    <col min="10516" max="10516" width="22.33203125" style="1" customWidth="1"/>
    <col min="10517" max="10517" width="18.33203125" style="1" customWidth="1"/>
    <col min="10518" max="10518" width="19.88671875" style="1" customWidth="1"/>
    <col min="10519" max="10755" width="9.109375" style="1"/>
    <col min="10756" max="10756" width="40.88671875" style="1" customWidth="1"/>
    <col min="10757" max="10757" width="17.33203125" style="1" customWidth="1"/>
    <col min="10758" max="10758" width="17.109375" style="1" customWidth="1"/>
    <col min="10759" max="10759" width="15.109375" style="1" customWidth="1"/>
    <col min="10760" max="10760" width="16.88671875" style="1" customWidth="1"/>
    <col min="10761" max="10762" width="7.88671875" style="1" bestFit="1" customWidth="1"/>
    <col min="10763" max="10763" width="51" style="1" customWidth="1"/>
    <col min="10764" max="10764" width="13.44140625" style="1" customWidth="1"/>
    <col min="10765" max="10765" width="16.33203125" style="1" bestFit="1" customWidth="1"/>
    <col min="10766" max="10766" width="11.88671875" style="1" customWidth="1"/>
    <col min="10767" max="10767" width="9" style="1" customWidth="1"/>
    <col min="10768" max="10768" width="11.33203125" style="1" customWidth="1"/>
    <col min="10769" max="10769" width="17.33203125" style="1" customWidth="1"/>
    <col min="10770" max="10770" width="16.88671875" style="1" bestFit="1" customWidth="1"/>
    <col min="10771" max="10771" width="34.6640625" style="1" customWidth="1"/>
    <col min="10772" max="10772" width="22.33203125" style="1" customWidth="1"/>
    <col min="10773" max="10773" width="18.33203125" style="1" customWidth="1"/>
    <col min="10774" max="10774" width="19.88671875" style="1" customWidth="1"/>
    <col min="10775" max="11011" width="9.109375" style="1"/>
    <col min="11012" max="11012" width="40.88671875" style="1" customWidth="1"/>
    <col min="11013" max="11013" width="17.33203125" style="1" customWidth="1"/>
    <col min="11014" max="11014" width="17.109375" style="1" customWidth="1"/>
    <col min="11015" max="11015" width="15.109375" style="1" customWidth="1"/>
    <col min="11016" max="11016" width="16.88671875" style="1" customWidth="1"/>
    <col min="11017" max="11018" width="7.88671875" style="1" bestFit="1" customWidth="1"/>
    <col min="11019" max="11019" width="51" style="1" customWidth="1"/>
    <col min="11020" max="11020" width="13.44140625" style="1" customWidth="1"/>
    <col min="11021" max="11021" width="16.33203125" style="1" bestFit="1" customWidth="1"/>
    <col min="11022" max="11022" width="11.88671875" style="1" customWidth="1"/>
    <col min="11023" max="11023" width="9" style="1" customWidth="1"/>
    <col min="11024" max="11024" width="11.33203125" style="1" customWidth="1"/>
    <col min="11025" max="11025" width="17.33203125" style="1" customWidth="1"/>
    <col min="11026" max="11026" width="16.88671875" style="1" bestFit="1" customWidth="1"/>
    <col min="11027" max="11027" width="34.6640625" style="1" customWidth="1"/>
    <col min="11028" max="11028" width="22.33203125" style="1" customWidth="1"/>
    <col min="11029" max="11029" width="18.33203125" style="1" customWidth="1"/>
    <col min="11030" max="11030" width="19.88671875" style="1" customWidth="1"/>
    <col min="11031" max="11267" width="9.109375" style="1"/>
    <col min="11268" max="11268" width="40.88671875" style="1" customWidth="1"/>
    <col min="11269" max="11269" width="17.33203125" style="1" customWidth="1"/>
    <col min="11270" max="11270" width="17.109375" style="1" customWidth="1"/>
    <col min="11271" max="11271" width="15.109375" style="1" customWidth="1"/>
    <col min="11272" max="11272" width="16.88671875" style="1" customWidth="1"/>
    <col min="11273" max="11274" width="7.88671875" style="1" bestFit="1" customWidth="1"/>
    <col min="11275" max="11275" width="51" style="1" customWidth="1"/>
    <col min="11276" max="11276" width="13.44140625" style="1" customWidth="1"/>
    <col min="11277" max="11277" width="16.33203125" style="1" bestFit="1" customWidth="1"/>
    <col min="11278" max="11278" width="11.88671875" style="1" customWidth="1"/>
    <col min="11279" max="11279" width="9" style="1" customWidth="1"/>
    <col min="11280" max="11280" width="11.33203125" style="1" customWidth="1"/>
    <col min="11281" max="11281" width="17.33203125" style="1" customWidth="1"/>
    <col min="11282" max="11282" width="16.88671875" style="1" bestFit="1" customWidth="1"/>
    <col min="11283" max="11283" width="34.6640625" style="1" customWidth="1"/>
    <col min="11284" max="11284" width="22.33203125" style="1" customWidth="1"/>
    <col min="11285" max="11285" width="18.33203125" style="1" customWidth="1"/>
    <col min="11286" max="11286" width="19.88671875" style="1" customWidth="1"/>
    <col min="11287" max="11523" width="9.109375" style="1"/>
    <col min="11524" max="11524" width="40.88671875" style="1" customWidth="1"/>
    <col min="11525" max="11525" width="17.33203125" style="1" customWidth="1"/>
    <col min="11526" max="11526" width="17.109375" style="1" customWidth="1"/>
    <col min="11527" max="11527" width="15.109375" style="1" customWidth="1"/>
    <col min="11528" max="11528" width="16.88671875" style="1" customWidth="1"/>
    <col min="11529" max="11530" width="7.88671875" style="1" bestFit="1" customWidth="1"/>
    <col min="11531" max="11531" width="51" style="1" customWidth="1"/>
    <col min="11532" max="11532" width="13.44140625" style="1" customWidth="1"/>
    <col min="11533" max="11533" width="16.33203125" style="1" bestFit="1" customWidth="1"/>
    <col min="11534" max="11534" width="11.88671875" style="1" customWidth="1"/>
    <col min="11535" max="11535" width="9" style="1" customWidth="1"/>
    <col min="11536" max="11536" width="11.33203125" style="1" customWidth="1"/>
    <col min="11537" max="11537" width="17.33203125" style="1" customWidth="1"/>
    <col min="11538" max="11538" width="16.88671875" style="1" bestFit="1" customWidth="1"/>
    <col min="11539" max="11539" width="34.6640625" style="1" customWidth="1"/>
    <col min="11540" max="11540" width="22.33203125" style="1" customWidth="1"/>
    <col min="11541" max="11541" width="18.33203125" style="1" customWidth="1"/>
    <col min="11542" max="11542" width="19.88671875" style="1" customWidth="1"/>
    <col min="11543" max="11779" width="9.109375" style="1"/>
    <col min="11780" max="11780" width="40.88671875" style="1" customWidth="1"/>
    <col min="11781" max="11781" width="17.33203125" style="1" customWidth="1"/>
    <col min="11782" max="11782" width="17.109375" style="1" customWidth="1"/>
    <col min="11783" max="11783" width="15.109375" style="1" customWidth="1"/>
    <col min="11784" max="11784" width="16.88671875" style="1" customWidth="1"/>
    <col min="11785" max="11786" width="7.88671875" style="1" bestFit="1" customWidth="1"/>
    <col min="11787" max="11787" width="51" style="1" customWidth="1"/>
    <col min="11788" max="11788" width="13.44140625" style="1" customWidth="1"/>
    <col min="11789" max="11789" width="16.33203125" style="1" bestFit="1" customWidth="1"/>
    <col min="11790" max="11790" width="11.88671875" style="1" customWidth="1"/>
    <col min="11791" max="11791" width="9" style="1" customWidth="1"/>
    <col min="11792" max="11792" width="11.33203125" style="1" customWidth="1"/>
    <col min="11793" max="11793" width="17.33203125" style="1" customWidth="1"/>
    <col min="11794" max="11794" width="16.88671875" style="1" bestFit="1" customWidth="1"/>
    <col min="11795" max="11795" width="34.6640625" style="1" customWidth="1"/>
    <col min="11796" max="11796" width="22.33203125" style="1" customWidth="1"/>
    <col min="11797" max="11797" width="18.33203125" style="1" customWidth="1"/>
    <col min="11798" max="11798" width="19.88671875" style="1" customWidth="1"/>
    <col min="11799" max="12035" width="9.109375" style="1"/>
    <col min="12036" max="12036" width="40.88671875" style="1" customWidth="1"/>
    <col min="12037" max="12037" width="17.33203125" style="1" customWidth="1"/>
    <col min="12038" max="12038" width="17.109375" style="1" customWidth="1"/>
    <col min="12039" max="12039" width="15.109375" style="1" customWidth="1"/>
    <col min="12040" max="12040" width="16.88671875" style="1" customWidth="1"/>
    <col min="12041" max="12042" width="7.88671875" style="1" bestFit="1" customWidth="1"/>
    <col min="12043" max="12043" width="51" style="1" customWidth="1"/>
    <col min="12044" max="12044" width="13.44140625" style="1" customWidth="1"/>
    <col min="12045" max="12045" width="16.33203125" style="1" bestFit="1" customWidth="1"/>
    <col min="12046" max="12046" width="11.88671875" style="1" customWidth="1"/>
    <col min="12047" max="12047" width="9" style="1" customWidth="1"/>
    <col min="12048" max="12048" width="11.33203125" style="1" customWidth="1"/>
    <col min="12049" max="12049" width="17.33203125" style="1" customWidth="1"/>
    <col min="12050" max="12050" width="16.88671875" style="1" bestFit="1" customWidth="1"/>
    <col min="12051" max="12051" width="34.6640625" style="1" customWidth="1"/>
    <col min="12052" max="12052" width="22.33203125" style="1" customWidth="1"/>
    <col min="12053" max="12053" width="18.33203125" style="1" customWidth="1"/>
    <col min="12054" max="12054" width="19.88671875" style="1" customWidth="1"/>
    <col min="12055" max="12291" width="9.109375" style="1"/>
    <col min="12292" max="12292" width="40.88671875" style="1" customWidth="1"/>
    <col min="12293" max="12293" width="17.33203125" style="1" customWidth="1"/>
    <col min="12294" max="12294" width="17.109375" style="1" customWidth="1"/>
    <col min="12295" max="12295" width="15.109375" style="1" customWidth="1"/>
    <col min="12296" max="12296" width="16.88671875" style="1" customWidth="1"/>
    <col min="12297" max="12298" width="7.88671875" style="1" bestFit="1" customWidth="1"/>
    <col min="12299" max="12299" width="51" style="1" customWidth="1"/>
    <col min="12300" max="12300" width="13.44140625" style="1" customWidth="1"/>
    <col min="12301" max="12301" width="16.33203125" style="1" bestFit="1" customWidth="1"/>
    <col min="12302" max="12302" width="11.88671875" style="1" customWidth="1"/>
    <col min="12303" max="12303" width="9" style="1" customWidth="1"/>
    <col min="12304" max="12304" width="11.33203125" style="1" customWidth="1"/>
    <col min="12305" max="12305" width="17.33203125" style="1" customWidth="1"/>
    <col min="12306" max="12306" width="16.88671875" style="1" bestFit="1" customWidth="1"/>
    <col min="12307" max="12307" width="34.6640625" style="1" customWidth="1"/>
    <col min="12308" max="12308" width="22.33203125" style="1" customWidth="1"/>
    <col min="12309" max="12309" width="18.33203125" style="1" customWidth="1"/>
    <col min="12310" max="12310" width="19.88671875" style="1" customWidth="1"/>
    <col min="12311" max="12547" width="9.109375" style="1"/>
    <col min="12548" max="12548" width="40.88671875" style="1" customWidth="1"/>
    <col min="12549" max="12549" width="17.33203125" style="1" customWidth="1"/>
    <col min="12550" max="12550" width="17.109375" style="1" customWidth="1"/>
    <col min="12551" max="12551" width="15.109375" style="1" customWidth="1"/>
    <col min="12552" max="12552" width="16.88671875" style="1" customWidth="1"/>
    <col min="12553" max="12554" width="7.88671875" style="1" bestFit="1" customWidth="1"/>
    <col min="12555" max="12555" width="51" style="1" customWidth="1"/>
    <col min="12556" max="12556" width="13.44140625" style="1" customWidth="1"/>
    <col min="12557" max="12557" width="16.33203125" style="1" bestFit="1" customWidth="1"/>
    <col min="12558" max="12558" width="11.88671875" style="1" customWidth="1"/>
    <col min="12559" max="12559" width="9" style="1" customWidth="1"/>
    <col min="12560" max="12560" width="11.33203125" style="1" customWidth="1"/>
    <col min="12561" max="12561" width="17.33203125" style="1" customWidth="1"/>
    <col min="12562" max="12562" width="16.88671875" style="1" bestFit="1" customWidth="1"/>
    <col min="12563" max="12563" width="34.6640625" style="1" customWidth="1"/>
    <col min="12564" max="12564" width="22.33203125" style="1" customWidth="1"/>
    <col min="12565" max="12565" width="18.33203125" style="1" customWidth="1"/>
    <col min="12566" max="12566" width="19.88671875" style="1" customWidth="1"/>
    <col min="12567" max="12803" width="9.109375" style="1"/>
    <col min="12804" max="12804" width="40.88671875" style="1" customWidth="1"/>
    <col min="12805" max="12805" width="17.33203125" style="1" customWidth="1"/>
    <col min="12806" max="12806" width="17.109375" style="1" customWidth="1"/>
    <col min="12807" max="12807" width="15.109375" style="1" customWidth="1"/>
    <col min="12808" max="12808" width="16.88671875" style="1" customWidth="1"/>
    <col min="12809" max="12810" width="7.88671875" style="1" bestFit="1" customWidth="1"/>
    <col min="12811" max="12811" width="51" style="1" customWidth="1"/>
    <col min="12812" max="12812" width="13.44140625" style="1" customWidth="1"/>
    <col min="12813" max="12813" width="16.33203125" style="1" bestFit="1" customWidth="1"/>
    <col min="12814" max="12814" width="11.88671875" style="1" customWidth="1"/>
    <col min="12815" max="12815" width="9" style="1" customWidth="1"/>
    <col min="12816" max="12816" width="11.33203125" style="1" customWidth="1"/>
    <col min="12817" max="12817" width="17.33203125" style="1" customWidth="1"/>
    <col min="12818" max="12818" width="16.88671875" style="1" bestFit="1" customWidth="1"/>
    <col min="12819" max="12819" width="34.6640625" style="1" customWidth="1"/>
    <col min="12820" max="12820" width="22.33203125" style="1" customWidth="1"/>
    <col min="12821" max="12821" width="18.33203125" style="1" customWidth="1"/>
    <col min="12822" max="12822" width="19.88671875" style="1" customWidth="1"/>
    <col min="12823" max="13059" width="9.109375" style="1"/>
    <col min="13060" max="13060" width="40.88671875" style="1" customWidth="1"/>
    <col min="13061" max="13061" width="17.33203125" style="1" customWidth="1"/>
    <col min="13062" max="13062" width="17.109375" style="1" customWidth="1"/>
    <col min="13063" max="13063" width="15.109375" style="1" customWidth="1"/>
    <col min="13064" max="13064" width="16.88671875" style="1" customWidth="1"/>
    <col min="13065" max="13066" width="7.88671875" style="1" bestFit="1" customWidth="1"/>
    <col min="13067" max="13067" width="51" style="1" customWidth="1"/>
    <col min="13068" max="13068" width="13.44140625" style="1" customWidth="1"/>
    <col min="13069" max="13069" width="16.33203125" style="1" bestFit="1" customWidth="1"/>
    <col min="13070" max="13070" width="11.88671875" style="1" customWidth="1"/>
    <col min="13071" max="13071" width="9" style="1" customWidth="1"/>
    <col min="13072" max="13072" width="11.33203125" style="1" customWidth="1"/>
    <col min="13073" max="13073" width="17.33203125" style="1" customWidth="1"/>
    <col min="13074" max="13074" width="16.88671875" style="1" bestFit="1" customWidth="1"/>
    <col min="13075" max="13075" width="34.6640625" style="1" customWidth="1"/>
    <col min="13076" max="13076" width="22.33203125" style="1" customWidth="1"/>
    <col min="13077" max="13077" width="18.33203125" style="1" customWidth="1"/>
    <col min="13078" max="13078" width="19.88671875" style="1" customWidth="1"/>
    <col min="13079" max="13315" width="9.109375" style="1"/>
    <col min="13316" max="13316" width="40.88671875" style="1" customWidth="1"/>
    <col min="13317" max="13317" width="17.33203125" style="1" customWidth="1"/>
    <col min="13318" max="13318" width="17.109375" style="1" customWidth="1"/>
    <col min="13319" max="13319" width="15.109375" style="1" customWidth="1"/>
    <col min="13320" max="13320" width="16.88671875" style="1" customWidth="1"/>
    <col min="13321" max="13322" width="7.88671875" style="1" bestFit="1" customWidth="1"/>
    <col min="13323" max="13323" width="51" style="1" customWidth="1"/>
    <col min="13324" max="13324" width="13.44140625" style="1" customWidth="1"/>
    <col min="13325" max="13325" width="16.33203125" style="1" bestFit="1" customWidth="1"/>
    <col min="13326" max="13326" width="11.88671875" style="1" customWidth="1"/>
    <col min="13327" max="13327" width="9" style="1" customWidth="1"/>
    <col min="13328" max="13328" width="11.33203125" style="1" customWidth="1"/>
    <col min="13329" max="13329" width="17.33203125" style="1" customWidth="1"/>
    <col min="13330" max="13330" width="16.88671875" style="1" bestFit="1" customWidth="1"/>
    <col min="13331" max="13331" width="34.6640625" style="1" customWidth="1"/>
    <col min="13332" max="13332" width="22.33203125" style="1" customWidth="1"/>
    <col min="13333" max="13333" width="18.33203125" style="1" customWidth="1"/>
    <col min="13334" max="13334" width="19.88671875" style="1" customWidth="1"/>
    <col min="13335" max="13571" width="9.109375" style="1"/>
    <col min="13572" max="13572" width="40.88671875" style="1" customWidth="1"/>
    <col min="13573" max="13573" width="17.33203125" style="1" customWidth="1"/>
    <col min="13574" max="13574" width="17.109375" style="1" customWidth="1"/>
    <col min="13575" max="13575" width="15.109375" style="1" customWidth="1"/>
    <col min="13576" max="13576" width="16.88671875" style="1" customWidth="1"/>
    <col min="13577" max="13578" width="7.88671875" style="1" bestFit="1" customWidth="1"/>
    <col min="13579" max="13579" width="51" style="1" customWidth="1"/>
    <col min="13580" max="13580" width="13.44140625" style="1" customWidth="1"/>
    <col min="13581" max="13581" width="16.33203125" style="1" bestFit="1" customWidth="1"/>
    <col min="13582" max="13582" width="11.88671875" style="1" customWidth="1"/>
    <col min="13583" max="13583" width="9" style="1" customWidth="1"/>
    <col min="13584" max="13584" width="11.33203125" style="1" customWidth="1"/>
    <col min="13585" max="13585" width="17.33203125" style="1" customWidth="1"/>
    <col min="13586" max="13586" width="16.88671875" style="1" bestFit="1" customWidth="1"/>
    <col min="13587" max="13587" width="34.6640625" style="1" customWidth="1"/>
    <col min="13588" max="13588" width="22.33203125" style="1" customWidth="1"/>
    <col min="13589" max="13589" width="18.33203125" style="1" customWidth="1"/>
    <col min="13590" max="13590" width="19.88671875" style="1" customWidth="1"/>
    <col min="13591" max="13827" width="9.109375" style="1"/>
    <col min="13828" max="13828" width="40.88671875" style="1" customWidth="1"/>
    <col min="13829" max="13829" width="17.33203125" style="1" customWidth="1"/>
    <col min="13830" max="13830" width="17.109375" style="1" customWidth="1"/>
    <col min="13831" max="13831" width="15.109375" style="1" customWidth="1"/>
    <col min="13832" max="13832" width="16.88671875" style="1" customWidth="1"/>
    <col min="13833" max="13834" width="7.88671875" style="1" bestFit="1" customWidth="1"/>
    <col min="13835" max="13835" width="51" style="1" customWidth="1"/>
    <col min="13836" max="13836" width="13.44140625" style="1" customWidth="1"/>
    <col min="13837" max="13837" width="16.33203125" style="1" bestFit="1" customWidth="1"/>
    <col min="13838" max="13838" width="11.88671875" style="1" customWidth="1"/>
    <col min="13839" max="13839" width="9" style="1" customWidth="1"/>
    <col min="13840" max="13840" width="11.33203125" style="1" customWidth="1"/>
    <col min="13841" max="13841" width="17.33203125" style="1" customWidth="1"/>
    <col min="13842" max="13842" width="16.88671875" style="1" bestFit="1" customWidth="1"/>
    <col min="13843" max="13843" width="34.6640625" style="1" customWidth="1"/>
    <col min="13844" max="13844" width="22.33203125" style="1" customWidth="1"/>
    <col min="13845" max="13845" width="18.33203125" style="1" customWidth="1"/>
    <col min="13846" max="13846" width="19.88671875" style="1" customWidth="1"/>
    <col min="13847" max="14083" width="9.109375" style="1"/>
    <col min="14084" max="14084" width="40.88671875" style="1" customWidth="1"/>
    <col min="14085" max="14085" width="17.33203125" style="1" customWidth="1"/>
    <col min="14086" max="14086" width="17.109375" style="1" customWidth="1"/>
    <col min="14087" max="14087" width="15.109375" style="1" customWidth="1"/>
    <col min="14088" max="14088" width="16.88671875" style="1" customWidth="1"/>
    <col min="14089" max="14090" width="7.88671875" style="1" bestFit="1" customWidth="1"/>
    <col min="14091" max="14091" width="51" style="1" customWidth="1"/>
    <col min="14092" max="14092" width="13.44140625" style="1" customWidth="1"/>
    <col min="14093" max="14093" width="16.33203125" style="1" bestFit="1" customWidth="1"/>
    <col min="14094" max="14094" width="11.88671875" style="1" customWidth="1"/>
    <col min="14095" max="14095" width="9" style="1" customWidth="1"/>
    <col min="14096" max="14096" width="11.33203125" style="1" customWidth="1"/>
    <col min="14097" max="14097" width="17.33203125" style="1" customWidth="1"/>
    <col min="14098" max="14098" width="16.88671875" style="1" bestFit="1" customWidth="1"/>
    <col min="14099" max="14099" width="34.6640625" style="1" customWidth="1"/>
    <col min="14100" max="14100" width="22.33203125" style="1" customWidth="1"/>
    <col min="14101" max="14101" width="18.33203125" style="1" customWidth="1"/>
    <col min="14102" max="14102" width="19.88671875" style="1" customWidth="1"/>
    <col min="14103" max="14339" width="9.109375" style="1"/>
    <col min="14340" max="14340" width="40.88671875" style="1" customWidth="1"/>
    <col min="14341" max="14341" width="17.33203125" style="1" customWidth="1"/>
    <col min="14342" max="14342" width="17.109375" style="1" customWidth="1"/>
    <col min="14343" max="14343" width="15.109375" style="1" customWidth="1"/>
    <col min="14344" max="14344" width="16.88671875" style="1" customWidth="1"/>
    <col min="14345" max="14346" width="7.88671875" style="1" bestFit="1" customWidth="1"/>
    <col min="14347" max="14347" width="51" style="1" customWidth="1"/>
    <col min="14348" max="14348" width="13.44140625" style="1" customWidth="1"/>
    <col min="14349" max="14349" width="16.33203125" style="1" bestFit="1" customWidth="1"/>
    <col min="14350" max="14350" width="11.88671875" style="1" customWidth="1"/>
    <col min="14351" max="14351" width="9" style="1" customWidth="1"/>
    <col min="14352" max="14352" width="11.33203125" style="1" customWidth="1"/>
    <col min="14353" max="14353" width="17.33203125" style="1" customWidth="1"/>
    <col min="14354" max="14354" width="16.88671875" style="1" bestFit="1" customWidth="1"/>
    <col min="14355" max="14355" width="34.6640625" style="1" customWidth="1"/>
    <col min="14356" max="14356" width="22.33203125" style="1" customWidth="1"/>
    <col min="14357" max="14357" width="18.33203125" style="1" customWidth="1"/>
    <col min="14358" max="14358" width="19.88671875" style="1" customWidth="1"/>
    <col min="14359" max="14595" width="9.109375" style="1"/>
    <col min="14596" max="14596" width="40.88671875" style="1" customWidth="1"/>
    <col min="14597" max="14597" width="17.33203125" style="1" customWidth="1"/>
    <col min="14598" max="14598" width="17.109375" style="1" customWidth="1"/>
    <col min="14599" max="14599" width="15.109375" style="1" customWidth="1"/>
    <col min="14600" max="14600" width="16.88671875" style="1" customWidth="1"/>
    <col min="14601" max="14602" width="7.88671875" style="1" bestFit="1" customWidth="1"/>
    <col min="14603" max="14603" width="51" style="1" customWidth="1"/>
    <col min="14604" max="14604" width="13.44140625" style="1" customWidth="1"/>
    <col min="14605" max="14605" width="16.33203125" style="1" bestFit="1" customWidth="1"/>
    <col min="14606" max="14606" width="11.88671875" style="1" customWidth="1"/>
    <col min="14607" max="14607" width="9" style="1" customWidth="1"/>
    <col min="14608" max="14608" width="11.33203125" style="1" customWidth="1"/>
    <col min="14609" max="14609" width="17.33203125" style="1" customWidth="1"/>
    <col min="14610" max="14610" width="16.88671875" style="1" bestFit="1" customWidth="1"/>
    <col min="14611" max="14611" width="34.6640625" style="1" customWidth="1"/>
    <col min="14612" max="14612" width="22.33203125" style="1" customWidth="1"/>
    <col min="14613" max="14613" width="18.33203125" style="1" customWidth="1"/>
    <col min="14614" max="14614" width="19.88671875" style="1" customWidth="1"/>
    <col min="14615" max="14851" width="9.109375" style="1"/>
    <col min="14852" max="14852" width="40.88671875" style="1" customWidth="1"/>
    <col min="14853" max="14853" width="17.33203125" style="1" customWidth="1"/>
    <col min="14854" max="14854" width="17.109375" style="1" customWidth="1"/>
    <col min="14855" max="14855" width="15.109375" style="1" customWidth="1"/>
    <col min="14856" max="14856" width="16.88671875" style="1" customWidth="1"/>
    <col min="14857" max="14858" width="7.88671875" style="1" bestFit="1" customWidth="1"/>
    <col min="14859" max="14859" width="51" style="1" customWidth="1"/>
    <col min="14860" max="14860" width="13.44140625" style="1" customWidth="1"/>
    <col min="14861" max="14861" width="16.33203125" style="1" bestFit="1" customWidth="1"/>
    <col min="14862" max="14862" width="11.88671875" style="1" customWidth="1"/>
    <col min="14863" max="14863" width="9" style="1" customWidth="1"/>
    <col min="14864" max="14864" width="11.33203125" style="1" customWidth="1"/>
    <col min="14865" max="14865" width="17.33203125" style="1" customWidth="1"/>
    <col min="14866" max="14866" width="16.88671875" style="1" bestFit="1" customWidth="1"/>
    <col min="14867" max="14867" width="34.6640625" style="1" customWidth="1"/>
    <col min="14868" max="14868" width="22.33203125" style="1" customWidth="1"/>
    <col min="14869" max="14869" width="18.33203125" style="1" customWidth="1"/>
    <col min="14870" max="14870" width="19.88671875" style="1" customWidth="1"/>
    <col min="14871" max="15107" width="9.109375" style="1"/>
    <col min="15108" max="15108" width="40.88671875" style="1" customWidth="1"/>
    <col min="15109" max="15109" width="17.33203125" style="1" customWidth="1"/>
    <col min="15110" max="15110" width="17.109375" style="1" customWidth="1"/>
    <col min="15111" max="15111" width="15.109375" style="1" customWidth="1"/>
    <col min="15112" max="15112" width="16.88671875" style="1" customWidth="1"/>
    <col min="15113" max="15114" width="7.88671875" style="1" bestFit="1" customWidth="1"/>
    <col min="15115" max="15115" width="51" style="1" customWidth="1"/>
    <col min="15116" max="15116" width="13.44140625" style="1" customWidth="1"/>
    <col min="15117" max="15117" width="16.33203125" style="1" bestFit="1" customWidth="1"/>
    <col min="15118" max="15118" width="11.88671875" style="1" customWidth="1"/>
    <col min="15119" max="15119" width="9" style="1" customWidth="1"/>
    <col min="15120" max="15120" width="11.33203125" style="1" customWidth="1"/>
    <col min="15121" max="15121" width="17.33203125" style="1" customWidth="1"/>
    <col min="15122" max="15122" width="16.88671875" style="1" bestFit="1" customWidth="1"/>
    <col min="15123" max="15123" width="34.6640625" style="1" customWidth="1"/>
    <col min="15124" max="15124" width="22.33203125" style="1" customWidth="1"/>
    <col min="15125" max="15125" width="18.33203125" style="1" customWidth="1"/>
    <col min="15126" max="15126" width="19.88671875" style="1" customWidth="1"/>
    <col min="15127" max="15363" width="9.109375" style="1"/>
    <col min="15364" max="15364" width="40.88671875" style="1" customWidth="1"/>
    <col min="15365" max="15365" width="17.33203125" style="1" customWidth="1"/>
    <col min="15366" max="15366" width="17.109375" style="1" customWidth="1"/>
    <col min="15367" max="15367" width="15.109375" style="1" customWidth="1"/>
    <col min="15368" max="15368" width="16.88671875" style="1" customWidth="1"/>
    <col min="15369" max="15370" width="7.88671875" style="1" bestFit="1" customWidth="1"/>
    <col min="15371" max="15371" width="51" style="1" customWidth="1"/>
    <col min="15372" max="15372" width="13.44140625" style="1" customWidth="1"/>
    <col min="15373" max="15373" width="16.33203125" style="1" bestFit="1" customWidth="1"/>
    <col min="15374" max="15374" width="11.88671875" style="1" customWidth="1"/>
    <col min="15375" max="15375" width="9" style="1" customWidth="1"/>
    <col min="15376" max="15376" width="11.33203125" style="1" customWidth="1"/>
    <col min="15377" max="15377" width="17.33203125" style="1" customWidth="1"/>
    <col min="15378" max="15378" width="16.88671875" style="1" bestFit="1" customWidth="1"/>
    <col min="15379" max="15379" width="34.6640625" style="1" customWidth="1"/>
    <col min="15380" max="15380" width="22.33203125" style="1" customWidth="1"/>
    <col min="15381" max="15381" width="18.33203125" style="1" customWidth="1"/>
    <col min="15382" max="15382" width="19.88671875" style="1" customWidth="1"/>
    <col min="15383" max="15619" width="9.109375" style="1"/>
    <col min="15620" max="15620" width="40.88671875" style="1" customWidth="1"/>
    <col min="15621" max="15621" width="17.33203125" style="1" customWidth="1"/>
    <col min="15622" max="15622" width="17.109375" style="1" customWidth="1"/>
    <col min="15623" max="15623" width="15.109375" style="1" customWidth="1"/>
    <col min="15624" max="15624" width="16.88671875" style="1" customWidth="1"/>
    <col min="15625" max="15626" width="7.88671875" style="1" bestFit="1" customWidth="1"/>
    <col min="15627" max="15627" width="51" style="1" customWidth="1"/>
    <col min="15628" max="15628" width="13.44140625" style="1" customWidth="1"/>
    <col min="15629" max="15629" width="16.33203125" style="1" bestFit="1" customWidth="1"/>
    <col min="15630" max="15630" width="11.88671875" style="1" customWidth="1"/>
    <col min="15631" max="15631" width="9" style="1" customWidth="1"/>
    <col min="15632" max="15632" width="11.33203125" style="1" customWidth="1"/>
    <col min="15633" max="15633" width="17.33203125" style="1" customWidth="1"/>
    <col min="15634" max="15634" width="16.88671875" style="1" bestFit="1" customWidth="1"/>
    <col min="15635" max="15635" width="34.6640625" style="1" customWidth="1"/>
    <col min="15636" max="15636" width="22.33203125" style="1" customWidth="1"/>
    <col min="15637" max="15637" width="18.33203125" style="1" customWidth="1"/>
    <col min="15638" max="15638" width="19.88671875" style="1" customWidth="1"/>
    <col min="15639" max="15875" width="9.109375" style="1"/>
    <col min="15876" max="15876" width="40.88671875" style="1" customWidth="1"/>
    <col min="15877" max="15877" width="17.33203125" style="1" customWidth="1"/>
    <col min="15878" max="15878" width="17.109375" style="1" customWidth="1"/>
    <col min="15879" max="15879" width="15.109375" style="1" customWidth="1"/>
    <col min="15880" max="15880" width="16.88671875" style="1" customWidth="1"/>
    <col min="15881" max="15882" width="7.88671875" style="1" bestFit="1" customWidth="1"/>
    <col min="15883" max="15883" width="51" style="1" customWidth="1"/>
    <col min="15884" max="15884" width="13.44140625" style="1" customWidth="1"/>
    <col min="15885" max="15885" width="16.33203125" style="1" bestFit="1" customWidth="1"/>
    <col min="15886" max="15886" width="11.88671875" style="1" customWidth="1"/>
    <col min="15887" max="15887" width="9" style="1" customWidth="1"/>
    <col min="15888" max="15888" width="11.33203125" style="1" customWidth="1"/>
    <col min="15889" max="15889" width="17.33203125" style="1" customWidth="1"/>
    <col min="15890" max="15890" width="16.88671875" style="1" bestFit="1" customWidth="1"/>
    <col min="15891" max="15891" width="34.6640625" style="1" customWidth="1"/>
    <col min="15892" max="15892" width="22.33203125" style="1" customWidth="1"/>
    <col min="15893" max="15893" width="18.33203125" style="1" customWidth="1"/>
    <col min="15894" max="15894" width="19.88671875" style="1" customWidth="1"/>
    <col min="15895" max="16131" width="9.109375" style="1"/>
    <col min="16132" max="16132" width="40.88671875" style="1" customWidth="1"/>
    <col min="16133" max="16133" width="17.33203125" style="1" customWidth="1"/>
    <col min="16134" max="16134" width="17.109375" style="1" customWidth="1"/>
    <col min="16135" max="16135" width="15.109375" style="1" customWidth="1"/>
    <col min="16136" max="16136" width="16.88671875" style="1" customWidth="1"/>
    <col min="16137" max="16138" width="7.88671875" style="1" bestFit="1" customWidth="1"/>
    <col min="16139" max="16139" width="51" style="1" customWidth="1"/>
    <col min="16140" max="16140" width="13.44140625" style="1" customWidth="1"/>
    <col min="16141" max="16141" width="16.33203125" style="1" bestFit="1" customWidth="1"/>
    <col min="16142" max="16142" width="11.88671875" style="1" customWidth="1"/>
    <col min="16143" max="16143" width="9" style="1" customWidth="1"/>
    <col min="16144" max="16144" width="11.33203125" style="1" customWidth="1"/>
    <col min="16145" max="16145" width="17.33203125" style="1" customWidth="1"/>
    <col min="16146" max="16146" width="16.88671875" style="1" bestFit="1" customWidth="1"/>
    <col min="16147" max="16147" width="34.6640625" style="1" customWidth="1"/>
    <col min="16148" max="16148" width="22.33203125" style="1" customWidth="1"/>
    <col min="16149" max="16149" width="18.33203125" style="1" customWidth="1"/>
    <col min="16150" max="16150" width="19.88671875" style="1" customWidth="1"/>
    <col min="16151" max="16384" width="9.109375" style="1"/>
  </cols>
  <sheetData>
    <row r="1" spans="1:30" s="24" customFormat="1" ht="21" x14ac:dyDescent="0.4">
      <c r="A1" s="58" t="str">
        <f>"Windpark "&amp;D4</f>
        <v>Windpark Remlingen</v>
      </c>
      <c r="B1" s="58"/>
      <c r="C1" s="58"/>
      <c r="D1" s="21"/>
      <c r="E1" s="51">
        <f ca="1">TODAY()</f>
        <v>43202</v>
      </c>
      <c r="F1" s="51"/>
      <c r="G1" s="22"/>
      <c r="H1" s="23"/>
      <c r="I1" s="23"/>
      <c r="K1" s="21"/>
      <c r="L1" s="21"/>
      <c r="M1" s="268" t="s">
        <v>245</v>
      </c>
      <c r="N1" s="77"/>
      <c r="O1" s="21"/>
      <c r="P1" s="21"/>
      <c r="Q1" s="21"/>
      <c r="R1" s="21"/>
      <c r="S1" s="21"/>
      <c r="T1" s="21"/>
    </row>
    <row r="2" spans="1:30" x14ac:dyDescent="0.3">
      <c r="M2" s="25"/>
      <c r="N2" s="2" t="s">
        <v>501</v>
      </c>
      <c r="O2" s="2"/>
      <c r="Q2" s="821" t="s">
        <v>500</v>
      </c>
      <c r="R2" s="822"/>
    </row>
    <row r="3" spans="1:30" ht="12.75" customHeight="1" x14ac:dyDescent="0.3">
      <c r="A3" s="801" t="s">
        <v>4</v>
      </c>
      <c r="B3" s="802"/>
      <c r="C3" s="802"/>
      <c r="D3" s="803"/>
      <c r="E3" s="804" t="s">
        <v>6</v>
      </c>
      <c r="F3" s="805"/>
      <c r="H3" s="806" t="s">
        <v>7</v>
      </c>
      <c r="I3" s="807"/>
      <c r="J3" s="808"/>
      <c r="K3" s="26"/>
      <c r="L3" s="827" t="s">
        <v>502</v>
      </c>
      <c r="M3" s="836" t="s">
        <v>27</v>
      </c>
      <c r="N3" s="827" t="s">
        <v>168</v>
      </c>
      <c r="O3" s="827" t="s">
        <v>169</v>
      </c>
      <c r="P3" s="825" t="s">
        <v>7</v>
      </c>
      <c r="Q3" s="825" t="s">
        <v>177</v>
      </c>
      <c r="R3" s="825" t="s">
        <v>170</v>
      </c>
      <c r="S3" s="825" t="s">
        <v>171</v>
      </c>
      <c r="T3" s="825" t="s">
        <v>172</v>
      </c>
      <c r="U3" s="2"/>
      <c r="V3" s="2"/>
      <c r="AC3" s="825" t="s">
        <v>247</v>
      </c>
      <c r="AD3" s="825" t="s">
        <v>247</v>
      </c>
    </row>
    <row r="4" spans="1:30" x14ac:dyDescent="0.3">
      <c r="A4" s="781" t="s">
        <v>9</v>
      </c>
      <c r="B4" s="782"/>
      <c r="C4" s="782"/>
      <c r="D4" s="117" t="str">
        <f>Basisdaten!C13</f>
        <v>Remlingen</v>
      </c>
      <c r="E4" s="28" t="s">
        <v>16</v>
      </c>
      <c r="F4" s="126">
        <f>I4</f>
        <v>11088</v>
      </c>
      <c r="H4" s="28" t="s">
        <v>213</v>
      </c>
      <c r="I4" s="141">
        <f>J4*D13*D7</f>
        <v>11088</v>
      </c>
      <c r="J4" s="154">
        <f>VWoGK!J4</f>
        <v>0.77</v>
      </c>
      <c r="K4" s="3"/>
      <c r="L4" s="828"/>
      <c r="M4" s="828"/>
      <c r="N4" s="835"/>
      <c r="O4" s="835"/>
      <c r="P4" s="826"/>
      <c r="Q4" s="826"/>
      <c r="R4" s="826"/>
      <c r="S4" s="826"/>
      <c r="T4" s="826"/>
      <c r="U4" s="2"/>
      <c r="V4" s="2"/>
      <c r="AC4" s="826"/>
      <c r="AD4" s="826"/>
    </row>
    <row r="5" spans="1:30" ht="14.25" customHeight="1" x14ac:dyDescent="0.3">
      <c r="A5" s="781" t="s">
        <v>10</v>
      </c>
      <c r="B5" s="782"/>
      <c r="C5" s="782"/>
      <c r="D5" s="183" t="str">
        <f>Basisdaten!C5</f>
        <v>Mainova Windprak Remlingen GmbH &amp; Co. KG</v>
      </c>
      <c r="E5" s="31" t="s">
        <v>17</v>
      </c>
      <c r="F5" s="126">
        <f ca="1">I15</f>
        <v>121758.21428571428</v>
      </c>
      <c r="H5" s="28" t="s">
        <v>123</v>
      </c>
      <c r="I5" s="116"/>
      <c r="J5" s="155">
        <f>VWoGK!J5</f>
        <v>50</v>
      </c>
      <c r="K5" s="3"/>
      <c r="L5" s="828"/>
      <c r="M5" s="828"/>
      <c r="N5" s="835"/>
      <c r="O5" s="835"/>
      <c r="P5" s="826"/>
      <c r="Q5" s="826"/>
      <c r="R5" s="826"/>
      <c r="S5" s="826"/>
      <c r="T5" s="826"/>
      <c r="U5" s="114" t="s">
        <v>74</v>
      </c>
      <c r="V5" s="114" t="s">
        <v>89</v>
      </c>
      <c r="W5" s="115" t="s">
        <v>90</v>
      </c>
      <c r="X5" s="115" t="s">
        <v>91</v>
      </c>
      <c r="Y5" s="115" t="s">
        <v>92</v>
      </c>
      <c r="Z5" s="115" t="s">
        <v>95</v>
      </c>
      <c r="AA5" s="115" t="s">
        <v>96</v>
      </c>
      <c r="AB5" s="115" t="s">
        <v>97</v>
      </c>
      <c r="AC5" s="826"/>
      <c r="AD5" s="826"/>
    </row>
    <row r="6" spans="1:30" ht="14.4" x14ac:dyDescent="0.3">
      <c r="A6" s="781" t="s">
        <v>11</v>
      </c>
      <c r="B6" s="782"/>
      <c r="C6" s="782"/>
      <c r="D6" s="117" t="str">
        <f>Basisdaten!C31</f>
        <v>Nordex</v>
      </c>
      <c r="E6" s="31" t="s">
        <v>212</v>
      </c>
      <c r="F6" s="126">
        <f>I8</f>
        <v>184767.75</v>
      </c>
      <c r="G6" s="17"/>
      <c r="H6" s="28" t="s">
        <v>182</v>
      </c>
      <c r="I6" s="116"/>
      <c r="J6" s="181">
        <f>VWoGK!J6</f>
        <v>100</v>
      </c>
      <c r="K6" s="3"/>
      <c r="L6" s="657">
        <v>1</v>
      </c>
      <c r="M6" s="138" t="s">
        <v>2</v>
      </c>
      <c r="N6" s="140">
        <f t="shared" ref="N6:O13" ca="1" si="0">Q6/($D$24*$D$7)</f>
        <v>6.4999999999999988E-2</v>
      </c>
      <c r="O6" s="167">
        <f t="shared" ca="1" si="0"/>
        <v>4.4285714285714296E-2</v>
      </c>
      <c r="P6" s="168">
        <f>VLOOKUP(D$10,Tabelle136[#All],2,FALSE)</f>
        <v>185000</v>
      </c>
      <c r="Q6" s="169">
        <f ca="1">SUM(INDIRECT("Großkomponenten!CH"&amp;ROW(INDIRECT("Großkomponenten!CH"&amp;7+$D$25))):INDIRECT("Großkomponenten!CH"&amp;ROW(INDIRECT("Großkomponenten!CH"&amp;7+$D$25+$D$24-1))))*$D$7*L6</f>
        <v>5.4599999999999991</v>
      </c>
      <c r="R6" s="169">
        <f ca="1">SUM(INDIRECT("Großkomponenten!CG"&amp;ROW(INDIRECT("Großkomponenten!CG"&amp;7+$D$25))):INDIRECT("Großkomponenten!CG"&amp;ROW(INDIRECT("Großkomponenten!CG"&amp;7+$D$25+$D$24-1))))*$D$7*L6</f>
        <v>3.7200000000000006</v>
      </c>
      <c r="S6" s="170">
        <f ca="1">IF($U6=0,"kein Gewicht",$Q6*1.05*SUM($Z6,$AA6,$AB6))</f>
        <v>928746</v>
      </c>
      <c r="T6" s="170">
        <f ca="1">IF($U6=0,"kein Gewicht",$R6*1.05*SUM($Z6,$AA6,$AB6))</f>
        <v>632772.00000000012</v>
      </c>
      <c r="U6" s="2">
        <f>IF(V6="Nein",VLOOKUP(D$10,Tabelle77[#All],2,FALSE),VLOOKUP(D$10,Tabelle77[#All],10,FALSE))</f>
        <v>23</v>
      </c>
      <c r="V6" s="2" t="str">
        <f>VLOOKUP(D$10,Tabelle8[#All],2,FALSE)</f>
        <v>Nein</v>
      </c>
      <c r="W6" s="1">
        <f>VLOOKUP(D$10,Tabelle756[#All],2,FALSE)</f>
        <v>2</v>
      </c>
      <c r="X6"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140</v>
      </c>
      <c r="Y6" s="1">
        <f>IF(U6&lt;=Kranpreise!$C$5,Kranpreise!$C$5,IF(AND(U6&gt;Kranpreise!$C$5,U6&lt;=Kranpreise!$C$6),Kranpreise!$C$6,IF(AND(U6&gt;Kranpreise!$C$6,U6&lt;=Kranpreise!$C$7),Kranpreise!$C$7,IF(AND(U6&gt;Kranpreise!$C$7,U6&lt;=Kranpreise!$C$8),Kranpreise!$C$8,IF(AND(U6&gt;Kranpreise!$C$8,U6&lt;=Kranpreise!$C$9),Kranpreise!$C$9,IF(AND(U6&gt;Kranpreise!$C$9,U6&lt;=Kranpreise!$C$10),Kranpreise!$C$10,Kranpreise!$C$10))))))</f>
        <v>30</v>
      </c>
      <c r="Z6" s="1">
        <f>IF(W6=0,0,INDEX(Kranpreise!C$4:M$10,MATCH(Y6,Kranpreise!C$4:C$10,0),MATCH(X6,Kranpreise!C$4:M$4,0)))</f>
        <v>100000</v>
      </c>
      <c r="AA6" s="1">
        <f>IF(V6="Ja",Kranpreise!$F$22,0)</f>
        <v>0</v>
      </c>
      <c r="AB6" s="1">
        <f>W6*INDEX(Kranpreise!C$13:M$19,MATCH(Y6,Kranpreise!C$4:C$10,0),MATCH(X6,Kranpreise!C$4:M$4,0))</f>
        <v>62000</v>
      </c>
      <c r="AC6" s="170">
        <f ca="1">VLOOKUP(D$10,Tabelle13614[#All],2,FALSE)*Q6</f>
        <v>81899.999999999985</v>
      </c>
      <c r="AD6" s="170">
        <f ca="1">VLOOKUP(D$10,Tabelle13614[#All],2,FALSE)*R6</f>
        <v>55800.000000000007</v>
      </c>
    </row>
    <row r="7" spans="1:30" ht="14.4" x14ac:dyDescent="0.3">
      <c r="A7" s="781" t="s">
        <v>12</v>
      </c>
      <c r="B7" s="782"/>
      <c r="C7" s="782"/>
      <c r="D7" s="117">
        <f>Basisdaten!C17</f>
        <v>6</v>
      </c>
      <c r="E7" s="31" t="s">
        <v>222</v>
      </c>
      <c r="F7" s="126">
        <f>I10</f>
        <v>12060</v>
      </c>
      <c r="H7" s="27"/>
      <c r="I7" s="419" t="s">
        <v>251</v>
      </c>
      <c r="J7" s="420" t="s">
        <v>499</v>
      </c>
      <c r="K7" s="3"/>
      <c r="L7" s="658">
        <v>1</v>
      </c>
      <c r="M7" s="136" t="s">
        <v>0</v>
      </c>
      <c r="N7" s="140">
        <f t="shared" ca="1" si="0"/>
        <v>2.1428571428571425E-2</v>
      </c>
      <c r="O7" s="167">
        <f t="shared" ca="1" si="0"/>
        <v>1.7857142857142856E-2</v>
      </c>
      <c r="P7" s="168">
        <f>VLOOKUP(D$10,Tabelle136[#All],3,FALSE)</f>
        <v>60000</v>
      </c>
      <c r="Q7" s="171">
        <f ca="1">SUM(INDIRECT("Großkomponenten!CJ"&amp;ROW(INDIRECT("Großkomponenten!CJ"&amp;7+$D$25))):INDIRECT("Großkomponenten!CJ"&amp;ROW(INDIRECT("Großkomponenten!CJ"&amp;7+$D$25+$D$24-1))))*$D$7*L7</f>
        <v>1.7999999999999998</v>
      </c>
      <c r="R7" s="171">
        <f ca="1">SUM(INDIRECT("Großkomponenten!CI"&amp;ROW(INDIRECT("Großkomponenten!CI"&amp;7+$D$25))):INDIRECT("Großkomponenten!CI"&amp;ROW(INDIRECT("Großkomponenten!CI"&amp;7+$D$25+$D$24-1))))*$D$7*L7</f>
        <v>1.4999999999999998</v>
      </c>
      <c r="S7" s="170">
        <f ca="1">IF($U7=0,"kein Gewicht",$Q7*1.05*SUM($Z7,$AA7,$AB7))</f>
        <v>89775</v>
      </c>
      <c r="T7" s="170">
        <f ca="1">IF($U7=0,"kein Gewicht",$R7*1.05*SUM($Z7,$AA7,$AB7))</f>
        <v>74812.499999999985</v>
      </c>
      <c r="U7" s="2">
        <f>IF(V7="Nein",VLOOKUP(D$10,Tabelle77[#All],4,FALSE),VLOOKUP(D$10,Tabelle77[#All],10,FALSE))</f>
        <v>11.5</v>
      </c>
      <c r="V7" s="2" t="str">
        <f>VLOOKUP(D$10,Tabelle8[#All],4,FALSE)</f>
        <v>Nein</v>
      </c>
      <c r="W7" s="1">
        <f>VLOOKUP(D$10,Tabelle756[#All],4,FALSE)</f>
        <v>1</v>
      </c>
      <c r="X7"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140</v>
      </c>
      <c r="Y7" s="1">
        <f>IF(U7&lt;=Kranpreise!$C$5,Kranpreise!$C$5,IF(AND(U7&gt;Kranpreise!$C$5,U7&lt;=Kranpreise!$C$6),Kranpreise!$C$6,IF(AND(U7&gt;Kranpreise!$C$6,U7&lt;=Kranpreise!$C$7),Kranpreise!$C$7,IF(AND(U7&gt;Kranpreise!$C$7,U7&lt;=Kranpreise!$C$8),Kranpreise!$C$8,IF(AND(U7&gt;Kranpreise!$C$8,U7&lt;=Kranpreise!$C$9),Kranpreise!$C$9,IF(AND(U7&gt;Kranpreise!$C$9,U7&lt;=Kranpreise!$C$10),Kranpreise!$C$10,Kranpreise!$C$10))))))</f>
        <v>17</v>
      </c>
      <c r="Z7" s="1">
        <f>IF(W7=0,0,INDEX(Kranpreise!C$4:M$10,MATCH(Y7,Kranpreise!C$4:C$10,0),MATCH(X7,Kranpreise!C$4:M$4,0)))</f>
        <v>42000</v>
      </c>
      <c r="AA7" s="1">
        <f>IF(V7="Ja",Kranpreise!$F$22,0)</f>
        <v>0</v>
      </c>
      <c r="AB7" s="1">
        <f>W7*INDEX(Kranpreise!C$13:M$19,MATCH(Y7,Kranpreise!C$4:C$10,0),MATCH(X7,Kranpreise!C$4:M$4,0))</f>
        <v>5500</v>
      </c>
      <c r="AC7" s="170">
        <f ca="1">VLOOKUP(D$10,Tabelle13614[#All],3,FALSE)*Q7</f>
        <v>18000</v>
      </c>
      <c r="AD7" s="170">
        <f ca="1">VLOOKUP(D$10,Tabelle13614[#All],3,FALSE)*R7</f>
        <v>14999.999999999998</v>
      </c>
    </row>
    <row r="8" spans="1:30" ht="14.4" x14ac:dyDescent="0.3">
      <c r="A8" s="781" t="s">
        <v>103</v>
      </c>
      <c r="B8" s="782"/>
      <c r="C8" s="782"/>
      <c r="D8" s="117" t="str">
        <f>Basisdaten!C36</f>
        <v>Ja</v>
      </c>
      <c r="E8" s="31" t="s">
        <v>528</v>
      </c>
      <c r="F8" s="126">
        <f>(I11/D24)+(J11/D24*D7)</f>
        <v>0</v>
      </c>
      <c r="H8" s="28" t="s">
        <v>181</v>
      </c>
      <c r="I8" s="141">
        <f>J8*D7</f>
        <v>184767.75</v>
      </c>
      <c r="J8" s="211">
        <f>VWoGK!F13-(VWoGK!I4/D7)</f>
        <v>30794.625</v>
      </c>
      <c r="K8" s="3"/>
      <c r="L8" s="137"/>
      <c r="M8" s="137" t="s">
        <v>28</v>
      </c>
      <c r="N8" s="140">
        <f t="shared" si="0"/>
        <v>0.19999999999999996</v>
      </c>
      <c r="O8" s="167">
        <f t="shared" si="0"/>
        <v>9.9999999999999978E-2</v>
      </c>
      <c r="P8" s="168">
        <f>VLOOKUP(D$10,Tabelle136[#All],4,FALSE)</f>
        <v>25000</v>
      </c>
      <c r="Q8" s="171">
        <f>ROUNDDOWN(D$24/5,1)*D$7</f>
        <v>16.799999999999997</v>
      </c>
      <c r="R8" s="171">
        <f>ROUNDDOWN(D$24/10,1)*D$7</f>
        <v>8.3999999999999986</v>
      </c>
      <c r="S8" s="308">
        <v>0</v>
      </c>
      <c r="T8" s="308">
        <v>0</v>
      </c>
      <c r="U8" s="2">
        <f>IF(V8="Nein",VLOOKUP(D$10,Tabelle77[#All],11,FALSE),VLOOKUP(D$10,Tabelle77[#All],10,FALSE))</f>
        <v>15</v>
      </c>
      <c r="V8" s="2" t="str">
        <f>VLOOKUP(D$10,Tabelle8[#All],11,FALSE)</f>
        <v>Nein</v>
      </c>
      <c r="W8" s="1">
        <f>VLOOKUP(D$10,Tabelle756[#All],11,FALSE)</f>
        <v>1</v>
      </c>
      <c r="X8"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140</v>
      </c>
      <c r="Y8" s="1">
        <f>IF(U8&lt;=Kranpreise!$C$5,Kranpreise!$C$5,IF(AND(U8&gt;Kranpreise!$C$5,U8&lt;=Kranpreise!$C$6),Kranpreise!$C$6,IF(AND(U8&gt;Kranpreise!$C$6,U8&lt;=Kranpreise!$C$7),Kranpreise!$C$7,IF(AND(U8&gt;Kranpreise!$C$7,U8&lt;=Kranpreise!$C$8),Kranpreise!$C$8,IF(AND(U8&gt;Kranpreise!$C$8,U8&lt;=Kranpreise!$C$9),Kranpreise!$C$9,IF(AND(U8&gt;Kranpreise!$C$9,U8&lt;=Kranpreise!$C$10),Kranpreise!$C$10,Kranpreise!$C$10))))))</f>
        <v>17</v>
      </c>
      <c r="Z8" s="1">
        <f>IF(W8=0,0,INDEX(Kranpreise!C$4:M$10,MATCH(Y8,Kranpreise!C$4:C$10,0),MATCH(X8,Kranpreise!C$4:M$4,0)))</f>
        <v>42000</v>
      </c>
      <c r="AA8" s="1">
        <f>IF(V8="Ja",Kranpreise!$F$22,0)</f>
        <v>0</v>
      </c>
      <c r="AB8" s="1">
        <f>W8*INDEX(Kranpreise!C$13:M$19,MATCH(Y8,Kranpreise!C$4:C$10,0),MATCH(X8,Kranpreise!C$4:M$4,0))</f>
        <v>5500</v>
      </c>
      <c r="AC8" s="170">
        <f>VLOOKUP(D$10,Tabelle13614[#All],4,FALSE)*Q8</f>
        <v>0</v>
      </c>
      <c r="AD8" s="170">
        <f>VLOOKUP(D$10,Tabelle13614[#All],4,FALSE)*R8</f>
        <v>0</v>
      </c>
    </row>
    <row r="9" spans="1:30" ht="14.4" x14ac:dyDescent="0.3">
      <c r="A9" s="781" t="s">
        <v>184</v>
      </c>
      <c r="B9" s="782"/>
      <c r="C9" s="782"/>
      <c r="D9" s="117" t="str">
        <f>Basisdaten!C37</f>
        <v>Rohrturm</v>
      </c>
      <c r="E9" s="31" t="s">
        <v>529</v>
      </c>
      <c r="F9" s="126">
        <f>(I12/D24)+(J12/D24*D7)</f>
        <v>0</v>
      </c>
      <c r="G9" s="82"/>
      <c r="H9" s="28" t="s">
        <v>223</v>
      </c>
      <c r="I9" s="116"/>
      <c r="J9" s="118">
        <f>VLOOKUP(D10,Tabelle4[#All],4,FALSE)</f>
        <v>35750</v>
      </c>
      <c r="K9" s="80"/>
      <c r="L9" s="137"/>
      <c r="M9" s="137" t="s">
        <v>29</v>
      </c>
      <c r="N9" s="140">
        <f t="shared" si="0"/>
        <v>2.3809523809523808E-2</v>
      </c>
      <c r="O9" s="167">
        <f t="shared" si="0"/>
        <v>1.7857142857142856E-2</v>
      </c>
      <c r="P9" s="168">
        <f>VLOOKUP(D$10,Tabelle136[#All],5,FALSE)</f>
        <v>35000</v>
      </c>
      <c r="Q9" s="171">
        <f>D7/3</f>
        <v>2</v>
      </c>
      <c r="R9" s="171">
        <f>D7/4</f>
        <v>1.5</v>
      </c>
      <c r="S9" s="170">
        <f>IF($U9=0,"kein Gewicht",$Q9*1.05*SUM($Z9,$AA9,$AB9))</f>
        <v>0</v>
      </c>
      <c r="T9" s="170">
        <f>IF($U9=0,"kein Gewicht",$R9*1.05*SUM($Z9,$AA9,$AB9))</f>
        <v>0</v>
      </c>
      <c r="U9" s="2">
        <f>IF(V9="Nein",VLOOKUP(D$10,Tabelle77[#All],5,FALSE),VLOOKUP(D$10,Tabelle77[#All],10,FALSE))</f>
        <v>25</v>
      </c>
      <c r="V9" s="2" t="str">
        <f>VLOOKUP(D$10,Tabelle8[#All],5,FALSE)</f>
        <v>Nein</v>
      </c>
      <c r="W9" s="1">
        <f>VLOOKUP(D$10,Tabelle756[#All],5,FALSE)</f>
        <v>0</v>
      </c>
      <c r="X9"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140</v>
      </c>
      <c r="Y9" s="1">
        <f>IF(U9&lt;=Kranpreise!$C$5,Kranpreise!$C$5,IF(AND(U9&gt;Kranpreise!$C$5,U9&lt;=Kranpreise!$C$6),Kranpreise!$C$6,IF(AND(U9&gt;Kranpreise!$C$6,U9&lt;=Kranpreise!$C$7),Kranpreise!$C$7,IF(AND(U9&gt;Kranpreise!$C$7,U9&lt;=Kranpreise!$C$8),Kranpreise!$C$8,IF(AND(U9&gt;Kranpreise!$C$8,U9&lt;=Kranpreise!$C$9),Kranpreise!$C$9,IF(AND(U9&gt;Kranpreise!$C$9,U9&lt;=Kranpreise!$C$10),Kranpreise!$C$10,Kranpreise!$C$10))))))</f>
        <v>30</v>
      </c>
      <c r="Z9" s="1">
        <f>IF(W9=0,0,INDEX(Kranpreise!C$4:M$10,MATCH(Y9,Kranpreise!C$4:C$10,0),MATCH(X9,Kranpreise!C$4:M$4,0)))</f>
        <v>0</v>
      </c>
      <c r="AA9" s="1">
        <f>IF(V9="Ja",Kranpreise!$F$22,0)</f>
        <v>0</v>
      </c>
      <c r="AB9" s="1">
        <f>W9*INDEX(Kranpreise!C$13:M$19,MATCH(Y9,Kranpreise!C$4:C$10,0),MATCH(X9,Kranpreise!C$4:M$4,0))</f>
        <v>0</v>
      </c>
      <c r="AC9" s="170">
        <f>VLOOKUP(D$10,Tabelle13614[#All],5,FALSE)*Q9</f>
        <v>5000</v>
      </c>
      <c r="AD9" s="170">
        <f>VLOOKUP(D$10,Tabelle13614[#All],5,FALSE)*R9</f>
        <v>3750</v>
      </c>
    </row>
    <row r="10" spans="1:30" ht="12.75" customHeight="1" x14ac:dyDescent="0.3">
      <c r="A10" s="781" t="s">
        <v>3</v>
      </c>
      <c r="B10" s="782"/>
      <c r="C10" s="782"/>
      <c r="D10" s="117" t="str">
        <f>Basisdaten!C32</f>
        <v>N117/2400</v>
      </c>
      <c r="E10" s="31"/>
      <c r="F10" s="29"/>
      <c r="G10" s="82"/>
      <c r="H10" s="28" t="s">
        <v>222</v>
      </c>
      <c r="I10" s="141">
        <f>J10*D7</f>
        <v>12060</v>
      </c>
      <c r="J10" s="211">
        <f>P56</f>
        <v>2010</v>
      </c>
      <c r="K10" s="3"/>
      <c r="L10" s="137"/>
      <c r="M10" s="137" t="s">
        <v>30</v>
      </c>
      <c r="N10" s="140">
        <f t="shared" si="0"/>
        <v>0</v>
      </c>
      <c r="O10" s="167">
        <f t="shared" si="0"/>
        <v>0</v>
      </c>
      <c r="P10" s="168">
        <f>VLOOKUP(D$10,Tabelle136[#All],6,FALSE)</f>
        <v>37500</v>
      </c>
      <c r="Q10" s="172">
        <v>0</v>
      </c>
      <c r="R10" s="171">
        <v>0</v>
      </c>
      <c r="S10" s="170">
        <f>IF($U10=0,"kein Gewicht",$Q10*1.05*SUM($Z10,$AA10,$AB10))</f>
        <v>0</v>
      </c>
      <c r="T10" s="170">
        <f>IF($U10=0,"kein Gewicht",$R10*1.05*SUM($Z10,$AA10,$AB10))</f>
        <v>0</v>
      </c>
      <c r="U10" s="2">
        <f>IF(V10="Nein",VLOOKUP(D$10,Tabelle77[#All],6,FALSE),VLOOKUP(D$10,Tabelle77[#All],10,FALSE))</f>
        <v>65</v>
      </c>
      <c r="V10" s="2" t="str">
        <f>VLOOKUP(D$10,Tabelle8[#All],6,FALSE)</f>
        <v>Ja</v>
      </c>
      <c r="W10" s="1">
        <f>VLOOKUP(D$10,Tabelle756[#All],6,FALSE)</f>
        <v>2</v>
      </c>
      <c r="X10"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140</v>
      </c>
      <c r="Y10" s="1">
        <f>IF(U10&lt;=Kranpreise!$C$5,Kranpreise!$C$5,IF(AND(U10&gt;Kranpreise!$C$5,U10&lt;=Kranpreise!$C$6),Kranpreise!$C$6,IF(AND(U10&gt;Kranpreise!$C$6,U10&lt;=Kranpreise!$C$7),Kranpreise!$C$7,IF(AND(U10&gt;Kranpreise!$C$7,U10&lt;=Kranpreise!$C$8),Kranpreise!$C$8,IF(AND(U10&gt;Kranpreise!$C$8,U10&lt;=Kranpreise!$C$9),Kranpreise!$C$9,IF(AND(U10&gt;Kranpreise!$C$9,U10&lt;=Kranpreise!$C$10),Kranpreise!$C$10,Kranpreise!$C$10))))))</f>
        <v>65</v>
      </c>
      <c r="Z10" s="1">
        <f>IF(W10=0,0,INDEX(Kranpreise!C$4:M$10,MATCH(Y10,Kranpreise!C$4:C$10,0),MATCH(X10,Kranpreise!C$4:M$4,0)))</f>
        <v>100000</v>
      </c>
      <c r="AA10" s="1">
        <f>IF(V10="Ja",Kranpreise!$F$22,0)</f>
        <v>1850</v>
      </c>
      <c r="AB10" s="1">
        <f>W10*INDEX(Kranpreise!C$13:M$19,MATCH(Y10,Kranpreise!C$4:C$10,0),MATCH(X10,Kranpreise!C$4:M$4,0))</f>
        <v>62000</v>
      </c>
      <c r="AC10" s="170">
        <f>VLOOKUP(D$10,Tabelle13614[#All],6,FALSE)*Q10</f>
        <v>0</v>
      </c>
      <c r="AD10" s="170">
        <f>VLOOKUP(D$10,Tabelle13614[#All],6,FALSE)*R10</f>
        <v>0</v>
      </c>
    </row>
    <row r="11" spans="1:30" ht="14.4" x14ac:dyDescent="0.3">
      <c r="A11" s="781" t="s">
        <v>305</v>
      </c>
      <c r="B11" s="782"/>
      <c r="C11" s="782"/>
      <c r="D11" s="117" t="str">
        <f>VLOOKUP(D10,Tabelle4[#All],3,FALSE)</f>
        <v>N117</v>
      </c>
      <c r="E11" s="31"/>
      <c r="F11" s="29"/>
      <c r="G11" s="82"/>
      <c r="H11" s="28" t="s">
        <v>435</v>
      </c>
      <c r="I11" s="353"/>
      <c r="J11" s="422"/>
      <c r="K11" s="3"/>
      <c r="L11" s="136"/>
      <c r="M11" s="136" t="s">
        <v>31</v>
      </c>
      <c r="N11" s="140">
        <f t="shared" si="0"/>
        <v>0</v>
      </c>
      <c r="O11" s="167">
        <f t="shared" si="0"/>
        <v>0</v>
      </c>
      <c r="P11" s="168">
        <f>VLOOKUP(D$10,Tabelle136[#All],7,FALSE)</f>
        <v>60000</v>
      </c>
      <c r="Q11" s="173">
        <v>0</v>
      </c>
      <c r="R11" s="171">
        <v>0</v>
      </c>
      <c r="S11" s="170">
        <f>IF($U11=0,"kein Gewicht",$Q11*1.05*SUM($Z11,$AA11,$AB11))</f>
        <v>0</v>
      </c>
      <c r="T11" s="170">
        <f>IF($U11=0,"kein Gewicht",$R11*1.05*SUM($Z11,$AA11,$AB11))</f>
        <v>0</v>
      </c>
      <c r="U11" s="2">
        <f>VLOOKUP(D$10,Tabelle77[#All],10,FALSE)</f>
        <v>65</v>
      </c>
      <c r="V11" s="2" t="str">
        <f>VLOOKUP(D$10,Tabelle8[#All],7,FALSE)</f>
        <v>Ja</v>
      </c>
      <c r="W11" s="1">
        <f>VLOOKUP(D$10,Tabelle756[#All],7,FALSE)</f>
        <v>3</v>
      </c>
      <c r="X11"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140</v>
      </c>
      <c r="Y11" s="1">
        <f>IF(U11&lt;=Kranpreise!$C$5,Kranpreise!$C$5,IF(AND(U11&gt;Kranpreise!$C$5,U11&lt;=Kranpreise!$C$6),Kranpreise!$C$6,IF(AND(U11&gt;Kranpreise!$C$6,U11&lt;=Kranpreise!$C$7),Kranpreise!$C$7,IF(AND(U11&gt;Kranpreise!$C$7,U11&lt;=Kranpreise!$C$8),Kranpreise!$C$8,IF(AND(U11&gt;Kranpreise!$C$8,U11&lt;=Kranpreise!$C$9),Kranpreise!$C$9,IF(AND(U11&gt;Kranpreise!$C$9,U11&lt;=Kranpreise!$C$10),Kranpreise!$C$10,Kranpreise!$C$10))))))</f>
        <v>65</v>
      </c>
      <c r="Z11" s="1">
        <f>IF(W11=0,0,INDEX(Kranpreise!C$4:M$10,MATCH(Y11,Kranpreise!C$4:C$10,0),MATCH(X11,Kranpreise!C$4:M$4,0)))</f>
        <v>100000</v>
      </c>
      <c r="AA11" s="1">
        <f>IF(V11="Ja",Kranpreise!$F$22,0)</f>
        <v>1850</v>
      </c>
      <c r="AB11" s="1">
        <f>W11*INDEX(Kranpreise!C$13:M$19,MATCH(Y11,Kranpreise!C$4:C$10,0),MATCH(X11,Kranpreise!C$4:M$4,0))</f>
        <v>93000</v>
      </c>
      <c r="AC11" s="170">
        <f>VLOOKUP(D$10,Tabelle13614[#All],7,FALSE)*Q11</f>
        <v>0</v>
      </c>
      <c r="AD11" s="170">
        <f>VLOOKUP(D$10,Tabelle13614[#All],7,FALSE)*R11</f>
        <v>0</v>
      </c>
    </row>
    <row r="12" spans="1:30" ht="14.4" x14ac:dyDescent="0.3">
      <c r="A12" s="781" t="s">
        <v>94</v>
      </c>
      <c r="B12" s="782"/>
      <c r="C12" s="782"/>
      <c r="D12" s="187">
        <f>Basisdaten!C35</f>
        <v>140</v>
      </c>
      <c r="E12" s="36" t="s">
        <v>18</v>
      </c>
      <c r="F12" s="127">
        <f ca="1">SUM(F4:F9)</f>
        <v>329673.96428571426</v>
      </c>
      <c r="G12" s="37"/>
      <c r="H12" s="28" t="s">
        <v>475</v>
      </c>
      <c r="I12" s="353">
        <f>VWoGK!I11</f>
        <v>0</v>
      </c>
      <c r="J12" s="421"/>
      <c r="K12" s="3"/>
      <c r="L12" s="136"/>
      <c r="M12" s="136" t="s">
        <v>32</v>
      </c>
      <c r="N12" s="140">
        <f t="shared" si="0"/>
        <v>0</v>
      </c>
      <c r="O12" s="167">
        <f t="shared" si="0"/>
        <v>0</v>
      </c>
      <c r="P12" s="168">
        <f>VLOOKUP(D$10,Tabelle136[#All],8,FALSE)</f>
        <v>33000</v>
      </c>
      <c r="Q12" s="173">
        <v>0</v>
      </c>
      <c r="R12" s="171">
        <v>0</v>
      </c>
      <c r="S12" s="170">
        <f>IF($U12=0,"kein Gewicht",$Q12*1.05*SUM($Z12,$AA12,$AB12))</f>
        <v>0</v>
      </c>
      <c r="T12" s="170">
        <f>IF($U12=0,"kein Gewicht",$R12*1.05*SUM($Z12,$AA12,$AB12))</f>
        <v>0</v>
      </c>
      <c r="U12" s="2">
        <f>IF(V12="Nein",VLOOKUP(D$10,Tabelle77[#All],8,FALSE),VLOOKUP(D$10,Tabelle77[#All],10,FALSE))</f>
        <v>2</v>
      </c>
      <c r="V12" s="2" t="str">
        <f>VLOOKUP(D$10,Tabelle8[#All],8,FALSE)</f>
        <v>Nein</v>
      </c>
      <c r="W12" s="1">
        <f>VLOOKUP(D$10,Tabelle756[#All],8,FALSE)</f>
        <v>0</v>
      </c>
      <c r="X12"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140</v>
      </c>
      <c r="Y12" s="1">
        <f>IF(U12&lt;=Kranpreise!$C$5,Kranpreise!$C$5,IF(AND(U12&gt;Kranpreise!$C$5,U12&lt;=Kranpreise!$C$6),Kranpreise!$C$6,IF(AND(U12&gt;Kranpreise!$C$6,U12&lt;=Kranpreise!$C$7),Kranpreise!$C$7,IF(AND(U12&gt;Kranpreise!$C$7,U12&lt;=Kranpreise!$C$8),Kranpreise!$C$8,IF(AND(U12&gt;Kranpreise!$C$8,U12&lt;=Kranpreise!$C$9),Kranpreise!$C$9,IF(AND(U12&gt;Kranpreise!$C$9,U12&lt;=Kranpreise!$C$10),Kranpreise!$C$10,Kranpreise!$C$10))))))</f>
        <v>7</v>
      </c>
      <c r="Z12" s="1">
        <f>IF(W12=0,0,INDEX(Kranpreise!C$4:M$10,MATCH(Y12,Kranpreise!C$4:C$10,0),MATCH(X12,Kranpreise!C$4:M$4,0)))</f>
        <v>0</v>
      </c>
      <c r="AA12" s="1">
        <f>IF(V12="Ja",Kranpreise!$F$22,0)</f>
        <v>0</v>
      </c>
      <c r="AB12" s="1">
        <f>W12*INDEX(Kranpreise!C$13:M$19,MATCH(Y12,Kranpreise!C$4:C$10,0),MATCH(X12,Kranpreise!C$4:M$4,0))</f>
        <v>0</v>
      </c>
      <c r="AC12" s="170">
        <f>VLOOKUP(D$10,Tabelle13614[#All],8,FALSE)*Q12</f>
        <v>0</v>
      </c>
      <c r="AD12" s="170">
        <f>VLOOKUP(D$10,Tabelle13614[#All],8,FALSE)*R12</f>
        <v>0</v>
      </c>
    </row>
    <row r="13" spans="1:30" ht="15" thickBot="1" x14ac:dyDescent="0.35">
      <c r="A13" s="781" t="s">
        <v>520</v>
      </c>
      <c r="B13" s="782"/>
      <c r="C13" s="782"/>
      <c r="D13" s="161">
        <f>VLOOKUP(D10,Tabelle4[#All],2,FALSE)</f>
        <v>2400</v>
      </c>
      <c r="E13" s="28" t="s">
        <v>19</v>
      </c>
      <c r="F13" s="126">
        <f ca="1">F12/D7</f>
        <v>54945.66071428571</v>
      </c>
      <c r="G13" s="82"/>
      <c r="H13" s="28"/>
      <c r="I13" s="119"/>
      <c r="J13" s="117"/>
      <c r="K13" s="38"/>
      <c r="L13" s="658">
        <v>1</v>
      </c>
      <c r="M13" s="136" t="s">
        <v>33</v>
      </c>
      <c r="N13" s="140">
        <f t="shared" ca="1" si="0"/>
        <v>2.1428571428571425E-2</v>
      </c>
      <c r="O13" s="167">
        <f t="shared" ca="1" si="0"/>
        <v>1.7857142857142856E-2</v>
      </c>
      <c r="P13" s="168">
        <f>VLOOKUP(D$10,Tabelle136[#All],9,FALSE)</f>
        <v>45000</v>
      </c>
      <c r="Q13" s="174">
        <f ca="1">SUM(INDIRECT("Großkomponenten!CL"&amp;ROW(INDIRECT("Großkomponenten!CL"&amp;7+$D$25))):INDIRECT("Großkomponenten!CL"&amp;ROW(INDIRECT("Großkomponenten!CL"&amp;7+$D$25+$D$24-1))))*$D$7*L13</f>
        <v>1.7999999999999998</v>
      </c>
      <c r="R13" s="171">
        <f ca="1">SUM(INDIRECT("Großkomponenten!CK"&amp;ROW(INDIRECT("Großkomponenten!CK"&amp;7+$D$25))):INDIRECT("Großkomponenten!CK"&amp;ROW(INDIRECT("Großkomponenten!CK"&amp;7+$D$25+$D$24-1))))*$D$7*L13</f>
        <v>1.4999999999999998</v>
      </c>
      <c r="S13" s="170">
        <f ca="1">IF($U13=0,"kein Gewicht",$Q13*1.05*SUM($Z13,$AA13,$AB13))</f>
        <v>368266.5</v>
      </c>
      <c r="T13" s="170">
        <f ca="1">IF($U13=0,"kein Gewicht",$R13*1.05*SUM($Z13,$AA13,$AB13))</f>
        <v>306888.74999999994</v>
      </c>
      <c r="U13" s="2">
        <f>IF(V13="Nein",VLOOKUP(D$10,Tabelle77[#All],9,FALSE),VLOOKUP(D$10,Tabelle77[#All],10,FALSE))</f>
        <v>65</v>
      </c>
      <c r="V13" s="350" t="str">
        <f>VLOOKUP(D$10,Großkomponenten!$BA$5:$BK$38,3,FALSE)</f>
        <v>Ja</v>
      </c>
      <c r="W13" s="1">
        <f>VLOOKUP(D$10,Tabelle756[#All],3,FALSE)</f>
        <v>3</v>
      </c>
      <c r="X13"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140</v>
      </c>
      <c r="Y13" s="1">
        <f>IF(U13&lt;=Kranpreise!$C$5,Kranpreise!$C$5,IF(AND(U13&gt;Kranpreise!$C$5,U13&lt;=Kranpreise!$C$6),Kranpreise!$C$6,IF(AND(U13&gt;Kranpreise!$C$6,U13&lt;=Kranpreise!$C$7),Kranpreise!$C$7,IF(AND(U13&gt;Kranpreise!$C$7,U13&lt;=Kranpreise!$C$8),Kranpreise!$C$8,IF(AND(U13&gt;Kranpreise!$C$8,U13&lt;=Kranpreise!$C$9),Kranpreise!$C$9,IF(AND(U13&gt;Kranpreise!$C$9,U13&lt;=Kranpreise!$C$10),Kranpreise!$C$10,Kranpreise!$C$10))))))</f>
        <v>65</v>
      </c>
      <c r="Z13" s="1">
        <f>IF(W13=0,0,INDEX(Kranpreise!C$4:M$10,MATCH(Y13,Kranpreise!C$4:C$10,0),MATCH(X13,Kranpreise!C$4:M$4,0)))</f>
        <v>100000</v>
      </c>
      <c r="AA13" s="1">
        <f>IF(V13="Ja",Kranpreise!$F$22,0)</f>
        <v>1850</v>
      </c>
      <c r="AB13" s="1">
        <f>W13*INDEX(Kranpreise!C13:M19,MATCH(Y13,Kranpreise!C4:C10,0),MATCH(X13,Kranpreise!C4:M4,0))</f>
        <v>93000</v>
      </c>
      <c r="AC13" s="170">
        <f ca="1">VLOOKUP(D$10,Tabelle13614[#All],9,FALSE)*Q13</f>
        <v>36000</v>
      </c>
      <c r="AD13" s="170">
        <f ca="1">VLOOKUP(D$10,Tabelle13614[#All],9,FALSE)*R13</f>
        <v>29999.999999999996</v>
      </c>
    </row>
    <row r="14" spans="1:30" ht="14.4" thickTop="1" x14ac:dyDescent="0.3">
      <c r="A14" s="783" t="s">
        <v>521</v>
      </c>
      <c r="B14" s="784"/>
      <c r="C14" s="784"/>
      <c r="D14" s="33">
        <f>D13/1000*1250000</f>
        <v>3000000</v>
      </c>
      <c r="E14" s="28" t="s">
        <v>20</v>
      </c>
      <c r="F14" s="126">
        <f ca="1">F13/(D13/1000)</f>
        <v>22894.025297619046</v>
      </c>
      <c r="G14" s="82"/>
      <c r="H14" s="36" t="s">
        <v>527</v>
      </c>
      <c r="I14" s="144">
        <f>SUM(I4:I12)+(J11+J12)*D7</f>
        <v>207915.75</v>
      </c>
      <c r="J14" s="117"/>
      <c r="L14" s="139"/>
      <c r="M14" s="139" t="s">
        <v>34</v>
      </c>
      <c r="N14" s="50"/>
      <c r="O14" s="175"/>
      <c r="P14" s="176"/>
      <c r="Q14" s="177"/>
      <c r="R14" s="177"/>
      <c r="S14" s="178">
        <f ca="1">SUM(S6:S13)</f>
        <v>1386787.5</v>
      </c>
      <c r="T14" s="178">
        <f ca="1">SUM(T6:T13)</f>
        <v>1014473.25</v>
      </c>
      <c r="U14" s="2"/>
      <c r="AC14" s="178">
        <f ca="1">SUM(AC6:AC13)</f>
        <v>140900</v>
      </c>
      <c r="AD14" s="178">
        <f ca="1">SUM(AD6:AD13)</f>
        <v>104550</v>
      </c>
    </row>
    <row r="15" spans="1:30" x14ac:dyDescent="0.3">
      <c r="A15" s="801" t="s">
        <v>5</v>
      </c>
      <c r="B15" s="802"/>
      <c r="C15" s="802"/>
      <c r="D15" s="803"/>
      <c r="E15" s="28" t="s">
        <v>21</v>
      </c>
      <c r="F15" s="128" t="e">
        <f ca="1">F12/D19</f>
        <v>#DIV/0!</v>
      </c>
      <c r="G15" s="82"/>
      <c r="H15" s="28" t="s">
        <v>17</v>
      </c>
      <c r="I15" s="141">
        <f ca="1">N34</f>
        <v>121758.21428571428</v>
      </c>
      <c r="J15" s="132">
        <f ca="1">N35</f>
        <v>0.58561323173311441</v>
      </c>
      <c r="M15" s="83"/>
      <c r="N15" s="39"/>
      <c r="O15" s="8"/>
      <c r="P15" s="59"/>
      <c r="S15" s="1"/>
      <c r="T15" s="1"/>
    </row>
    <row r="16" spans="1:30" ht="15" customHeight="1" x14ac:dyDescent="0.3">
      <c r="A16" s="781" t="s">
        <v>518</v>
      </c>
      <c r="B16" s="782"/>
      <c r="C16" s="782"/>
      <c r="D16" s="377">
        <f>VWoGK!D15</f>
        <v>0</v>
      </c>
      <c r="E16" s="30" t="s">
        <v>22</v>
      </c>
      <c r="F16" s="129" t="e">
        <f ca="1">F12/D20</f>
        <v>#DIV/0!</v>
      </c>
      <c r="G16" s="82"/>
      <c r="H16" s="120"/>
      <c r="I16" s="116"/>
      <c r="J16" s="121"/>
      <c r="M16" s="836" t="s">
        <v>50</v>
      </c>
      <c r="N16" s="827" t="s">
        <v>173</v>
      </c>
      <c r="O16" s="827" t="s">
        <v>174</v>
      </c>
      <c r="P16" s="825" t="s">
        <v>175</v>
      </c>
      <c r="Q16" s="827" t="s">
        <v>176</v>
      </c>
      <c r="S16" s="1"/>
      <c r="T16" s="1"/>
    </row>
    <row r="17" spans="1:29" x14ac:dyDescent="0.3">
      <c r="A17" s="781" t="s">
        <v>509</v>
      </c>
      <c r="B17" s="782"/>
      <c r="C17" s="782"/>
      <c r="D17" s="188">
        <f>Basisdaten!C54</f>
        <v>0</v>
      </c>
      <c r="E17" s="41"/>
      <c r="F17" s="42"/>
      <c r="G17" s="82"/>
      <c r="H17" s="41"/>
      <c r="I17" s="122"/>
      <c r="J17" s="121"/>
      <c r="M17" s="828"/>
      <c r="N17" s="828"/>
      <c r="O17" s="828"/>
      <c r="P17" s="837"/>
      <c r="Q17" s="828"/>
      <c r="S17" s="1"/>
    </row>
    <row r="18" spans="1:29" x14ac:dyDescent="0.3">
      <c r="A18" s="781" t="s">
        <v>510</v>
      </c>
      <c r="B18" s="782"/>
      <c r="C18" s="782"/>
      <c r="D18" s="78">
        <f>D7*D13</f>
        <v>14400</v>
      </c>
      <c r="E18" s="60"/>
      <c r="F18" s="61"/>
      <c r="G18" s="82"/>
      <c r="H18" s="41"/>
      <c r="I18" s="122"/>
      <c r="J18" s="121"/>
      <c r="M18" s="138" t="s">
        <v>2</v>
      </c>
      <c r="N18" s="163">
        <f t="shared" ref="N18:N25" ca="1" si="1">$N6*$P6*$D$7</f>
        <v>72149.999999999985</v>
      </c>
      <c r="O18" s="163">
        <f t="shared" ref="O18:O25" ca="1" si="2">$O6*$P6*$D$7</f>
        <v>49157.14285714287</v>
      </c>
      <c r="P18" s="163">
        <f t="shared" ref="P18:P25" ca="1" si="3">$N18*$D$24</f>
        <v>1010099.9999999998</v>
      </c>
      <c r="Q18" s="163">
        <f t="shared" ref="Q18:Q25" ca="1" si="4">$O18*$D$24</f>
        <v>688200.00000000023</v>
      </c>
      <c r="R18" s="70"/>
      <c r="S18" s="5"/>
      <c r="U18" s="2"/>
      <c r="V18" s="2"/>
    </row>
    <row r="19" spans="1:29" x14ac:dyDescent="0.3">
      <c r="A19" s="781" t="s">
        <v>511</v>
      </c>
      <c r="B19" s="782"/>
      <c r="C19" s="782"/>
      <c r="D19" s="79">
        <f>D18/D7*D16</f>
        <v>0</v>
      </c>
      <c r="E19" s="62" t="s">
        <v>23</v>
      </c>
      <c r="F19" s="63" t="s">
        <v>211</v>
      </c>
      <c r="G19" s="82"/>
      <c r="H19" s="41"/>
      <c r="I19" s="122"/>
      <c r="J19" s="121"/>
      <c r="M19" s="136" t="s">
        <v>0</v>
      </c>
      <c r="N19" s="164">
        <f t="shared" ca="1" si="1"/>
        <v>7714.2857142857138</v>
      </c>
      <c r="O19" s="164">
        <f t="shared" ca="1" si="2"/>
        <v>6428.5714285714275</v>
      </c>
      <c r="P19" s="164">
        <f t="shared" ca="1" si="3"/>
        <v>108000</v>
      </c>
      <c r="Q19" s="164">
        <f t="shared" ca="1" si="4"/>
        <v>89999.999999999985</v>
      </c>
      <c r="R19" s="70"/>
      <c r="S19" s="5"/>
      <c r="U19" s="2"/>
      <c r="V19" s="2"/>
    </row>
    <row r="20" spans="1:29" x14ac:dyDescent="0.3">
      <c r="A20" s="783" t="s">
        <v>519</v>
      </c>
      <c r="B20" s="784"/>
      <c r="C20" s="784"/>
      <c r="D20" s="33">
        <f>D18*D16*D17</f>
        <v>0</v>
      </c>
      <c r="E20" s="130">
        <f ca="1">F12*D24</f>
        <v>4615435.5</v>
      </c>
      <c r="F20" s="185">
        <f ca="1">I21*D24</f>
        <v>2233368.9741203026</v>
      </c>
      <c r="H20" s="41"/>
      <c r="I20" s="122"/>
      <c r="J20" s="121"/>
      <c r="M20" s="137" t="s">
        <v>28</v>
      </c>
      <c r="N20" s="164">
        <f t="shared" si="1"/>
        <v>29999.999999999993</v>
      </c>
      <c r="O20" s="164">
        <f t="shared" si="2"/>
        <v>14999.999999999996</v>
      </c>
      <c r="P20" s="164">
        <f t="shared" si="3"/>
        <v>419999.99999999988</v>
      </c>
      <c r="Q20" s="164">
        <f t="shared" si="4"/>
        <v>209999.99999999994</v>
      </c>
      <c r="R20" s="70"/>
      <c r="S20" s="19"/>
      <c r="U20" s="2"/>
      <c r="V20" s="2"/>
      <c r="X20" s="12"/>
    </row>
    <row r="21" spans="1:29" x14ac:dyDescent="0.3">
      <c r="A21" s="801" t="s">
        <v>8</v>
      </c>
      <c r="B21" s="802"/>
      <c r="C21" s="802"/>
      <c r="D21" s="803"/>
      <c r="E21" s="184" t="s">
        <v>209</v>
      </c>
      <c r="F21" s="186">
        <f ca="1">I22*D24</f>
        <v>1093179.6741203025</v>
      </c>
      <c r="H21" s="30" t="s">
        <v>178</v>
      </c>
      <c r="I21" s="144">
        <f ca="1">F12-I14+(I8*VWoGK!J18)</f>
        <v>159526.35529430732</v>
      </c>
      <c r="J21" s="132">
        <f ca="1">I21/F12</f>
        <v>0.48389127615807925</v>
      </c>
      <c r="M21" s="137" t="s">
        <v>29</v>
      </c>
      <c r="N21" s="164">
        <f t="shared" si="1"/>
        <v>5000</v>
      </c>
      <c r="O21" s="164">
        <f t="shared" si="2"/>
        <v>3750</v>
      </c>
      <c r="P21" s="164">
        <f t="shared" si="3"/>
        <v>70000</v>
      </c>
      <c r="Q21" s="164">
        <f t="shared" si="4"/>
        <v>52500</v>
      </c>
      <c r="R21" s="70"/>
      <c r="S21" s="19"/>
      <c r="U21" s="2"/>
      <c r="V21" s="11"/>
      <c r="W21" s="57"/>
      <c r="X21" s="9"/>
    </row>
    <row r="22" spans="1:29" x14ac:dyDescent="0.3">
      <c r="A22" s="777" t="s">
        <v>75</v>
      </c>
      <c r="B22" s="778"/>
      <c r="C22" s="778"/>
      <c r="D22" s="189">
        <f>Basisdaten!E22</f>
        <v>43466</v>
      </c>
      <c r="E22" s="184" t="s">
        <v>210</v>
      </c>
      <c r="F22" s="186">
        <f ca="1">I23*D24</f>
        <v>528753.97412030271</v>
      </c>
      <c r="H22" s="30" t="s">
        <v>179</v>
      </c>
      <c r="I22" s="144">
        <f ca="1">F12-I14-O34+(I8*VWoGK!J18)</f>
        <v>78084.262437164463</v>
      </c>
      <c r="J22" s="132">
        <f ca="1">I22/F12</f>
        <v>0.23685298475524197</v>
      </c>
      <c r="M22" s="137" t="s">
        <v>30</v>
      </c>
      <c r="N22" s="164">
        <f t="shared" si="1"/>
        <v>0</v>
      </c>
      <c r="O22" s="164">
        <f t="shared" si="2"/>
        <v>0</v>
      </c>
      <c r="P22" s="164">
        <f t="shared" si="3"/>
        <v>0</v>
      </c>
      <c r="Q22" s="164">
        <f t="shared" si="4"/>
        <v>0</v>
      </c>
      <c r="R22" s="70"/>
      <c r="S22" s="20"/>
      <c r="U22" s="2"/>
      <c r="V22" s="9"/>
      <c r="W22" s="14"/>
      <c r="X22" s="9"/>
      <c r="Y22" s="12"/>
      <c r="Z22" s="12"/>
    </row>
    <row r="23" spans="1:29" x14ac:dyDescent="0.3">
      <c r="A23" s="779" t="s">
        <v>13</v>
      </c>
      <c r="B23" s="780"/>
      <c r="C23" s="780"/>
      <c r="D23" s="190">
        <f>Basisdaten!C38</f>
        <v>41255</v>
      </c>
      <c r="E23" s="208"/>
      <c r="F23" s="29"/>
      <c r="H23" s="30" t="s">
        <v>180</v>
      </c>
      <c r="I23" s="144">
        <f ca="1">F12-I14-I15+(I8*VWoGK!J18)</f>
        <v>37768.141008593047</v>
      </c>
      <c r="J23" s="132">
        <f ca="1">I23/F12</f>
        <v>0.11456209801226834</v>
      </c>
      <c r="M23" s="136" t="s">
        <v>31</v>
      </c>
      <c r="N23" s="164">
        <f t="shared" si="1"/>
        <v>0</v>
      </c>
      <c r="O23" s="164">
        <f t="shared" si="2"/>
        <v>0</v>
      </c>
      <c r="P23" s="164">
        <f t="shared" si="3"/>
        <v>0</v>
      </c>
      <c r="Q23" s="164">
        <f t="shared" si="4"/>
        <v>0</v>
      </c>
      <c r="R23" s="70"/>
      <c r="S23" s="20"/>
      <c r="U23" s="2"/>
      <c r="V23" s="71"/>
      <c r="W23" s="71"/>
      <c r="X23" s="9"/>
      <c r="Y23" s="9"/>
      <c r="Z23" s="9"/>
    </row>
    <row r="24" spans="1:29" x14ac:dyDescent="0.3">
      <c r="A24" s="781" t="str">
        <f>IF(ISBLANK(Basisdaten!E23)=TRUE,"potentielle Vertragslaufzeit","Vertragslaufzeit")</f>
        <v>potentielle Vertragslaufzeit</v>
      </c>
      <c r="B24" s="782"/>
      <c r="C24" s="782"/>
      <c r="D24" s="109">
        <f>VWoGK!D23</f>
        <v>14</v>
      </c>
      <c r="E24" s="208"/>
      <c r="F24" s="29"/>
      <c r="H24" s="41"/>
      <c r="I24" s="52"/>
      <c r="J24" s="121"/>
      <c r="M24" s="136" t="s">
        <v>32</v>
      </c>
      <c r="N24" s="164">
        <f t="shared" si="1"/>
        <v>0</v>
      </c>
      <c r="O24" s="164">
        <f t="shared" si="2"/>
        <v>0</v>
      </c>
      <c r="P24" s="164">
        <f t="shared" si="3"/>
        <v>0</v>
      </c>
      <c r="Q24" s="164">
        <f t="shared" si="4"/>
        <v>0</v>
      </c>
      <c r="R24" s="70"/>
      <c r="S24" s="9"/>
      <c r="U24" s="2"/>
      <c r="V24" s="71"/>
      <c r="W24" s="71"/>
      <c r="X24" s="16"/>
      <c r="Y24" s="9"/>
      <c r="Z24" s="9"/>
    </row>
    <row r="25" spans="1:29" x14ac:dyDescent="0.3">
      <c r="A25" s="779" t="s">
        <v>14</v>
      </c>
      <c r="B25" s="780"/>
      <c r="C25" s="780"/>
      <c r="D25" s="110">
        <f>DATEDIF(D23,D22,"y")</f>
        <v>6</v>
      </c>
      <c r="E25" s="41"/>
      <c r="F25" s="42">
        <f ca="1">F37*J25*D24*D7</f>
        <v>693955.5567057397</v>
      </c>
      <c r="H25" s="362" t="s">
        <v>530</v>
      </c>
      <c r="I25" s="720">
        <f ca="1">(F37*D7)-I14-O34+(I8*VWoGK!J18)</f>
        <v>53553.155294307355</v>
      </c>
      <c r="J25" s="364">
        <f ca="1">I25/F12</f>
        <v>0.16244278012774807</v>
      </c>
      <c r="M25" s="136" t="s">
        <v>33</v>
      </c>
      <c r="N25" s="164">
        <f t="shared" ca="1" si="1"/>
        <v>5785.7142857142844</v>
      </c>
      <c r="O25" s="164">
        <f t="shared" ca="1" si="2"/>
        <v>4821.4285714285716</v>
      </c>
      <c r="P25" s="164">
        <f t="shared" ca="1" si="3"/>
        <v>80999.999999999985</v>
      </c>
      <c r="Q25" s="164">
        <f t="shared" ca="1" si="4"/>
        <v>67500</v>
      </c>
      <c r="R25" s="70"/>
      <c r="S25" s="5"/>
      <c r="U25" s="2"/>
      <c r="V25" s="15"/>
      <c r="W25" s="15"/>
      <c r="X25" s="12"/>
      <c r="Y25" s="9"/>
      <c r="Z25" s="9"/>
    </row>
    <row r="26" spans="1:29" x14ac:dyDescent="0.3">
      <c r="A26" s="783" t="s">
        <v>15</v>
      </c>
      <c r="B26" s="784"/>
      <c r="C26" s="784"/>
      <c r="D26" s="111">
        <f>SUM(D24,D25)</f>
        <v>20</v>
      </c>
      <c r="E26" s="44"/>
      <c r="F26" s="33">
        <f>F37*D24*D7</f>
        <v>4272000</v>
      </c>
      <c r="G26" s="9"/>
      <c r="H26" s="363" t="s">
        <v>531</v>
      </c>
      <c r="I26" s="721">
        <f ca="1">F37*D7-I14-I15+(I8*VWoGK!J18)</f>
        <v>13237.033865735946</v>
      </c>
      <c r="J26" s="132">
        <f ca="1">I26/F12</f>
        <v>4.015189338477447E-2</v>
      </c>
      <c r="M26" s="136" t="s">
        <v>34</v>
      </c>
      <c r="N26" s="164">
        <f ca="1">$P$26/$D$24</f>
        <v>109120.53571428571</v>
      </c>
      <c r="O26" s="164">
        <f ca="1">$Q$26/$D$24</f>
        <v>79930.232142857145</v>
      </c>
      <c r="P26" s="164">
        <f ca="1">$S14+$AC14</f>
        <v>1527687.5</v>
      </c>
      <c r="Q26" s="164">
        <f ca="1">$T14+$AD14</f>
        <v>1119023.25</v>
      </c>
      <c r="R26" s="76"/>
      <c r="S26" s="5"/>
      <c r="U26" s="2"/>
      <c r="V26" s="9"/>
      <c r="W26" s="12"/>
      <c r="X26" s="12"/>
      <c r="Y26" s="16"/>
      <c r="Z26" s="16"/>
    </row>
    <row r="27" spans="1:29" x14ac:dyDescent="0.3">
      <c r="A27" s="69"/>
      <c r="B27" s="83"/>
      <c r="C27" s="83"/>
      <c r="D27" s="40"/>
      <c r="E27" s="71"/>
      <c r="F27" s="71"/>
      <c r="G27" s="9"/>
      <c r="M27" s="165" t="s">
        <v>37</v>
      </c>
      <c r="N27" s="166">
        <f ca="1">SUM(N18:N26)</f>
        <v>229770.53571428568</v>
      </c>
      <c r="O27" s="166">
        <f ca="1">SUM(O18:O26)</f>
        <v>159087.375</v>
      </c>
      <c r="P27" s="166">
        <f ca="1">$N27*$D$24</f>
        <v>3216787.4999999995</v>
      </c>
      <c r="Q27" s="166">
        <f ca="1">$O27*$D$24</f>
        <v>2227223.25</v>
      </c>
      <c r="R27" s="76"/>
      <c r="S27" s="5"/>
      <c r="T27" s="71"/>
      <c r="U27" s="71"/>
      <c r="V27" s="12"/>
      <c r="W27" s="12"/>
      <c r="X27" s="12"/>
      <c r="Y27" s="12"/>
      <c r="Z27" s="12"/>
    </row>
    <row r="28" spans="1:29" x14ac:dyDescent="0.3">
      <c r="A28" s="787" t="s">
        <v>45</v>
      </c>
      <c r="B28" s="788"/>
      <c r="C28" s="789"/>
      <c r="D28" s="104" t="str">
        <f>D4</f>
        <v>Remlingen</v>
      </c>
      <c r="E28" s="105"/>
      <c r="F28" s="106"/>
      <c r="G28" s="9"/>
      <c r="H28" s="838" t="s">
        <v>373</v>
      </c>
      <c r="I28" s="839"/>
      <c r="M28" s="7"/>
      <c r="N28" s="43"/>
      <c r="O28" s="70"/>
      <c r="Q28" s="5"/>
      <c r="R28" s="70"/>
      <c r="S28" s="5"/>
      <c r="T28" s="71"/>
      <c r="U28" s="71"/>
      <c r="V28" s="71"/>
      <c r="W28" s="71"/>
      <c r="X28" s="12"/>
    </row>
    <row r="29" spans="1:29" x14ac:dyDescent="0.3">
      <c r="A29" s="46" t="s">
        <v>39</v>
      </c>
      <c r="B29" s="287" t="s">
        <v>368</v>
      </c>
      <c r="C29" s="287" t="s">
        <v>369</v>
      </c>
      <c r="D29" s="47" t="s">
        <v>42</v>
      </c>
      <c r="E29" s="47" t="s">
        <v>43</v>
      </c>
      <c r="F29" s="48" t="s">
        <v>44</v>
      </c>
      <c r="G29" s="9"/>
      <c r="H29" s="302" t="s">
        <v>371</v>
      </c>
      <c r="I29" s="301" t="s">
        <v>372</v>
      </c>
      <c r="J29" s="833" t="s">
        <v>537</v>
      </c>
      <c r="K29" s="840"/>
      <c r="L29" s="834"/>
      <c r="M29" s="823" t="s">
        <v>35</v>
      </c>
      <c r="N29" s="824"/>
      <c r="O29" s="179"/>
      <c r="Q29" s="5"/>
      <c r="T29" s="841"/>
      <c r="U29" s="841"/>
      <c r="V29" s="9"/>
      <c r="AC29" s="402"/>
    </row>
    <row r="30" spans="1:29" x14ac:dyDescent="0.3">
      <c r="A30" s="30" t="s">
        <v>250</v>
      </c>
      <c r="B30" s="724">
        <f>D25+1</f>
        <v>7</v>
      </c>
      <c r="C30" s="451">
        <v>9</v>
      </c>
      <c r="D30" s="289">
        <f t="shared" ref="D30:D35" si="5">IF(ISBLANK(C30),0,C30-B30+1)</f>
        <v>3</v>
      </c>
      <c r="E30" s="9">
        <v>43500</v>
      </c>
      <c r="F30" s="126">
        <f>D30*E30</f>
        <v>130500</v>
      </c>
      <c r="G30" s="9"/>
      <c r="H30" s="297" t="e">
        <f>IF(ISBLANK(B30),"",IF(C30-B30=1,AVERAGE(GETPIVOTDATA("Mittelwert von Preis",Referenzen!$L$6,"Klasse",$D$11,"Betriebsjahr",B30),GETPIVOTDATA("Mittelwert von Preis",Referenzen!$L$6,"Klasse",$D$11,"Betriebsjahr",C30)),IF(C30-B30=2,AVERAGE(GETPIVOTDATA("Mittelwert von Preis",Referenzen!$L$6,"Klasse",$D$11,"Betriebsjahr",B30),GETPIVOTDATA("Mittelwert von Preis",Referenzen!$L$6,"Klasse",$D$11,"Betriebsjahr",C30),GETPIVOTDATA("Mittelwert von Preis",Referenzen!$L$6,"Klasse",$D$11,"Betriebsjahr",C30-1)),IF(C30-B30=3,AVERAGE(GETPIVOTDATA("Mittelwert von Preis",Referenzen!$L$6,"Klasse",$D$11,"Betriebsjahr",B30),GETPIVOTDATA("Mittelwert von Preis",Referenzen!$L$6,"Klasse",$D$11,"Betriebsjahr",C30),GETPIVOTDATA("Mittelwert von Preis",Referenzen!$L$6,"Klasse",$D$11,"Betriebsjahr",C30-1),GETPIVOTDATA("Mittelwert von Preis",Referenzen!$L$6,"Klasse",$D$11,"Betriebsjahr",C30-2)),IF(C30-B30=4,AVERAGE(GETPIVOTDATA("Mittelwert von Preis",Referenzen!$L$6,"Klasse",$D$11,"Betriebsjahr",B30),GETPIVOTDATA("Mittelwert von Preis",Referenzen!$L$6,"Klasse",$D$11,"Betriebsjahr",C30),GETPIVOTDATA("Mittelwert von Preis",Referenzen!$L$6,"Klasse",$D$11,"Betriebsjahr",C30-1),GETPIVOTDATA("Mittelwert von Preis",Referenzen!$L$6,"Klasse",$D$11,"Betriebsjahr",C30-2),GETPIVOTDATA("Mittelwert von Preis",Referenzen!$L$6,"Klasse",$D$11,"Betriebsjahr",C30-3)),IF(C30-B30=5,AVERAGE(GETPIVOTDATA("Mittelwert von Preis",Referenzen!$L$6,"Klasse",$D$11,"Betriebsjahr",B30),GETPIVOTDATA("Mittelwert von Preis",Referenzen!$L$6,"Klasse",$D$11,"Betriebsjahr",C30),GETPIVOTDATA("Mittelwert von Preis",Referenzen!$L$6,"Klasse",$D$11,"Betriebsjahr",C30-1),GETPIVOTDATA("Mittelwert von Preis",Referenzen!$L$6,"Klasse",$D$11,"Betriebsjahr",C30-2),GETPIVOTDATA("Mittelwert von Preis",Referenzen!$L$6,"Klasse",$D$11,"Betriebsjahr",C30-3),GETPIVOTDATA("Mittelwert von Preis",Referenzen!$L$6,"Klasse",$D$11,"Betriebsjahr",C30-3)),"kleinere Zeitspanne!"))))))</f>
        <v>#REF!</v>
      </c>
      <c r="I30" s="298" t="e">
        <f t="shared" ref="I30:I35" si="6">IF(ISBLANK(E30),"",E30-H30)</f>
        <v>#REF!</v>
      </c>
      <c r="J30" s="1">
        <v>4</v>
      </c>
      <c r="K30" s="4">
        <f>J30*L30</f>
        <v>190000</v>
      </c>
      <c r="L30" s="4">
        <v>47500</v>
      </c>
      <c r="M30" s="145"/>
      <c r="N30" s="146" t="s">
        <v>177</v>
      </c>
      <c r="O30" s="179" t="s">
        <v>170</v>
      </c>
      <c r="P30" s="719"/>
      <c r="Q30" s="5"/>
      <c r="T30" s="71"/>
      <c r="U30" s="71"/>
      <c r="V30" s="9"/>
    </row>
    <row r="31" spans="1:29" x14ac:dyDescent="0.3">
      <c r="A31" s="30" t="s">
        <v>250</v>
      </c>
      <c r="B31" s="451">
        <v>10</v>
      </c>
      <c r="C31" s="451">
        <v>12</v>
      </c>
      <c r="D31" s="289">
        <f t="shared" si="5"/>
        <v>3</v>
      </c>
      <c r="E31" s="9">
        <v>47500</v>
      </c>
      <c r="F31" s="126">
        <f t="shared" ref="F31:F35" si="7">D31*E31</f>
        <v>142500</v>
      </c>
      <c r="G31" s="9"/>
      <c r="H31" s="297" t="e">
        <f>IF(ISBLANK(B31),"",IF(C31-B31=1,AVERAGE(GETPIVOTDATA("Mittelwert von Preis",Referenzen!$L$6,"Klasse",$D$11,"Betriebsjahr",B31),GETPIVOTDATA("Mittelwert von Preis",Referenzen!$L$6,"Klasse",$D$11,"Betriebsjahr",C31)),IF(C31-B31=2,AVERAGE(GETPIVOTDATA("Mittelwert von Preis",Referenzen!$L$6,"Klasse",$D$11,"Betriebsjahr",B31),GETPIVOTDATA("Mittelwert von Preis",Referenzen!$L$6,"Klasse",$D$11,"Betriebsjahr",C31),GETPIVOTDATA("Mittelwert von Preis",Referenzen!$L$6,"Klasse",$D$11,"Betriebsjahr",C31-1)),IF(C31-B31=3,AVERAGE(GETPIVOTDATA("Mittelwert von Preis",Referenzen!$L$6,"Klasse",$D$11,"Betriebsjahr",B31),GETPIVOTDATA("Mittelwert von Preis",Referenzen!$L$6,"Klasse",$D$11,"Betriebsjahr",C31),GETPIVOTDATA("Mittelwert von Preis",Referenzen!$L$6,"Klasse",$D$11,"Betriebsjahr",C31-1),GETPIVOTDATA("Mittelwert von Preis",Referenzen!$L$6,"Klasse",$D$11,"Betriebsjahr",C31-2)),IF(C31-B31=4,AVERAGE(GETPIVOTDATA("Mittelwert von Preis",Referenzen!$L$6,"Klasse",$D$11,"Betriebsjahr",B31),GETPIVOTDATA("Mittelwert von Preis",Referenzen!$L$6,"Klasse",$D$11,"Betriebsjahr",C31),GETPIVOTDATA("Mittelwert von Preis",Referenzen!$L$6,"Klasse",$D$11,"Betriebsjahr",C31-1),GETPIVOTDATA("Mittelwert von Preis",Referenzen!$L$6,"Klasse",$D$11,"Betriebsjahr",C31-2),GETPIVOTDATA("Mittelwert von Preis",Referenzen!$L$6,"Klasse",$D$11,"Betriebsjahr",C31-3)),IF(C31-B31=5,AVERAGE(GETPIVOTDATA("Mittelwert von Preis",Referenzen!$L$6,"Klasse",$D$11,"Betriebsjahr",B31),GETPIVOTDATA("Mittelwert von Preis",Referenzen!$L$6,"Klasse",$D$11,"Betriebsjahr",C31),GETPIVOTDATA("Mittelwert von Preis",Referenzen!$L$6,"Klasse",$D$11,"Betriebsjahr",C31-1),GETPIVOTDATA("Mittelwert von Preis",Referenzen!$L$6,"Klasse",$D$11,"Betriebsjahr",C31-2),GETPIVOTDATA("Mittelwert von Preis",Referenzen!$L$6,"Klasse",$D$11,"Betriebsjahr",C31-3),GETPIVOTDATA("Mittelwert von Preis",Referenzen!$L$6,"Klasse",$D$11,"Betriebsjahr",C31-3)),"kleinere Zeitspanne!"))))))</f>
        <v>#REF!</v>
      </c>
      <c r="I31" s="298" t="e">
        <f t="shared" si="6"/>
        <v>#REF!</v>
      </c>
      <c r="J31" s="1">
        <v>3</v>
      </c>
      <c r="K31" s="4">
        <f t="shared" ref="K31:K33" si="8">J31*L31</f>
        <v>150000</v>
      </c>
      <c r="L31" s="4">
        <v>50000</v>
      </c>
      <c r="M31" s="149" t="s">
        <v>36</v>
      </c>
      <c r="N31" s="722">
        <v>0.6</v>
      </c>
      <c r="O31" s="722">
        <v>0.6</v>
      </c>
      <c r="Q31" s="5"/>
      <c r="T31" s="841"/>
      <c r="U31" s="841"/>
      <c r="V31" s="6"/>
      <c r="W31" s="12"/>
      <c r="X31" s="12"/>
    </row>
    <row r="32" spans="1:29" x14ac:dyDescent="0.3">
      <c r="A32" s="30" t="s">
        <v>250</v>
      </c>
      <c r="B32" s="451">
        <v>13</v>
      </c>
      <c r="C32" s="451">
        <v>15</v>
      </c>
      <c r="D32" s="289">
        <f t="shared" si="5"/>
        <v>3</v>
      </c>
      <c r="E32" s="80">
        <v>52000</v>
      </c>
      <c r="F32" s="126">
        <f t="shared" si="7"/>
        <v>156000</v>
      </c>
      <c r="G32" s="69"/>
      <c r="H32" s="297" t="e">
        <f>IF(ISBLANK(B32),"",IF(C32-B32=1,AVERAGE(GETPIVOTDATA("Mittelwert von Preis",Referenzen!$L$6,"Klasse",$D$11,"Betriebsjahr",B32),GETPIVOTDATA("Mittelwert von Preis",Referenzen!$L$6,"Klasse",$D$11,"Betriebsjahr",C32)),IF(C32-B32=2,AVERAGE(GETPIVOTDATA("Mittelwert von Preis",Referenzen!$L$6,"Klasse",$D$11,"Betriebsjahr",B32),GETPIVOTDATA("Mittelwert von Preis",Referenzen!$L$6,"Klasse",$D$11,"Betriebsjahr",C32),GETPIVOTDATA("Mittelwert von Preis",Referenzen!$L$6,"Klasse",$D$11,"Betriebsjahr",C32-1)),IF(C32-B32=3,AVERAGE(GETPIVOTDATA("Mittelwert von Preis",Referenzen!$L$6,"Klasse",$D$11,"Betriebsjahr",B32),GETPIVOTDATA("Mittelwert von Preis",Referenzen!$L$6,"Klasse",$D$11,"Betriebsjahr",C32),GETPIVOTDATA("Mittelwert von Preis",Referenzen!$L$6,"Klasse",$D$11,"Betriebsjahr",C32-1),GETPIVOTDATA("Mittelwert von Preis",Referenzen!$L$6,"Klasse",$D$11,"Betriebsjahr",C32-2)),IF(C32-B32=4,AVERAGE(GETPIVOTDATA("Mittelwert von Preis",Referenzen!$L$6,"Klasse",$D$11,"Betriebsjahr",B32),GETPIVOTDATA("Mittelwert von Preis",Referenzen!$L$6,"Klasse",$D$11,"Betriebsjahr",C32),GETPIVOTDATA("Mittelwert von Preis",Referenzen!$L$6,"Klasse",$D$11,"Betriebsjahr",C32-1),GETPIVOTDATA("Mittelwert von Preis",Referenzen!$L$6,"Klasse",$D$11,"Betriebsjahr",C32-2),GETPIVOTDATA("Mittelwert von Preis",Referenzen!$L$6,"Klasse",$D$11,"Betriebsjahr",C32-3)),IF(C32-B32=5,AVERAGE(GETPIVOTDATA("Mittelwert von Preis",Referenzen!$L$6,"Klasse",$D$11,"Betriebsjahr",B32),GETPIVOTDATA("Mittelwert von Preis",Referenzen!$L$6,"Klasse",$D$11,"Betriebsjahr",C32),GETPIVOTDATA("Mittelwert von Preis",Referenzen!$L$6,"Klasse",$D$11,"Betriebsjahr",C32-1),GETPIVOTDATA("Mittelwert von Preis",Referenzen!$L$6,"Klasse",$D$11,"Betriebsjahr",C32-2),GETPIVOTDATA("Mittelwert von Preis",Referenzen!$L$6,"Klasse",$D$11,"Betriebsjahr",C32-3),GETPIVOTDATA("Mittelwert von Preis",Referenzen!$L$6,"Klasse",$D$11,"Betriebsjahr",C32-3)),"kleinere Zeitspanne!"))))))</f>
        <v>#REF!</v>
      </c>
      <c r="I32" s="298" t="e">
        <f t="shared" si="6"/>
        <v>#REF!</v>
      </c>
      <c r="J32" s="1">
        <v>3</v>
      </c>
      <c r="K32" s="4">
        <f t="shared" si="8"/>
        <v>165000</v>
      </c>
      <c r="L32" s="4">
        <v>55000</v>
      </c>
      <c r="M32" s="28" t="s">
        <v>49</v>
      </c>
      <c r="N32" s="210">
        <v>25000</v>
      </c>
      <c r="O32" s="210">
        <v>25000</v>
      </c>
      <c r="Q32" s="5"/>
      <c r="T32" s="841"/>
      <c r="U32" s="841"/>
      <c r="V32" s="2"/>
      <c r="W32" s="8"/>
      <c r="X32" s="8"/>
    </row>
    <row r="33" spans="1:24" x14ac:dyDescent="0.3">
      <c r="A33" s="30" t="s">
        <v>250</v>
      </c>
      <c r="B33" s="655">
        <v>16</v>
      </c>
      <c r="C33" s="656">
        <v>18</v>
      </c>
      <c r="D33" s="289">
        <f t="shared" si="5"/>
        <v>3</v>
      </c>
      <c r="E33" s="80">
        <v>56000</v>
      </c>
      <c r="F33" s="126">
        <f t="shared" si="7"/>
        <v>168000</v>
      </c>
      <c r="G33" s="83"/>
      <c r="H33" s="297" t="e">
        <f>IF(ISBLANK(B33),"",IF(C33-B33=1,AVERAGE(GETPIVOTDATA("Mittelwert von Preis",Referenzen!$L$6,"Klasse",$D$11,"Betriebsjahr",B33),GETPIVOTDATA("Mittelwert von Preis",Referenzen!$L$6,"Klasse",$D$11,"Betriebsjahr",C33)),IF(C33-B33=2,AVERAGE(GETPIVOTDATA("Mittelwert von Preis",Referenzen!$L$6,"Klasse",$D$11,"Betriebsjahr",B33),GETPIVOTDATA("Mittelwert von Preis",Referenzen!$L$6,"Klasse",$D$11,"Betriebsjahr",C33),GETPIVOTDATA("Mittelwert von Preis",Referenzen!$L$6,"Klasse",$D$11,"Betriebsjahr",C33-1)),IF(C33-B33=3,AVERAGE(GETPIVOTDATA("Mittelwert von Preis",Referenzen!$L$6,"Klasse",$D$11,"Betriebsjahr",B33),GETPIVOTDATA("Mittelwert von Preis",Referenzen!$L$6,"Klasse",$D$11,"Betriebsjahr",C33),GETPIVOTDATA("Mittelwert von Preis",Referenzen!$L$6,"Klasse",$D$11,"Betriebsjahr",C33-1),GETPIVOTDATA("Mittelwert von Preis",Referenzen!$L$6,"Klasse",$D$11,"Betriebsjahr",C33-2)),IF(C33-B33=4,AVERAGE(GETPIVOTDATA("Mittelwert von Preis",Referenzen!$L$6,"Klasse",$D$11,"Betriebsjahr",B33),GETPIVOTDATA("Mittelwert von Preis",Referenzen!$L$6,"Klasse",$D$11,"Betriebsjahr",C33),GETPIVOTDATA("Mittelwert von Preis",Referenzen!$L$6,"Klasse",$D$11,"Betriebsjahr",C33-1),GETPIVOTDATA("Mittelwert von Preis",Referenzen!$L$6,"Klasse",$D$11,"Betriebsjahr",C33-2),GETPIVOTDATA("Mittelwert von Preis",Referenzen!$L$6,"Klasse",$D$11,"Betriebsjahr",C33-3)),IF(C33-B33=5,AVERAGE(GETPIVOTDATA("Mittelwert von Preis",Referenzen!$L$6,"Klasse",$D$11,"Betriebsjahr",B33),GETPIVOTDATA("Mittelwert von Preis",Referenzen!$L$6,"Klasse",$D$11,"Betriebsjahr",C33),GETPIVOTDATA("Mittelwert von Preis",Referenzen!$L$6,"Klasse",$D$11,"Betriebsjahr",C33-1),GETPIVOTDATA("Mittelwert von Preis",Referenzen!$L$6,"Klasse",$D$11,"Betriebsjahr",C33-2),GETPIVOTDATA("Mittelwert von Preis",Referenzen!$L$6,"Klasse",$D$11,"Betriebsjahr",C33-3),GETPIVOTDATA("Mittelwert von Preis",Referenzen!$L$6,"Klasse",$D$11,"Betriebsjahr",C33-3)),"kleinere Zeitspanne!"))))))</f>
        <v>#REF!</v>
      </c>
      <c r="I33" s="298" t="e">
        <f t="shared" si="6"/>
        <v>#REF!</v>
      </c>
      <c r="J33" s="1">
        <v>5</v>
      </c>
      <c r="K33" s="4">
        <f t="shared" si="8"/>
        <v>292500</v>
      </c>
      <c r="L33" s="4">
        <v>58500</v>
      </c>
      <c r="M33" s="28" t="s">
        <v>16</v>
      </c>
      <c r="N33" s="143">
        <f ca="1">(P27-(SUM(Q6:Q13)*N32))/D24*N31</f>
        <v>108012.32142857141</v>
      </c>
      <c r="O33" s="143">
        <f ca="1">(Q27-(SUM(R6:R13)*O32))/D24*O31</f>
        <v>77645.282142857133</v>
      </c>
      <c r="T33" s="283"/>
      <c r="U33" s="283"/>
      <c r="V33" s="2"/>
      <c r="W33" s="8"/>
      <c r="X33" s="8"/>
    </row>
    <row r="34" spans="1:24" x14ac:dyDescent="0.3">
      <c r="A34" s="30" t="s">
        <v>250</v>
      </c>
      <c r="B34" s="655">
        <v>19</v>
      </c>
      <c r="C34" s="656">
        <v>20</v>
      </c>
      <c r="D34" s="289">
        <f t="shared" si="5"/>
        <v>2</v>
      </c>
      <c r="E34" s="80">
        <v>57500</v>
      </c>
      <c r="F34" s="126">
        <f t="shared" si="7"/>
        <v>115000</v>
      </c>
      <c r="H34" s="297" t="e">
        <f>IF(ISBLANK(B34),"",IF(C34-B34=1,AVERAGE(GETPIVOTDATA("Mittelwert von Preis",Referenzen!$L$6,"Klasse",$D$11,"Betriebsjahr",B34),GETPIVOTDATA("Mittelwert von Preis",Referenzen!$L$6,"Klasse",$D$11,"Betriebsjahr",C34)),IF(C34-B34=2,AVERAGE(GETPIVOTDATA("Mittelwert von Preis",Referenzen!$L$6,"Klasse",$D$11,"Betriebsjahr",B34),GETPIVOTDATA("Mittelwert von Preis",Referenzen!$L$6,"Klasse",$D$11,"Betriebsjahr",C34),GETPIVOTDATA("Mittelwert von Preis",Referenzen!$L$6,"Klasse",$D$11,"Betriebsjahr",C34-1)),IF(C34-B34=3,AVERAGE(GETPIVOTDATA("Mittelwert von Preis",Referenzen!$L$6,"Klasse",$D$11,"Betriebsjahr",B34),GETPIVOTDATA("Mittelwert von Preis",Referenzen!$L$6,"Klasse",$D$11,"Betriebsjahr",C34),GETPIVOTDATA("Mittelwert von Preis",Referenzen!$L$6,"Klasse",$D$11,"Betriebsjahr",C34-1),GETPIVOTDATA("Mittelwert von Preis",Referenzen!$L$6,"Klasse",$D$11,"Betriebsjahr",C34-2)),IF(C34-B34=4,AVERAGE(GETPIVOTDATA("Mittelwert von Preis",Referenzen!$L$6,"Klasse",$D$11,"Betriebsjahr",B34),GETPIVOTDATA("Mittelwert von Preis",Referenzen!$L$6,"Klasse",$D$11,"Betriebsjahr",C34),GETPIVOTDATA("Mittelwert von Preis",Referenzen!$L$6,"Klasse",$D$11,"Betriebsjahr",C34-1),GETPIVOTDATA("Mittelwert von Preis",Referenzen!$L$6,"Klasse",$D$11,"Betriebsjahr",C34-2),GETPIVOTDATA("Mittelwert von Preis",Referenzen!$L$6,"Klasse",$D$11,"Betriebsjahr",C34-3)),IF(C34-B34=5,AVERAGE(GETPIVOTDATA("Mittelwert von Preis",Referenzen!$L$6,"Klasse",$D$11,"Betriebsjahr",B34),GETPIVOTDATA("Mittelwert von Preis",Referenzen!$L$6,"Klasse",$D$11,"Betriebsjahr",C34),GETPIVOTDATA("Mittelwert von Preis",Referenzen!$L$6,"Klasse",$D$11,"Betriebsjahr",C34-1),GETPIVOTDATA("Mittelwert von Preis",Referenzen!$L$6,"Klasse",$D$11,"Betriebsjahr",C34-2),GETPIVOTDATA("Mittelwert von Preis",Referenzen!$L$6,"Klasse",$D$11,"Betriebsjahr",C34-3),GETPIVOTDATA("Mittelwert von Preis",Referenzen!$L$6,"Klasse",$D$11,"Betriebsjahr",C34-3)),"kleinere Zeitspanne!"))))))</f>
        <v>#REF!</v>
      </c>
      <c r="I34" s="298" t="e">
        <f t="shared" si="6"/>
        <v>#REF!</v>
      </c>
      <c r="M34" s="32" t="s">
        <v>102</v>
      </c>
      <c r="N34" s="150">
        <f ca="1">N27-N33</f>
        <v>121758.21428571428</v>
      </c>
      <c r="O34" s="150">
        <f ca="1">O27-O33</f>
        <v>81442.092857142867</v>
      </c>
      <c r="P34" s="2"/>
      <c r="Q34" s="1"/>
      <c r="T34" s="3"/>
      <c r="U34" s="2"/>
      <c r="V34" s="2"/>
      <c r="W34" s="5"/>
      <c r="X34" s="5"/>
    </row>
    <row r="35" spans="1:24" x14ac:dyDescent="0.3">
      <c r="A35" s="30" t="s">
        <v>250</v>
      </c>
      <c r="B35" s="292"/>
      <c r="C35" s="293"/>
      <c r="D35" s="289">
        <f t="shared" si="5"/>
        <v>0</v>
      </c>
      <c r="E35" s="9"/>
      <c r="F35" s="126">
        <f t="shared" si="7"/>
        <v>0</v>
      </c>
      <c r="H35" s="297" t="str">
        <f>IF(ISBLANK(B35),"",IF(C35-B35=1,AVERAGE(GETPIVOTDATA("Mittelwert von Preis",Referenzen!$L$6,"Klasse",$D$11,"Betriebsjahr",B35),GETPIVOTDATA("Mittelwert von Preis",Referenzen!$L$6,"Klasse",$D$11,"Betriebsjahr",C35)),IF(C35-B35=2,AVERAGE(GETPIVOTDATA("Mittelwert von Preis",Referenzen!$L$6,"Klasse",$D$11,"Betriebsjahr",B35),GETPIVOTDATA("Mittelwert von Preis",Referenzen!$L$6,"Klasse",$D$11,"Betriebsjahr",C35),GETPIVOTDATA("Mittelwert von Preis",Referenzen!$L$6,"Klasse",$D$11,"Betriebsjahr",C35-1)),IF(C35-B35=3,AVERAGE(GETPIVOTDATA("Mittelwert von Preis",Referenzen!$L$6,"Klasse",$D$11,"Betriebsjahr",B35),GETPIVOTDATA("Mittelwert von Preis",Referenzen!$L$6,"Klasse",$D$11,"Betriebsjahr",C35),GETPIVOTDATA("Mittelwert von Preis",Referenzen!$L$6,"Klasse",$D$11,"Betriebsjahr",C35-1),GETPIVOTDATA("Mittelwert von Preis",Referenzen!$L$6,"Klasse",$D$11,"Betriebsjahr",C35-2)),IF(C35-B35=4,AVERAGE(GETPIVOTDATA("Mittelwert von Preis",Referenzen!$L$6,"Klasse",$D$11,"Betriebsjahr",B35),GETPIVOTDATA("Mittelwert von Preis",Referenzen!$L$6,"Klasse",$D$11,"Betriebsjahr",C35),GETPIVOTDATA("Mittelwert von Preis",Referenzen!$L$6,"Klasse",$D$11,"Betriebsjahr",C35-1),GETPIVOTDATA("Mittelwert von Preis",Referenzen!$L$6,"Klasse",$D$11,"Betriebsjahr",C35-2),GETPIVOTDATA("Mittelwert von Preis",Referenzen!$L$6,"Klasse",$D$11,"Betriebsjahr",C35-3)),IF(C35-B35=5,AVERAGE(GETPIVOTDATA("Mittelwert von Preis",Referenzen!$L$6,"Klasse",$D$11,"Betriebsjahr",B35),GETPIVOTDATA("Mittelwert von Preis",Referenzen!$L$6,"Klasse",$D$11,"Betriebsjahr",C35),GETPIVOTDATA("Mittelwert von Preis",Referenzen!$L$6,"Klasse",$D$11,"Betriebsjahr",C35-1),GETPIVOTDATA("Mittelwert von Preis",Referenzen!$L$6,"Klasse",$D$11,"Betriebsjahr",C35-2),GETPIVOTDATA("Mittelwert von Preis",Referenzen!$L$6,"Klasse",$D$11,"Betriebsjahr",C35-3),GETPIVOTDATA("Mittelwert von Preis",Referenzen!$L$6,"Klasse",$D$11,"Betriebsjahr",C35-3)),"kleinere Zeitspanne!"))))))</f>
        <v/>
      </c>
      <c r="I35" s="298" t="str">
        <f t="shared" si="6"/>
        <v/>
      </c>
      <c r="M35" s="147" t="s">
        <v>38</v>
      </c>
      <c r="N35" s="148">
        <f ca="1">N34/I14</f>
        <v>0.58561323173311441</v>
      </c>
      <c r="O35" s="148">
        <f ca="1">O34/I14</f>
        <v>0.39170718359307971</v>
      </c>
      <c r="P35" s="2"/>
      <c r="Q35" s="1"/>
      <c r="U35" s="2"/>
    </row>
    <row r="36" spans="1:24" x14ac:dyDescent="0.3">
      <c r="A36" s="30" t="s">
        <v>40</v>
      </c>
      <c r="B36" s="193"/>
      <c r="C36" s="193"/>
      <c r="D36" s="52">
        <f>SUM(D30:D35)</f>
        <v>14</v>
      </c>
      <c r="E36" s="49"/>
      <c r="F36" s="126">
        <f>SUM(F30:F35)</f>
        <v>712000</v>
      </c>
      <c r="H36" s="297" t="e">
        <f>SUMPRODUCT(H30:H35,D30:D35)</f>
        <v>#REF!</v>
      </c>
      <c r="I36" s="298" t="e">
        <f>F36-H36</f>
        <v>#REF!</v>
      </c>
      <c r="J36" s="399" t="s">
        <v>440</v>
      </c>
      <c r="M36" s="2"/>
      <c r="O36" s="2"/>
      <c r="P36" s="5"/>
      <c r="Q36" s="1"/>
      <c r="R36" s="1"/>
      <c r="S36" s="1"/>
      <c r="T36" s="1"/>
    </row>
    <row r="37" spans="1:24" x14ac:dyDescent="0.3">
      <c r="A37" s="30" t="s">
        <v>41</v>
      </c>
      <c r="B37" s="193"/>
      <c r="C37" s="193"/>
      <c r="D37" s="193"/>
      <c r="E37" s="193"/>
      <c r="F37" s="126">
        <f>F36/D36</f>
        <v>50857.142857142855</v>
      </c>
      <c r="H37" s="299" t="e">
        <f>H36/D36</f>
        <v>#REF!</v>
      </c>
      <c r="I37" s="300" t="e">
        <f>F37-H37</f>
        <v>#REF!</v>
      </c>
      <c r="J37" s="400">
        <f>IF(D24&lt;=5,VLOOKUP(D10,Tabelle16[#All],2,FALSE),IF(AND(D24&gt;5,D24&lt;=10),VLOOKUP(D10,Tabelle16[#All],3,FALSE),IF(AND(D24&gt;10,D24&lt;=15),VLOOKUP(D10,Tabelle16[#All],4,FALSE),IF(AND(D24&gt;15,D24&lt;=20),VLOOKUP(D10,Tabelle16[#All],5,FALSE),VLOOKUP(D10,Tabelle16[#All],6,FALSE)))))</f>
        <v>0</v>
      </c>
      <c r="L37" s="4">
        <f>SUM(K30:K33)/15</f>
        <v>53166.666666666664</v>
      </c>
      <c r="M37" s="842" t="s">
        <v>221</v>
      </c>
      <c r="N37" s="795" t="s">
        <v>7</v>
      </c>
      <c r="O37" s="795"/>
      <c r="P37" s="795"/>
      <c r="Q37" s="818" t="s">
        <v>389</v>
      </c>
      <c r="R37" s="1"/>
      <c r="S37" s="1"/>
      <c r="T37" s="1"/>
    </row>
    <row r="38" spans="1:24" x14ac:dyDescent="0.3">
      <c r="A38" s="303"/>
      <c r="B38" s="304" t="s">
        <v>368</v>
      </c>
      <c r="C38" s="304" t="s">
        <v>369</v>
      </c>
      <c r="D38" s="305" t="s">
        <v>46</v>
      </c>
      <c r="E38" s="305" t="s">
        <v>47</v>
      </c>
      <c r="F38" s="306" t="s">
        <v>48</v>
      </c>
      <c r="H38" s="285" t="s">
        <v>374</v>
      </c>
      <c r="I38" s="306" t="s">
        <v>44</v>
      </c>
      <c r="M38" s="843"/>
      <c r="N38" s="796"/>
      <c r="O38" s="796"/>
      <c r="P38" s="796"/>
      <c r="Q38" s="819"/>
      <c r="R38" s="1"/>
      <c r="S38" s="1"/>
      <c r="T38" s="1"/>
    </row>
    <row r="39" spans="1:24" x14ac:dyDescent="0.3">
      <c r="A39" s="30" t="str">
        <f>IF(ISBLANK(A30),"",A30)</f>
        <v>Betriebsjahr</v>
      </c>
      <c r="B39" s="725">
        <f>IF(ISBLANK(B30),"",B30)</f>
        <v>7</v>
      </c>
      <c r="C39" s="294">
        <f>IF(ISBLANK(C30),"",C30)</f>
        <v>9</v>
      </c>
      <c r="D39" s="142">
        <f t="shared" ref="D39:D44" si="9">IF(ISBLANK(E30),"",ROUND(E30*0.85,-2))</f>
        <v>37000</v>
      </c>
      <c r="E39" s="156" t="e">
        <f>IF(ISBLANK(E30),"",E30/($D$13*$D$16*F39))</f>
        <v>#DIV/0!</v>
      </c>
      <c r="F39" s="64">
        <v>0.97</v>
      </c>
      <c r="H39" s="269" t="e">
        <f t="shared" ref="H39:H44" si="10">IF(E39="","",E39*D$13*D$16)</f>
        <v>#DIV/0!</v>
      </c>
      <c r="I39" s="143" t="e">
        <f t="shared" ref="I39:I44" si="11">IF(H39="","",H39*D30)</f>
        <v>#DIV/0!</v>
      </c>
      <c r="M39" s="28" t="s">
        <v>216</v>
      </c>
      <c r="N39" s="790">
        <f>VLOOKUP(D10,Tabelle9[#All],2,FALSE)</f>
        <v>1075</v>
      </c>
      <c r="O39" s="790"/>
      <c r="P39" s="790"/>
      <c r="Q39" s="351">
        <v>1</v>
      </c>
      <c r="R39" s="1"/>
      <c r="S39" s="1"/>
      <c r="T39" s="1"/>
    </row>
    <row r="40" spans="1:24" x14ac:dyDescent="0.3">
      <c r="A40" s="30" t="str">
        <f t="shared" ref="A40:C44" si="12">IF(ISBLANK(A31),"",A31)</f>
        <v>Betriebsjahr</v>
      </c>
      <c r="B40" s="290">
        <f t="shared" si="12"/>
        <v>10</v>
      </c>
      <c r="C40" s="291">
        <f t="shared" si="12"/>
        <v>12</v>
      </c>
      <c r="D40" s="142">
        <f t="shared" si="9"/>
        <v>40400</v>
      </c>
      <c r="E40" s="156" t="e">
        <f t="shared" ref="E40:E44" si="13">IF(ISBLANK(E31),"",E31/($D$13*$D$16*F40))</f>
        <v>#DIV/0!</v>
      </c>
      <c r="F40" s="64">
        <v>0.97</v>
      </c>
      <c r="H40" s="269" t="e">
        <f t="shared" si="10"/>
        <v>#DIV/0!</v>
      </c>
      <c r="I40" s="143" t="e">
        <f t="shared" si="11"/>
        <v>#DIV/0!</v>
      </c>
      <c r="M40" s="28" t="s">
        <v>220</v>
      </c>
      <c r="N40" s="790">
        <f>VLOOKUP(D10,Tabelle9[#All],3,FALSE)</f>
        <v>1200</v>
      </c>
      <c r="O40" s="790"/>
      <c r="P40" s="790"/>
      <c r="Q40" s="351">
        <v>2</v>
      </c>
      <c r="R40" s="1"/>
      <c r="S40" s="1"/>
      <c r="T40" s="1"/>
    </row>
    <row r="41" spans="1:24" x14ac:dyDescent="0.3">
      <c r="A41" s="30" t="str">
        <f t="shared" si="12"/>
        <v>Betriebsjahr</v>
      </c>
      <c r="B41" s="290">
        <f t="shared" si="12"/>
        <v>13</v>
      </c>
      <c r="C41" s="291">
        <f t="shared" si="12"/>
        <v>15</v>
      </c>
      <c r="D41" s="142">
        <f t="shared" si="9"/>
        <v>44200</v>
      </c>
      <c r="E41" s="156" t="e">
        <f t="shared" si="13"/>
        <v>#DIV/0!</v>
      </c>
      <c r="F41" s="64">
        <v>0.97</v>
      </c>
      <c r="G41" s="11"/>
      <c r="H41" s="269" t="e">
        <f t="shared" si="10"/>
        <v>#DIV/0!</v>
      </c>
      <c r="I41" s="143" t="e">
        <f t="shared" si="11"/>
        <v>#DIV/0!</v>
      </c>
      <c r="M41" s="28" t="s">
        <v>215</v>
      </c>
      <c r="N41" s="790">
        <f>IF(D9="Gittermast",VLOOKUP(D10,'Externe Leistungen'!M5:N18,2,FALSE),0)</f>
        <v>0</v>
      </c>
      <c r="O41" s="790"/>
      <c r="P41" s="790"/>
      <c r="Q41" s="351">
        <v>1</v>
      </c>
      <c r="R41" s="1"/>
      <c r="S41" s="1"/>
      <c r="T41" s="1"/>
    </row>
    <row r="42" spans="1:24" x14ac:dyDescent="0.3">
      <c r="A42" s="30" t="str">
        <f t="shared" si="12"/>
        <v>Betriebsjahr</v>
      </c>
      <c r="B42" s="290">
        <f t="shared" si="12"/>
        <v>16</v>
      </c>
      <c r="C42" s="291">
        <f t="shared" si="12"/>
        <v>18</v>
      </c>
      <c r="D42" s="142">
        <f t="shared" si="9"/>
        <v>47600</v>
      </c>
      <c r="E42" s="156" t="e">
        <f t="shared" si="13"/>
        <v>#DIV/0!</v>
      </c>
      <c r="F42" s="64">
        <v>0.97</v>
      </c>
      <c r="G42" s="9"/>
      <c r="H42" s="269" t="e">
        <f t="shared" si="10"/>
        <v>#DIV/0!</v>
      </c>
      <c r="I42" s="143" t="e">
        <f t="shared" si="11"/>
        <v>#DIV/0!</v>
      </c>
      <c r="M42" s="28" t="s">
        <v>422</v>
      </c>
      <c r="N42" s="790">
        <f>IF(R42=TRUE,VLOOKUP(D10,Tabelle4[#All],5,FALSE),0)</f>
        <v>0</v>
      </c>
      <c r="O42" s="790"/>
      <c r="P42" s="790"/>
      <c r="Q42" s="351">
        <v>1</v>
      </c>
      <c r="R42" s="1" t="b">
        <v>0</v>
      </c>
      <c r="S42" s="1"/>
      <c r="T42" s="1"/>
    </row>
    <row r="43" spans="1:24" x14ac:dyDescent="0.3">
      <c r="A43" s="30" t="str">
        <f t="shared" si="12"/>
        <v>Betriebsjahr</v>
      </c>
      <c r="B43" s="290">
        <f t="shared" si="12"/>
        <v>19</v>
      </c>
      <c r="C43" s="291">
        <f t="shared" si="12"/>
        <v>20</v>
      </c>
      <c r="D43" s="142">
        <f t="shared" si="9"/>
        <v>48900</v>
      </c>
      <c r="E43" s="156" t="e">
        <f t="shared" si="13"/>
        <v>#DIV/0!</v>
      </c>
      <c r="F43" s="64">
        <v>0.97</v>
      </c>
      <c r="G43" s="9"/>
      <c r="H43" s="269" t="e">
        <f t="shared" si="10"/>
        <v>#DIV/0!</v>
      </c>
      <c r="I43" s="143" t="e">
        <f t="shared" si="11"/>
        <v>#DIV/0!</v>
      </c>
      <c r="M43" s="28" t="s">
        <v>428</v>
      </c>
      <c r="N43" s="790">
        <f>IF(AND(R43=TRUE,S43=FALSE),VLOOKUP(D10,Tabelle9[#All],6,FALSE),IF(AND(S43=TRUE,R43=TRUE),VLOOKUP(D10,Tabelle9[#All],6,FALSE)+VLOOKUP(D10,Tabelle9[#All],7,FALSE),0))</f>
        <v>0</v>
      </c>
      <c r="O43" s="790"/>
      <c r="P43" s="790"/>
      <c r="Q43" s="351">
        <v>1</v>
      </c>
      <c r="R43" s="1" t="b">
        <v>0</v>
      </c>
      <c r="S43" s="1" t="b">
        <v>0</v>
      </c>
      <c r="T43" s="1"/>
    </row>
    <row r="44" spans="1:24" x14ac:dyDescent="0.3">
      <c r="A44" s="30" t="str">
        <f t="shared" si="12"/>
        <v>Betriebsjahr</v>
      </c>
      <c r="B44" s="295" t="str">
        <f t="shared" si="12"/>
        <v/>
      </c>
      <c r="C44" s="296" t="str">
        <f t="shared" si="12"/>
        <v/>
      </c>
      <c r="D44" s="142" t="str">
        <f t="shared" si="9"/>
        <v/>
      </c>
      <c r="E44" s="156" t="str">
        <f t="shared" si="13"/>
        <v/>
      </c>
      <c r="F44" s="64">
        <v>0.97</v>
      </c>
      <c r="G44" s="9"/>
      <c r="H44" s="269" t="str">
        <f t="shared" si="10"/>
        <v/>
      </c>
      <c r="I44" s="143" t="str">
        <f t="shared" si="11"/>
        <v/>
      </c>
      <c r="M44" s="28" t="s">
        <v>429</v>
      </c>
      <c r="N44" s="790">
        <f>IF(R44=TRUE,VLOOKUP(D10,Tabelle9[#All],4,FALSE),0)</f>
        <v>0</v>
      </c>
      <c r="O44" s="790"/>
      <c r="P44" s="790"/>
      <c r="Q44" s="351">
        <v>1</v>
      </c>
      <c r="R44" s="1" t="b">
        <v>0</v>
      </c>
      <c r="S44" s="1"/>
      <c r="T44" s="1"/>
    </row>
    <row r="45" spans="1:24" x14ac:dyDescent="0.3">
      <c r="A45" s="93" t="s">
        <v>1</v>
      </c>
      <c r="B45" s="94"/>
      <c r="C45" s="94"/>
      <c r="D45" s="94"/>
      <c r="E45" s="94"/>
      <c r="F45" s="95"/>
      <c r="G45" s="11"/>
      <c r="H45" s="271"/>
      <c r="I45" s="143" t="e">
        <f>SUM(I39:I44)</f>
        <v>#DIV/0!</v>
      </c>
      <c r="M45" s="28" t="s">
        <v>427</v>
      </c>
      <c r="N45" s="790">
        <f>IF(R45=TRUE,VLOOKUP(D10,Tabelle9[#All],9,FALSE),0)</f>
        <v>0</v>
      </c>
      <c r="O45" s="790"/>
      <c r="P45" s="790"/>
      <c r="Q45" s="351">
        <v>4</v>
      </c>
      <c r="R45" s="1" t="b">
        <v>0</v>
      </c>
      <c r="S45" s="1"/>
      <c r="T45" s="1"/>
    </row>
    <row r="46" spans="1:24" x14ac:dyDescent="0.3">
      <c r="A46" s="96"/>
      <c r="B46" s="97"/>
      <c r="C46" s="97"/>
      <c r="D46" s="97"/>
      <c r="E46" s="97"/>
      <c r="F46" s="98"/>
      <c r="H46" s="272" t="s">
        <v>249</v>
      </c>
      <c r="I46" s="270" t="e">
        <f>I45/D$24</f>
        <v>#DIV/0!</v>
      </c>
      <c r="M46" s="32" t="s">
        <v>430</v>
      </c>
      <c r="N46" s="815">
        <f>IF(R46=TRUE,VLOOKUP(D10,Tabelle9[#All],8,FALSE),0)</f>
        <v>0</v>
      </c>
      <c r="O46" s="815"/>
      <c r="P46" s="815"/>
      <c r="Q46" s="352">
        <v>4</v>
      </c>
      <c r="R46" s="1" t="b">
        <v>0</v>
      </c>
      <c r="S46" s="1"/>
      <c r="T46" s="1"/>
    </row>
    <row r="47" spans="1:24" x14ac:dyDescent="0.3">
      <c r="A47" s="99"/>
      <c r="B47" s="100"/>
      <c r="C47" s="100"/>
      <c r="D47" s="100"/>
      <c r="E47" s="100"/>
      <c r="F47" s="101"/>
      <c r="H47" s="12"/>
      <c r="I47" s="53"/>
      <c r="M47" s="12"/>
      <c r="N47" s="53"/>
      <c r="O47" s="2"/>
      <c r="P47" s="2"/>
      <c r="Q47" s="1"/>
      <c r="R47" s="1"/>
      <c r="S47" s="1"/>
      <c r="T47" s="1"/>
    </row>
    <row r="48" spans="1:24" x14ac:dyDescent="0.3">
      <c r="A48" s="84"/>
      <c r="B48" s="85"/>
      <c r="C48" s="85"/>
      <c r="D48" s="85"/>
      <c r="E48" s="85"/>
      <c r="F48" s="86"/>
      <c r="H48" s="12" t="s">
        <v>114</v>
      </c>
      <c r="I48" s="53"/>
      <c r="M48" s="793" t="s">
        <v>205</v>
      </c>
      <c r="N48" s="795" t="s">
        <v>200</v>
      </c>
      <c r="O48" s="797" t="s">
        <v>26</v>
      </c>
      <c r="P48" s="799" t="s">
        <v>18</v>
      </c>
      <c r="Q48" s="1"/>
      <c r="R48" s="1"/>
      <c r="S48" s="1"/>
      <c r="T48" s="1"/>
    </row>
    <row r="49" spans="1:29" x14ac:dyDescent="0.3">
      <c r="A49" s="72"/>
      <c r="B49" s="85"/>
      <c r="C49" s="85"/>
      <c r="D49" s="73"/>
      <c r="E49" s="73"/>
      <c r="F49" s="74"/>
      <c r="H49" s="192"/>
      <c r="I49" s="53"/>
      <c r="M49" s="794"/>
      <c r="N49" s="796"/>
      <c r="O49" s="798"/>
      <c r="P49" s="800"/>
      <c r="Q49" s="1"/>
      <c r="R49" s="1"/>
      <c r="S49" s="1"/>
      <c r="T49" s="1"/>
    </row>
    <row r="50" spans="1:29" x14ac:dyDescent="0.3">
      <c r="A50" s="72"/>
      <c r="B50" s="85"/>
      <c r="C50" s="85"/>
      <c r="D50" s="73"/>
      <c r="E50" s="73"/>
      <c r="F50" s="74"/>
      <c r="H50" s="134"/>
      <c r="I50" s="831" t="s">
        <v>111</v>
      </c>
      <c r="J50" s="832"/>
      <c r="M50" s="28" t="s">
        <v>216</v>
      </c>
      <c r="N50" s="195">
        <f>N39/Q39</f>
        <v>1075</v>
      </c>
      <c r="O50" s="196">
        <v>0.2</v>
      </c>
      <c r="P50" s="197">
        <f t="shared" ref="P50:P55" si="14">N50*(1+O50)</f>
        <v>1290</v>
      </c>
      <c r="Q50" s="1"/>
    </row>
    <row r="51" spans="1:29" s="2" customFormat="1" x14ac:dyDescent="0.3">
      <c r="A51" s="84"/>
      <c r="B51" s="85"/>
      <c r="C51" s="85"/>
      <c r="D51" s="85"/>
      <c r="E51" s="85"/>
      <c r="F51" s="86"/>
      <c r="G51" s="71"/>
      <c r="H51" s="133"/>
      <c r="I51" s="833" t="s">
        <v>113</v>
      </c>
      <c r="J51" s="834"/>
      <c r="K51" s="4"/>
      <c r="L51" s="4"/>
      <c r="M51" s="28" t="s">
        <v>390</v>
      </c>
      <c r="N51" s="195">
        <f>N40/Q40</f>
        <v>600</v>
      </c>
      <c r="O51" s="196">
        <v>0.2</v>
      </c>
      <c r="P51" s="197">
        <f t="shared" si="14"/>
        <v>720</v>
      </c>
      <c r="Q51" s="1"/>
      <c r="U51" s="1"/>
      <c r="V51" s="1"/>
      <c r="W51" s="1"/>
      <c r="X51" s="1"/>
      <c r="Y51" s="1"/>
      <c r="Z51" s="1"/>
      <c r="AA51" s="1"/>
      <c r="AB51" s="1"/>
      <c r="AC51" s="1"/>
    </row>
    <row r="52" spans="1:29" s="2" customFormat="1" x14ac:dyDescent="0.3">
      <c r="A52" s="87"/>
      <c r="B52" s="88"/>
      <c r="C52" s="88"/>
      <c r="D52" s="88"/>
      <c r="E52" s="88"/>
      <c r="F52" s="89"/>
      <c r="G52" s="71"/>
      <c r="H52" s="135"/>
      <c r="I52" s="829" t="s">
        <v>112</v>
      </c>
      <c r="J52" s="830"/>
      <c r="K52" s="4"/>
      <c r="L52" s="4"/>
      <c r="M52" s="28" t="s">
        <v>215</v>
      </c>
      <c r="N52" s="195">
        <f>N41/Q41</f>
        <v>0</v>
      </c>
      <c r="O52" s="196">
        <v>0.2</v>
      </c>
      <c r="P52" s="197">
        <f t="shared" si="14"/>
        <v>0</v>
      </c>
      <c r="Q52" s="1"/>
      <c r="U52" s="1"/>
      <c r="V52" s="1"/>
      <c r="W52" s="1"/>
      <c r="X52" s="1"/>
    </row>
    <row r="53" spans="1:29" s="2" customFormat="1" x14ac:dyDescent="0.3">
      <c r="A53" s="90"/>
      <c r="B53" s="91"/>
      <c r="C53" s="91"/>
      <c r="D53" s="91"/>
      <c r="E53" s="91"/>
      <c r="F53" s="92"/>
      <c r="G53" s="71"/>
      <c r="J53" s="1"/>
      <c r="K53" s="4"/>
      <c r="L53" s="4"/>
      <c r="M53" s="28" t="s">
        <v>422</v>
      </c>
      <c r="N53" s="195">
        <f>N42/Q42</f>
        <v>0</v>
      </c>
      <c r="O53" s="196">
        <v>0</v>
      </c>
      <c r="P53" s="197">
        <f t="shared" si="14"/>
        <v>0</v>
      </c>
      <c r="Q53" s="1"/>
      <c r="R53" s="53"/>
      <c r="U53" s="1"/>
      <c r="V53" s="1"/>
      <c r="W53" s="1"/>
      <c r="X53" s="1"/>
    </row>
    <row r="54" spans="1:29" s="2" customFormat="1" x14ac:dyDescent="0.3">
      <c r="A54" s="75"/>
      <c r="B54" s="88"/>
      <c r="C54" s="88"/>
      <c r="D54" s="75"/>
      <c r="E54" s="75"/>
      <c r="F54" s="75"/>
      <c r="G54" s="18"/>
      <c r="J54" s="1"/>
      <c r="K54" s="4"/>
      <c r="L54" s="4"/>
      <c r="M54" s="28" t="s">
        <v>431</v>
      </c>
      <c r="N54" s="195">
        <f>IF(AND(R43=TRUE,S43=FALSE,R44=FALSE,R45=FALSE),N43/Q43,IF(AND(R43=FALSE,S43=TRUE,R44=FALSE,R45=FALSE),N43/Q43,IF(AND(R43=FALSE,S43=FALSE,R44=TRUE,R45=FALSE),N44/Q44,IF(AND(R43=FALSE,S43=FALSE,R44=FALSE,R45=TRUE),N45/Q45,IF(AND(R43=TRUE,S43=TRUE,R44=FALSE,R45=FALSE),N43/Q43,IF(AND(R43=TRUE,S43=FALSE,R44=TRUE,R45=FALSE),1500,IF(AND(R43=TRUE,S43=TRUE,R44=TRUE,R45=FALSE),2400,IF(AND(R43=TRUE,S43=TRUE,R44=TRUE,R45=TRUE),2400+N45/Q45,IF(AND(R43=TRUE,S43=FALSE,R44=TRUE,R45=TRUE),1500+N45/Q45,IF(AND(R43=FALSE,S43=FALSE,R44=TRUE,R45=TRUE),N44/Q44+N45/Q45,IF(AND(R43=TRUE,S43=FALSE,R44=FALSE,R45=TRUE),N43/Q43+N45/Q45,IF(AND(R43=TRUE,S43=TRUE,R44=FALSE,R45=TRUE),N43/Q43+N45/Q45,0))))))))))))</f>
        <v>0</v>
      </c>
      <c r="O54" s="196">
        <v>0.1</v>
      </c>
      <c r="P54" s="197">
        <f>IF(AND(D7&lt;=2,N54&lt;&gt;0),N54*(1+O54)+D7*150,N54*(1+O54))</f>
        <v>0</v>
      </c>
      <c r="Q54" s="1"/>
      <c r="R54" s="53"/>
      <c r="U54" s="1"/>
      <c r="V54" s="1"/>
      <c r="W54" s="1"/>
      <c r="X54" s="1"/>
    </row>
    <row r="55" spans="1:29" s="2" customFormat="1" x14ac:dyDescent="0.3">
      <c r="A55" s="75"/>
      <c r="B55" s="88"/>
      <c r="C55" s="88"/>
      <c r="D55" s="9"/>
      <c r="E55" s="9"/>
      <c r="F55" s="75"/>
      <c r="G55" s="9"/>
      <c r="J55" s="1"/>
      <c r="K55" s="4"/>
      <c r="L55" s="4"/>
      <c r="M55" s="28" t="s">
        <v>430</v>
      </c>
      <c r="N55" s="195">
        <f>N46/Q46</f>
        <v>0</v>
      </c>
      <c r="O55" s="196">
        <v>0.1</v>
      </c>
      <c r="P55" s="197">
        <f t="shared" si="14"/>
        <v>0</v>
      </c>
      <c r="Q55" s="43"/>
      <c r="R55" s="53"/>
      <c r="U55" s="1"/>
      <c r="V55" s="1"/>
      <c r="W55" s="1"/>
      <c r="X55" s="1"/>
    </row>
    <row r="56" spans="1:29" s="2" customFormat="1" x14ac:dyDescent="0.3">
      <c r="A56" s="75"/>
      <c r="B56" s="88"/>
      <c r="C56" s="88"/>
      <c r="D56" s="71"/>
      <c r="E56" s="71"/>
      <c r="F56" s="75"/>
      <c r="G56" s="9"/>
      <c r="J56" s="1"/>
      <c r="K56" s="4"/>
      <c r="L56" s="4"/>
      <c r="M56" s="198" t="s">
        <v>44</v>
      </c>
      <c r="N56" s="199">
        <f>SUM(N50:N55)</f>
        <v>1675</v>
      </c>
      <c r="O56" s="200">
        <f>AVERAGE(O50:O53)</f>
        <v>0.15000000000000002</v>
      </c>
      <c r="P56" s="201">
        <f>SUM(P50:P55)</f>
        <v>2010</v>
      </c>
      <c r="Q56" s="11"/>
      <c r="R56" s="53"/>
      <c r="U56" s="1"/>
      <c r="V56" s="1"/>
      <c r="W56" s="1"/>
      <c r="X56" s="1"/>
    </row>
    <row r="57" spans="1:29" s="2" customFormat="1" x14ac:dyDescent="0.3">
      <c r="A57" s="10"/>
      <c r="B57" s="10"/>
      <c r="C57" s="10"/>
      <c r="D57" s="3"/>
      <c r="E57" s="3"/>
      <c r="F57" s="3"/>
      <c r="G57" s="9"/>
      <c r="J57" s="1"/>
      <c r="K57" s="4"/>
      <c r="L57" s="4"/>
      <c r="M57" s="7"/>
      <c r="N57" s="11"/>
      <c r="O57" s="11"/>
      <c r="P57" s="1"/>
      <c r="Q57" s="71"/>
      <c r="R57" s="53"/>
      <c r="U57" s="1"/>
      <c r="V57" s="1"/>
      <c r="W57" s="1"/>
      <c r="X57" s="1"/>
    </row>
    <row r="58" spans="1:29" s="2" customFormat="1" ht="15.6" x14ac:dyDescent="0.3">
      <c r="A58" s="35"/>
      <c r="B58" s="35"/>
      <c r="C58" s="35"/>
      <c r="D58" s="3"/>
      <c r="E58" s="3"/>
      <c r="F58" s="9"/>
      <c r="G58" s="9"/>
      <c r="J58" s="1"/>
      <c r="K58" s="4"/>
      <c r="L58" s="4"/>
      <c r="M58" s="55"/>
      <c r="N58" s="11"/>
      <c r="O58" s="7"/>
      <c r="P58" s="1"/>
      <c r="Q58" s="71"/>
      <c r="R58" s="53"/>
      <c r="U58" s="1"/>
      <c r="V58" s="1"/>
      <c r="W58" s="1"/>
      <c r="X58" s="1"/>
    </row>
    <row r="59" spans="1:29" s="2" customFormat="1" x14ac:dyDescent="0.3">
      <c r="A59" s="68"/>
      <c r="B59" s="83"/>
      <c r="C59" s="83"/>
      <c r="D59" s="3"/>
      <c r="E59" s="3"/>
      <c r="F59" s="3"/>
      <c r="G59" s="9"/>
      <c r="J59" s="1"/>
      <c r="K59" s="4"/>
      <c r="L59" s="4"/>
      <c r="M59" s="7"/>
      <c r="N59" s="8"/>
      <c r="O59" s="56"/>
      <c r="P59" s="1"/>
      <c r="Q59" s="1"/>
      <c r="R59" s="53"/>
      <c r="U59" s="1"/>
      <c r="V59" s="1"/>
      <c r="W59" s="1"/>
      <c r="X59" s="1"/>
    </row>
    <row r="60" spans="1:29" s="2" customFormat="1" x14ac:dyDescent="0.3">
      <c r="A60" s="68"/>
      <c r="B60" s="83"/>
      <c r="C60" s="83"/>
      <c r="D60" s="6"/>
      <c r="E60" s="6"/>
      <c r="F60" s="3"/>
      <c r="G60" s="9"/>
      <c r="J60" s="1"/>
      <c r="K60" s="4"/>
      <c r="L60" s="4"/>
      <c r="M60" s="7"/>
      <c r="N60" s="8"/>
      <c r="O60" s="7"/>
      <c r="P60" s="1"/>
      <c r="Q60" s="1"/>
      <c r="R60" s="53"/>
      <c r="U60" s="1"/>
      <c r="V60" s="1"/>
      <c r="W60" s="1"/>
      <c r="X60" s="1"/>
    </row>
    <row r="61" spans="1:29" s="2" customFormat="1" x14ac:dyDescent="0.3">
      <c r="A61" s="68"/>
      <c r="B61" s="83"/>
      <c r="C61" s="83"/>
      <c r="D61" s="6"/>
      <c r="E61" s="6"/>
      <c r="F61" s="3"/>
      <c r="G61" s="9"/>
      <c r="J61" s="1"/>
      <c r="K61" s="4"/>
      <c r="L61" s="4"/>
      <c r="M61" s="7"/>
      <c r="N61" s="70"/>
      <c r="O61" s="7"/>
      <c r="P61" s="53"/>
      <c r="Q61" s="1"/>
      <c r="R61" s="53"/>
      <c r="U61" s="1"/>
      <c r="V61" s="1"/>
      <c r="W61" s="1"/>
      <c r="X61" s="1"/>
    </row>
    <row r="62" spans="1:29" s="2" customFormat="1" x14ac:dyDescent="0.3">
      <c r="A62" s="35"/>
      <c r="B62" s="35"/>
      <c r="C62" s="35"/>
      <c r="D62" s="6"/>
      <c r="E62" s="6"/>
      <c r="F62" s="3"/>
      <c r="G62" s="12"/>
      <c r="J62" s="1"/>
      <c r="K62" s="4"/>
      <c r="L62" s="4"/>
      <c r="M62" s="7"/>
      <c r="N62" s="70"/>
      <c r="O62" s="1"/>
      <c r="P62" s="1"/>
      <c r="Q62" s="1"/>
      <c r="R62" s="53"/>
      <c r="U62" s="1"/>
      <c r="V62" s="1"/>
      <c r="W62" s="1"/>
      <c r="X62" s="1"/>
    </row>
    <row r="63" spans="1:29" s="2" customFormat="1" x14ac:dyDescent="0.3">
      <c r="A63" s="35"/>
      <c r="B63" s="35"/>
      <c r="C63" s="35"/>
      <c r="D63" s="3"/>
      <c r="E63" s="3"/>
      <c r="F63" s="3"/>
      <c r="G63" s="9"/>
      <c r="J63" s="1"/>
      <c r="K63" s="4"/>
      <c r="L63" s="4"/>
      <c r="O63" s="1"/>
      <c r="P63" s="1"/>
      <c r="Q63" s="1"/>
      <c r="R63" s="53"/>
      <c r="U63" s="1"/>
      <c r="V63" s="1"/>
      <c r="W63" s="1"/>
      <c r="X63" s="1"/>
    </row>
    <row r="64" spans="1:29" s="2" customFormat="1" x14ac:dyDescent="0.3">
      <c r="A64" s="35"/>
      <c r="B64" s="35"/>
      <c r="C64" s="35"/>
      <c r="D64" s="3"/>
      <c r="E64" s="3"/>
      <c r="F64" s="3"/>
      <c r="G64" s="9"/>
      <c r="J64" s="1"/>
      <c r="K64" s="4"/>
      <c r="L64" s="4"/>
      <c r="M64" s="1"/>
      <c r="O64" s="1"/>
      <c r="P64" s="1"/>
      <c r="Q64" s="1"/>
      <c r="R64" s="53"/>
      <c r="U64" s="1"/>
      <c r="V64" s="1"/>
      <c r="W64" s="1"/>
      <c r="X64" s="1"/>
    </row>
    <row r="65" spans="1:29" x14ac:dyDescent="0.3">
      <c r="Q65" s="1"/>
      <c r="Y65" s="2"/>
      <c r="Z65" s="2"/>
      <c r="AA65" s="2"/>
      <c r="AB65" s="2"/>
      <c r="AC65" s="2"/>
    </row>
    <row r="66" spans="1:29" x14ac:dyDescent="0.3">
      <c r="A66" s="26"/>
      <c r="B66" s="26"/>
      <c r="C66" s="26"/>
      <c r="Q66" s="1"/>
    </row>
    <row r="67" spans="1:29" x14ac:dyDescent="0.3">
      <c r="A67" s="26"/>
      <c r="B67" s="26"/>
      <c r="C67" s="26"/>
    </row>
    <row r="68" spans="1:29" x14ac:dyDescent="0.3">
      <c r="A68" s="26"/>
      <c r="B68" s="26"/>
      <c r="C68" s="26"/>
    </row>
    <row r="69" spans="1:29" x14ac:dyDescent="0.3">
      <c r="A69" s="35"/>
      <c r="B69" s="35"/>
      <c r="C69" s="35"/>
      <c r="J69" s="1">
        <f>8.5+0.25+3*11.25+3*7.25+18+3.25</f>
        <v>85.5</v>
      </c>
    </row>
  </sheetData>
  <dataConsolidate/>
  <mergeCells count="68">
    <mergeCell ref="AC3:AC5"/>
    <mergeCell ref="AD3:AD5"/>
    <mergeCell ref="M48:M49"/>
    <mergeCell ref="N48:N49"/>
    <mergeCell ref="O48:O49"/>
    <mergeCell ref="N39:P39"/>
    <mergeCell ref="T31:U31"/>
    <mergeCell ref="T32:U32"/>
    <mergeCell ref="P48:P49"/>
    <mergeCell ref="N40:P40"/>
    <mergeCell ref="N41:P41"/>
    <mergeCell ref="T29:U29"/>
    <mergeCell ref="S3:S5"/>
    <mergeCell ref="M37:M38"/>
    <mergeCell ref="N37:P38"/>
    <mergeCell ref="T3:T5"/>
    <mergeCell ref="A3:D3"/>
    <mergeCell ref="E3:F3"/>
    <mergeCell ref="Q37:Q38"/>
    <mergeCell ref="A25:C25"/>
    <mergeCell ref="A26:C26"/>
    <mergeCell ref="A28:C28"/>
    <mergeCell ref="A11:C11"/>
    <mergeCell ref="A15:D15"/>
    <mergeCell ref="A19:C19"/>
    <mergeCell ref="A20:C20"/>
    <mergeCell ref="A22:C22"/>
    <mergeCell ref="A23:C23"/>
    <mergeCell ref="A24:C24"/>
    <mergeCell ref="A18:C18"/>
    <mergeCell ref="H3:J3"/>
    <mergeCell ref="J29:L29"/>
    <mergeCell ref="N46:P46"/>
    <mergeCell ref="I50:J50"/>
    <mergeCell ref="I51:J51"/>
    <mergeCell ref="L3:L5"/>
    <mergeCell ref="N3:N5"/>
    <mergeCell ref="M3:M5"/>
    <mergeCell ref="O3:O5"/>
    <mergeCell ref="P3:P5"/>
    <mergeCell ref="M16:M17"/>
    <mergeCell ref="N16:N17"/>
    <mergeCell ref="O16:O17"/>
    <mergeCell ref="P16:P17"/>
    <mergeCell ref="H28:I28"/>
    <mergeCell ref="I52:J52"/>
    <mergeCell ref="A4:C4"/>
    <mergeCell ref="A5:C5"/>
    <mergeCell ref="A6:C6"/>
    <mergeCell ref="A7:C7"/>
    <mergeCell ref="A8:C8"/>
    <mergeCell ref="A9:C9"/>
    <mergeCell ref="A10:C10"/>
    <mergeCell ref="A12:C12"/>
    <mergeCell ref="A13:C13"/>
    <mergeCell ref="A14:C14"/>
    <mergeCell ref="A16:C16"/>
    <mergeCell ref="A17:C17"/>
    <mergeCell ref="A21:D21"/>
    <mergeCell ref="Q2:R2"/>
    <mergeCell ref="N42:P42"/>
    <mergeCell ref="N43:P43"/>
    <mergeCell ref="N44:P44"/>
    <mergeCell ref="N45:P45"/>
    <mergeCell ref="M29:N29"/>
    <mergeCell ref="R3:R5"/>
    <mergeCell ref="Q3:Q5"/>
    <mergeCell ref="Q16:Q17"/>
  </mergeCells>
  <conditionalFormatting sqref="J25">
    <cfRule type="cellIs" dxfId="259" priority="12" operator="greaterThan">
      <formula>0.2</formula>
    </cfRule>
    <cfRule type="cellIs" dxfId="258" priority="13" operator="lessThan">
      <formula>0.2</formula>
    </cfRule>
  </conditionalFormatting>
  <conditionalFormatting sqref="J26">
    <cfRule type="cellIs" dxfId="257" priority="8" operator="greaterThan">
      <formula>0.01</formula>
    </cfRule>
    <cfRule type="cellIs" dxfId="256" priority="9" operator="lessThan">
      <formula>0.01</formula>
    </cfRule>
  </conditionalFormatting>
  <conditionalFormatting sqref="D12">
    <cfRule type="cellIs" dxfId="255" priority="5" operator="lessThan">
      <formula>50</formula>
    </cfRule>
  </conditionalFormatting>
  <conditionalFormatting sqref="D4:D10">
    <cfRule type="cellIs" dxfId="254" priority="4" operator="equal">
      <formula>0</formula>
    </cfRule>
  </conditionalFormatting>
  <conditionalFormatting sqref="D17">
    <cfRule type="cellIs" dxfId="253" priority="3" operator="equal">
      <formula>0</formula>
    </cfRule>
  </conditionalFormatting>
  <conditionalFormatting sqref="D13:D14 D18:D20">
    <cfRule type="cellIs" dxfId="252" priority="1" operator="greaterThan">
      <formula>800</formula>
    </cfRule>
    <cfRule type="expression" dxfId="251" priority="2">
      <formula>ISERROR(#N/A)</formula>
    </cfRule>
  </conditionalFormatting>
  <dataValidations count="1">
    <dataValidation type="decimal" allowBlank="1" showInputMessage="1" showErrorMessage="1" sqref="D12" xr:uid="{00000000-0002-0000-0200-000000000000}">
      <formula1>45</formula1>
      <formula2>160</formula2>
    </dataValidation>
  </dataValidations>
  <pageMargins left="0.21" right="0.5" top="0.74803149606299213" bottom="0.74803149606299213" header="0.31496062992125984" footer="0.31496062992125984"/>
  <pageSetup paperSize="9" scale="40" orientation="landscape" r:id="rId1"/>
  <ignoredErrors>
    <ignoredError sqref="P26:Q26" formula="1"/>
    <ignoredError sqref="F5 F13:F16 E20 F21:F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059" r:id="rId4" name="Kontrollkästchen 11">
              <controlPr defaultSize="0" autoFill="0" autoLine="0" autoPict="0">
                <anchor moveWithCells="1">
                  <from>
                    <xdr:col>12</xdr:col>
                    <xdr:colOff>1600200</xdr:colOff>
                    <xdr:row>41</xdr:row>
                    <xdr:rowOff>7620</xdr:rowOff>
                  </from>
                  <to>
                    <xdr:col>12</xdr:col>
                    <xdr:colOff>1965960</xdr:colOff>
                    <xdr:row>42</xdr:row>
                    <xdr:rowOff>76200</xdr:rowOff>
                  </to>
                </anchor>
              </controlPr>
            </control>
          </mc:Choice>
        </mc:AlternateContent>
        <mc:AlternateContent xmlns:mc="http://schemas.openxmlformats.org/markup-compatibility/2006">
          <mc:Choice Requires="x14">
            <control shapeId="2060" r:id="rId5" name="Kontrollkästchen 12">
              <controlPr defaultSize="0" autoFill="0" autoLine="0" autoPict="0">
                <anchor moveWithCells="1">
                  <from>
                    <xdr:col>12</xdr:col>
                    <xdr:colOff>1417320</xdr:colOff>
                    <xdr:row>41</xdr:row>
                    <xdr:rowOff>160020</xdr:rowOff>
                  </from>
                  <to>
                    <xdr:col>12</xdr:col>
                    <xdr:colOff>1790700</xdr:colOff>
                    <xdr:row>43</xdr:row>
                    <xdr:rowOff>45720</xdr:rowOff>
                  </to>
                </anchor>
              </controlPr>
            </control>
          </mc:Choice>
        </mc:AlternateContent>
        <mc:AlternateContent xmlns:mc="http://schemas.openxmlformats.org/markup-compatibility/2006">
          <mc:Choice Requires="x14">
            <control shapeId="2061" r:id="rId6" name="Kontrollkästchen 13">
              <controlPr defaultSize="0" autoFill="0" autoLine="0" autoPict="0">
                <anchor moveWithCells="1">
                  <from>
                    <xdr:col>12</xdr:col>
                    <xdr:colOff>1607820</xdr:colOff>
                    <xdr:row>41</xdr:row>
                    <xdr:rowOff>160020</xdr:rowOff>
                  </from>
                  <to>
                    <xdr:col>12</xdr:col>
                    <xdr:colOff>1981200</xdr:colOff>
                    <xdr:row>43</xdr:row>
                    <xdr:rowOff>76200</xdr:rowOff>
                  </to>
                </anchor>
              </controlPr>
            </control>
          </mc:Choice>
        </mc:AlternateContent>
        <mc:AlternateContent xmlns:mc="http://schemas.openxmlformats.org/markup-compatibility/2006">
          <mc:Choice Requires="x14">
            <control shapeId="2062" r:id="rId7" name="Kontrollkästchen 14">
              <controlPr defaultSize="0" autoFill="0" autoLine="0" autoPict="0">
                <anchor moveWithCells="1">
                  <from>
                    <xdr:col>12</xdr:col>
                    <xdr:colOff>1607820</xdr:colOff>
                    <xdr:row>42</xdr:row>
                    <xdr:rowOff>152400</xdr:rowOff>
                  </from>
                  <to>
                    <xdr:col>12</xdr:col>
                    <xdr:colOff>1981200</xdr:colOff>
                    <xdr:row>44</xdr:row>
                    <xdr:rowOff>45720</xdr:rowOff>
                  </to>
                </anchor>
              </controlPr>
            </control>
          </mc:Choice>
        </mc:AlternateContent>
        <mc:AlternateContent xmlns:mc="http://schemas.openxmlformats.org/markup-compatibility/2006">
          <mc:Choice Requires="x14">
            <control shapeId="2063" r:id="rId8" name="Kontrollkästchen 15">
              <controlPr defaultSize="0" autoFill="0" autoLine="0" autoPict="0">
                <anchor moveWithCells="1">
                  <from>
                    <xdr:col>12</xdr:col>
                    <xdr:colOff>1607820</xdr:colOff>
                    <xdr:row>43</xdr:row>
                    <xdr:rowOff>160020</xdr:rowOff>
                  </from>
                  <to>
                    <xdr:col>12</xdr:col>
                    <xdr:colOff>1981200</xdr:colOff>
                    <xdr:row>45</xdr:row>
                    <xdr:rowOff>45720</xdr:rowOff>
                  </to>
                </anchor>
              </controlPr>
            </control>
          </mc:Choice>
        </mc:AlternateContent>
        <mc:AlternateContent xmlns:mc="http://schemas.openxmlformats.org/markup-compatibility/2006">
          <mc:Choice Requires="x14">
            <control shapeId="2064" r:id="rId9" name="Kontrollkästchen 16">
              <controlPr defaultSize="0" autoFill="0" autoLine="0" autoPict="0">
                <anchor moveWithCells="1">
                  <from>
                    <xdr:col>12</xdr:col>
                    <xdr:colOff>1607820</xdr:colOff>
                    <xdr:row>44</xdr:row>
                    <xdr:rowOff>160020</xdr:rowOff>
                  </from>
                  <to>
                    <xdr:col>12</xdr:col>
                    <xdr:colOff>1981200</xdr:colOff>
                    <xdr:row>46</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3"/>
  <dimension ref="A1:AD59"/>
  <sheetViews>
    <sheetView topLeftCell="A4" zoomScale="80" zoomScaleNormal="80" workbookViewId="0">
      <selection activeCell="B39" sqref="B39"/>
    </sheetView>
  </sheetViews>
  <sheetFormatPr baseColWidth="10" defaultRowHeight="14.4" outlineLevelCol="1" x14ac:dyDescent="0.3"/>
  <cols>
    <col min="1" max="1" width="24.44140625" customWidth="1"/>
    <col min="2" max="2" width="7.109375" customWidth="1"/>
    <col min="3" max="3" width="6.5546875" customWidth="1"/>
    <col min="4" max="4" width="18" customWidth="1"/>
    <col min="5" max="5" width="25" customWidth="1"/>
    <col min="6" max="6" width="24.6640625" customWidth="1"/>
    <col min="7" max="7" width="3.33203125" customWidth="1"/>
    <col min="8" max="8" width="27.109375" customWidth="1"/>
    <col min="11" max="11" width="3" customWidth="1"/>
    <col min="12" max="12" width="18" customWidth="1"/>
    <col min="13" max="13" width="42.5546875" customWidth="1"/>
    <col min="14" max="14" width="18.6640625" customWidth="1"/>
    <col min="15" max="15" width="17" customWidth="1"/>
    <col min="16" max="16" width="18.44140625" customWidth="1"/>
    <col min="17" max="17" width="15" customWidth="1"/>
    <col min="18" max="18" width="13.6640625" customWidth="1"/>
    <col min="19" max="19" width="14.5546875" customWidth="1"/>
    <col min="20" max="20" width="15.33203125" customWidth="1"/>
    <col min="21" max="21" width="8.109375" customWidth="1" outlineLevel="1"/>
    <col min="22" max="22" width="8.6640625" customWidth="1" outlineLevel="1"/>
    <col min="23" max="23" width="8.88671875" customWidth="1" outlineLevel="1"/>
    <col min="24" max="24" width="16.6640625" customWidth="1" outlineLevel="1"/>
    <col min="25" max="25" width="12.6640625" customWidth="1" outlineLevel="1"/>
    <col min="26" max="26" width="9.109375" customWidth="1" outlineLevel="1"/>
    <col min="27" max="27" width="15" customWidth="1" outlineLevel="1"/>
    <col min="28" max="28" width="15.109375" customWidth="1" outlineLevel="1"/>
    <col min="29" max="29" width="15.33203125" customWidth="1"/>
    <col min="30" max="30" width="15.44140625" customWidth="1"/>
  </cols>
  <sheetData>
    <row r="1" spans="1:30" ht="21" x14ac:dyDescent="0.4">
      <c r="A1" s="58" t="str">
        <f>"Windpark "&amp;D4</f>
        <v>Windpark Remlingen</v>
      </c>
      <c r="B1" s="58"/>
      <c r="C1" s="58"/>
      <c r="D1" s="21"/>
      <c r="E1" s="51">
        <f ca="1">TODAY()</f>
        <v>43202</v>
      </c>
      <c r="F1" s="51"/>
      <c r="G1" s="22"/>
      <c r="H1" s="23"/>
      <c r="I1" s="23"/>
      <c r="J1" s="24"/>
      <c r="K1" s="21"/>
      <c r="L1" s="21"/>
      <c r="M1" s="268" t="s">
        <v>245</v>
      </c>
      <c r="N1" s="77"/>
      <c r="O1" s="21"/>
      <c r="P1" s="21"/>
      <c r="Q1" s="21"/>
      <c r="R1" s="21"/>
      <c r="S1" s="21"/>
      <c r="T1" s="21"/>
      <c r="U1" s="24"/>
      <c r="V1" s="24"/>
      <c r="W1" s="24"/>
      <c r="X1" s="24"/>
      <c r="Y1" s="24"/>
      <c r="Z1" s="24"/>
      <c r="AA1" s="24"/>
      <c r="AB1" s="24"/>
      <c r="AC1" s="24"/>
      <c r="AD1" s="24"/>
    </row>
    <row r="2" spans="1:30" x14ac:dyDescent="0.3">
      <c r="A2" s="3"/>
      <c r="B2" s="3"/>
      <c r="C2" s="3"/>
      <c r="D2" s="3"/>
      <c r="E2" s="3"/>
      <c r="F2" s="3"/>
      <c r="G2" s="383"/>
      <c r="H2" s="2"/>
      <c r="I2" s="2"/>
      <c r="J2" s="1"/>
      <c r="K2" s="4"/>
      <c r="L2" s="4"/>
      <c r="M2" s="25"/>
      <c r="N2" s="2"/>
      <c r="O2" s="2"/>
      <c r="P2" s="1"/>
      <c r="Q2" s="821" t="s">
        <v>500</v>
      </c>
      <c r="R2" s="822"/>
      <c r="S2" s="2"/>
      <c r="T2" s="2"/>
      <c r="U2" s="1"/>
      <c r="V2" s="1"/>
      <c r="W2" s="1"/>
      <c r="X2" s="1"/>
      <c r="Y2" s="1"/>
      <c r="Z2" s="1"/>
      <c r="AA2" s="1"/>
      <c r="AB2" s="1"/>
      <c r="AC2" s="1"/>
      <c r="AD2" s="1"/>
    </row>
    <row r="3" spans="1:30" x14ac:dyDescent="0.3">
      <c r="A3" s="801" t="s">
        <v>4</v>
      </c>
      <c r="B3" s="802"/>
      <c r="C3" s="802"/>
      <c r="D3" s="803"/>
      <c r="E3" s="804" t="s">
        <v>6</v>
      </c>
      <c r="F3" s="805"/>
      <c r="G3" s="383"/>
      <c r="H3" s="806" t="s">
        <v>7</v>
      </c>
      <c r="I3" s="807"/>
      <c r="J3" s="808"/>
      <c r="K3" s="26"/>
      <c r="L3" s="827" t="s">
        <v>502</v>
      </c>
      <c r="M3" s="836" t="s">
        <v>27</v>
      </c>
      <c r="N3" s="827" t="s">
        <v>168</v>
      </c>
      <c r="O3" s="827" t="s">
        <v>169</v>
      </c>
      <c r="P3" s="825" t="s">
        <v>7</v>
      </c>
      <c r="Q3" s="825" t="s">
        <v>177</v>
      </c>
      <c r="R3" s="825" t="s">
        <v>170</v>
      </c>
      <c r="S3" s="825" t="s">
        <v>171</v>
      </c>
      <c r="T3" s="825" t="s">
        <v>172</v>
      </c>
      <c r="U3" s="2"/>
      <c r="V3" s="2"/>
      <c r="W3" s="1"/>
      <c r="X3" s="1"/>
      <c r="Y3" s="1"/>
      <c r="Z3" s="1"/>
      <c r="AA3" s="1"/>
      <c r="AB3" s="1"/>
      <c r="AC3" s="825" t="s">
        <v>247</v>
      </c>
      <c r="AD3" s="825" t="s">
        <v>247</v>
      </c>
    </row>
    <row r="4" spans="1:30" x14ac:dyDescent="0.3">
      <c r="A4" s="781" t="s">
        <v>9</v>
      </c>
      <c r="B4" s="782"/>
      <c r="C4" s="782"/>
      <c r="D4" s="117" t="str">
        <f>Basisdaten!C13</f>
        <v>Remlingen</v>
      </c>
      <c r="E4" s="28" t="s">
        <v>16</v>
      </c>
      <c r="F4" s="126">
        <f>I4</f>
        <v>11088</v>
      </c>
      <c r="G4" s="383"/>
      <c r="H4" s="28" t="s">
        <v>213</v>
      </c>
      <c r="I4" s="141">
        <f>J4*D13*D7</f>
        <v>11088</v>
      </c>
      <c r="J4" s="154">
        <f>VWoGK!J4</f>
        <v>0.77</v>
      </c>
      <c r="K4" s="3"/>
      <c r="L4" s="828"/>
      <c r="M4" s="828"/>
      <c r="N4" s="835"/>
      <c r="O4" s="835"/>
      <c r="P4" s="826"/>
      <c r="Q4" s="826"/>
      <c r="R4" s="826"/>
      <c r="S4" s="826"/>
      <c r="T4" s="826"/>
      <c r="U4" s="2"/>
      <c r="V4" s="2"/>
      <c r="W4" s="1"/>
      <c r="X4" s="1"/>
      <c r="Y4" s="1"/>
      <c r="Z4" s="1"/>
      <c r="AA4" s="1"/>
      <c r="AB4" s="1"/>
      <c r="AC4" s="826"/>
      <c r="AD4" s="826"/>
    </row>
    <row r="5" spans="1:30" ht="41.4" x14ac:dyDescent="0.3">
      <c r="A5" s="781" t="s">
        <v>10</v>
      </c>
      <c r="B5" s="782"/>
      <c r="C5" s="782"/>
      <c r="D5" s="183" t="str">
        <f>Basisdaten!C5</f>
        <v>Mainova Windprak Remlingen GmbH &amp; Co. KG</v>
      </c>
      <c r="E5" s="31" t="s">
        <v>17</v>
      </c>
      <c r="F5" s="126">
        <f ca="1">I15</f>
        <v>90585.35714285713</v>
      </c>
      <c r="G5" s="383"/>
      <c r="H5" s="28" t="s">
        <v>123</v>
      </c>
      <c r="I5" s="116"/>
      <c r="J5" s="155">
        <f>VWoGK!J5</f>
        <v>50</v>
      </c>
      <c r="K5" s="3"/>
      <c r="L5" s="828"/>
      <c r="M5" s="828"/>
      <c r="N5" s="835"/>
      <c r="O5" s="835"/>
      <c r="P5" s="826"/>
      <c r="Q5" s="826"/>
      <c r="R5" s="826"/>
      <c r="S5" s="826"/>
      <c r="T5" s="826"/>
      <c r="U5" s="114" t="s">
        <v>74</v>
      </c>
      <c r="V5" s="114" t="s">
        <v>89</v>
      </c>
      <c r="W5" s="115" t="s">
        <v>90</v>
      </c>
      <c r="X5" s="115" t="s">
        <v>91</v>
      </c>
      <c r="Y5" s="115" t="s">
        <v>92</v>
      </c>
      <c r="Z5" s="115" t="s">
        <v>95</v>
      </c>
      <c r="AA5" s="115" t="s">
        <v>96</v>
      </c>
      <c r="AB5" s="115" t="s">
        <v>97</v>
      </c>
      <c r="AC5" s="826"/>
      <c r="AD5" s="826"/>
    </row>
    <row r="6" spans="1:30" x14ac:dyDescent="0.3">
      <c r="A6" s="781" t="s">
        <v>11</v>
      </c>
      <c r="B6" s="782"/>
      <c r="C6" s="782"/>
      <c r="D6" s="117" t="str">
        <f>Basisdaten!C31</f>
        <v>Nordex</v>
      </c>
      <c r="E6" s="31" t="s">
        <v>212</v>
      </c>
      <c r="F6" s="126">
        <f>I8</f>
        <v>184767.75</v>
      </c>
      <c r="G6" s="17"/>
      <c r="H6" s="28" t="s">
        <v>182</v>
      </c>
      <c r="I6" s="116"/>
      <c r="J6" s="181">
        <f>VWoGK!J6</f>
        <v>100</v>
      </c>
      <c r="K6" s="3"/>
      <c r="L6" s="657">
        <f>VWmGKmR!L6</f>
        <v>1</v>
      </c>
      <c r="M6" s="138" t="s">
        <v>2</v>
      </c>
      <c r="N6" s="140">
        <f ca="1">Q6/($D$24*$D$7)</f>
        <v>6.4999999999999988E-2</v>
      </c>
      <c r="O6" s="167">
        <f t="shared" ref="N6:O13" ca="1" si="0">R6/($D$24*$D$7)</f>
        <v>4.4285714285714296E-2</v>
      </c>
      <c r="P6" s="168">
        <f>VLOOKUP(D$10,Tabelle136[#All],2,FALSE)-5000</f>
        <v>180000</v>
      </c>
      <c r="Q6" s="169">
        <f ca="1">SUM(INDIRECT("Großkomponenten!CH"&amp;ROW(INDIRECT("Großkomponenten!CH"&amp;7+$D$25))):INDIRECT("Großkomponenten!CH"&amp;ROW(INDIRECT("Großkomponenten!CH"&amp;7+$D$25+$D$24-1))))*$D$7*L6</f>
        <v>5.4599999999999991</v>
      </c>
      <c r="R6" s="169">
        <f ca="1">SUM(INDIRECT("Großkomponenten!CG"&amp;ROW(INDIRECT("Großkomponenten!CG"&amp;7+$D$25))):INDIRECT("Großkomponenten!CG"&amp;ROW(INDIRECT("Großkomponenten!CG"&amp;7+$D$25+$D$24-1))))*$D$7*L6</f>
        <v>3.7200000000000006</v>
      </c>
      <c r="S6" s="170">
        <f ca="1">IF($U6=0,"kein Gewicht",$Q6*1.05*SUM($Z6,$AA6,$AB6))</f>
        <v>928746</v>
      </c>
      <c r="T6" s="170">
        <f ca="1">IF($U6=0,"kein Gewicht",$R6*1.05*SUM($Z6,$AA6,$AB6))</f>
        <v>632772.00000000012</v>
      </c>
      <c r="U6" s="2">
        <f>IF(V6="Nein",VLOOKUP(D$10,Tabelle77[#All],2,FALSE),VLOOKUP(D$10,Tabelle77[#All],10,FALSE))</f>
        <v>23</v>
      </c>
      <c r="V6" s="2" t="str">
        <f>VLOOKUP(D$10,Tabelle8[#All],2,FALSE)</f>
        <v>Nein</v>
      </c>
      <c r="W6" s="1">
        <f>VLOOKUP(D$10,Tabelle756[#All],2,FALSE)</f>
        <v>2</v>
      </c>
      <c r="X6"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140</v>
      </c>
      <c r="Y6" s="1">
        <f>IF(U6&lt;=Kranpreise!$C$5,Kranpreise!$C$5,IF(AND(U6&gt;Kranpreise!$C$5,U6&lt;=Kranpreise!$C$6),Kranpreise!$C$6,IF(AND(U6&gt;Kranpreise!$C$6,U6&lt;=Kranpreise!$C$7),Kranpreise!$C$7,IF(AND(U6&gt;Kranpreise!$C$7,U6&lt;=Kranpreise!$C$8),Kranpreise!$C$8,IF(AND(U6&gt;Kranpreise!$C$8,U6&lt;=Kranpreise!$C$9),Kranpreise!$C$9,IF(AND(U6&gt;Kranpreise!$C$9,U6&lt;=Kranpreise!$C$10),Kranpreise!$C$10,Kranpreise!$C$10))))))</f>
        <v>30</v>
      </c>
      <c r="Z6" s="1">
        <f>IF(W6=0,0,INDEX(Kranpreise!C$4:M$10,MATCH(Y6,Kranpreise!C$4:C$10,0),MATCH(X6,Kranpreise!C$4:M$4,0)))</f>
        <v>100000</v>
      </c>
      <c r="AA6" s="1">
        <f>IF(V6="Ja",Kranpreise!$F$22,0)</f>
        <v>0</v>
      </c>
      <c r="AB6" s="1">
        <f>W6*INDEX(Kranpreise!C$13:M$19,MATCH(Y6,Kranpreise!C$4:C$10,0),MATCH(X6,Kranpreise!C$4:M$4,0))</f>
        <v>62000</v>
      </c>
      <c r="AC6" s="170">
        <f ca="1">VLOOKUP(D$10,Tabelle13614[#All],2,FALSE)*Q6</f>
        <v>81899.999999999985</v>
      </c>
      <c r="AD6" s="170">
        <f ca="1">VLOOKUP(D$10,Tabelle13614[#All],2,FALSE)*R6</f>
        <v>55800.000000000007</v>
      </c>
    </row>
    <row r="7" spans="1:30" x14ac:dyDescent="0.3">
      <c r="A7" s="781" t="s">
        <v>12</v>
      </c>
      <c r="B7" s="782"/>
      <c r="C7" s="782"/>
      <c r="D7" s="117">
        <f>Basisdaten!C17</f>
        <v>6</v>
      </c>
      <c r="E7" s="31" t="s">
        <v>222</v>
      </c>
      <c r="F7" s="126">
        <f>I10</f>
        <v>12060</v>
      </c>
      <c r="G7" s="383"/>
      <c r="H7" s="27"/>
      <c r="I7" s="419" t="s">
        <v>251</v>
      </c>
      <c r="J7" s="420" t="s">
        <v>474</v>
      </c>
      <c r="K7" s="3"/>
      <c r="L7" s="658">
        <f>VWmGKmR!L7</f>
        <v>1</v>
      </c>
      <c r="M7" s="136" t="s">
        <v>0</v>
      </c>
      <c r="N7" s="140">
        <f ca="1">Q7/($D$24*$D$7)</f>
        <v>2.1428571428571425E-2</v>
      </c>
      <c r="O7" s="167">
        <f t="shared" ca="1" si="0"/>
        <v>1.7857142857142856E-2</v>
      </c>
      <c r="P7" s="168">
        <f>VLOOKUP(D$10,Tabelle136[#All],3,FALSE)-5000</f>
        <v>55000</v>
      </c>
      <c r="Q7" s="171">
        <f ca="1">SUM(INDIRECT("Großkomponenten!CJ"&amp;ROW(INDIRECT("Großkomponenten!CJ"&amp;7+$D$25))):INDIRECT("Großkomponenten!CJ"&amp;ROW(INDIRECT("Großkomponenten!CJ"&amp;7+$D$25+$D$24-1))))*$D$7*L7</f>
        <v>1.7999999999999998</v>
      </c>
      <c r="R7" s="171">
        <f ca="1">SUM(INDIRECT("Großkomponenten!CI"&amp;ROW(INDIRECT("Großkomponenten!CI"&amp;7+$D$25))):INDIRECT("Großkomponenten!CI"&amp;ROW(INDIRECT("Großkomponenten!CI"&amp;7+$D$25+$D$24-1))))*$D$7*L7</f>
        <v>1.4999999999999998</v>
      </c>
      <c r="S7" s="170">
        <f ca="1">IF($U7=0,"kein Gewicht",$Q7*1.05*SUM($Z7,$AA7,$AB7))</f>
        <v>89775</v>
      </c>
      <c r="T7" s="170">
        <f ca="1">IF($U7=0,"kein Gewicht",$R7*1.05*SUM($Z7,$AA7,$AB7))</f>
        <v>74812.499999999985</v>
      </c>
      <c r="U7" s="2">
        <f>IF(V7="Nein",VLOOKUP(D$10,Tabelle77[#All],4,FALSE),VLOOKUP(D$10,Tabelle77[#All],10,FALSE))</f>
        <v>11.5</v>
      </c>
      <c r="V7" s="2" t="str">
        <f>VLOOKUP(D$10,Tabelle8[#All],4,FALSE)</f>
        <v>Nein</v>
      </c>
      <c r="W7" s="1">
        <f>VLOOKUP(D$10,Tabelle756[#All],4,FALSE)</f>
        <v>1</v>
      </c>
      <c r="X7"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140</v>
      </c>
      <c r="Y7" s="1">
        <f>IF(U7&lt;=Kranpreise!$C$5,Kranpreise!$C$5,IF(AND(U7&gt;Kranpreise!$C$5,U7&lt;=Kranpreise!$C$6),Kranpreise!$C$6,IF(AND(U7&gt;Kranpreise!$C$6,U7&lt;=Kranpreise!$C$7),Kranpreise!$C$7,IF(AND(U7&gt;Kranpreise!$C$7,U7&lt;=Kranpreise!$C$8),Kranpreise!$C$8,IF(AND(U7&gt;Kranpreise!$C$8,U7&lt;=Kranpreise!$C$9),Kranpreise!$C$9,IF(AND(U7&gt;Kranpreise!$C$9,U7&lt;=Kranpreise!$C$10),Kranpreise!$C$10,Kranpreise!$C$10))))))</f>
        <v>17</v>
      </c>
      <c r="Z7" s="1">
        <f>IF(W7=0,0,INDEX(Kranpreise!C$4:M$10,MATCH(Y7,Kranpreise!C$4:C$10,0),MATCH(X7,Kranpreise!C$4:M$4,0)))</f>
        <v>42000</v>
      </c>
      <c r="AA7" s="1">
        <f>IF(V7="Ja",Kranpreise!$F$22,0)</f>
        <v>0</v>
      </c>
      <c r="AB7" s="1">
        <f>W7*INDEX(Kranpreise!C$13:M$19,MATCH(Y7,Kranpreise!C$4:C$10,0),MATCH(X7,Kranpreise!C$4:M$4,0))</f>
        <v>5500</v>
      </c>
      <c r="AC7" s="170">
        <f ca="1">VLOOKUP(D$10,Tabelle13614[#All],3,FALSE)*Q7</f>
        <v>18000</v>
      </c>
      <c r="AD7" s="170">
        <f ca="1">VLOOKUP(D$10,Tabelle13614[#All],3,FALSE)*R7</f>
        <v>14999.999999999998</v>
      </c>
    </row>
    <row r="8" spans="1:30" x14ac:dyDescent="0.3">
      <c r="A8" s="781" t="s">
        <v>103</v>
      </c>
      <c r="B8" s="782"/>
      <c r="C8" s="782"/>
      <c r="D8" s="117" t="str">
        <f>Basisdaten!C36</f>
        <v>Ja</v>
      </c>
      <c r="E8" s="31" t="s">
        <v>528</v>
      </c>
      <c r="F8" s="126">
        <f>(I11/D24)+(J11/D24*D7)</f>
        <v>0</v>
      </c>
      <c r="G8" s="383"/>
      <c r="H8" s="28" t="s">
        <v>181</v>
      </c>
      <c r="I8" s="141">
        <f>J8*D7</f>
        <v>184767.75</v>
      </c>
      <c r="J8" s="211">
        <f>VWoGK!F13-(VWoGK!I4/D7)</f>
        <v>30794.625</v>
      </c>
      <c r="K8" s="3"/>
      <c r="L8" s="137"/>
      <c r="M8" s="137" t="s">
        <v>28</v>
      </c>
      <c r="N8" s="140">
        <f t="shared" si="0"/>
        <v>0.19999999999999996</v>
      </c>
      <c r="O8" s="167">
        <f t="shared" si="0"/>
        <v>9.9999999999999978E-2</v>
      </c>
      <c r="P8" s="168">
        <f>VLOOKUP(D$10,Tabelle136[#All],4,FALSE)</f>
        <v>25000</v>
      </c>
      <c r="Q8" s="171">
        <f>ROUNDDOWN(D$24/5,1)*D$7</f>
        <v>16.799999999999997</v>
      </c>
      <c r="R8" s="171">
        <f>ROUNDDOWN(D$24/10,1)*D$7</f>
        <v>8.3999999999999986</v>
      </c>
      <c r="S8" s="308">
        <v>0</v>
      </c>
      <c r="T8" s="308">
        <v>0</v>
      </c>
      <c r="U8" s="2">
        <f>IF(V8="Nein",VLOOKUP(D$10,Tabelle77[#All],11,FALSE),VLOOKUP(D$10,Tabelle77[#All],10,FALSE))</f>
        <v>15</v>
      </c>
      <c r="V8" s="2" t="str">
        <f>VLOOKUP(D$10,Tabelle8[#All],11,FALSE)</f>
        <v>Nein</v>
      </c>
      <c r="W8" s="1">
        <f>VLOOKUP(D$10,Tabelle756[#All],11,FALSE)</f>
        <v>1</v>
      </c>
      <c r="X8"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140</v>
      </c>
      <c r="Y8" s="1">
        <f>IF(U8&lt;=Kranpreise!$C$5,Kranpreise!$C$5,IF(AND(U8&gt;Kranpreise!$C$5,U8&lt;=Kranpreise!$C$6),Kranpreise!$C$6,IF(AND(U8&gt;Kranpreise!$C$6,U8&lt;=Kranpreise!$C$7),Kranpreise!$C$7,IF(AND(U8&gt;Kranpreise!$C$7,U8&lt;=Kranpreise!$C$8),Kranpreise!$C$8,IF(AND(U8&gt;Kranpreise!$C$8,U8&lt;=Kranpreise!$C$9),Kranpreise!$C$9,IF(AND(U8&gt;Kranpreise!$C$9,U8&lt;=Kranpreise!$C$10),Kranpreise!$C$10,Kranpreise!$C$10))))))</f>
        <v>17</v>
      </c>
      <c r="Z8" s="1">
        <f>IF(W8=0,0,INDEX(Kranpreise!C$4:M$10,MATCH(Y8,Kranpreise!C$4:C$10,0),MATCH(X8,Kranpreise!C$4:M$4,0)))</f>
        <v>42000</v>
      </c>
      <c r="AA8" s="1">
        <f>IF(V8="Ja",Kranpreise!$F$22,0)</f>
        <v>0</v>
      </c>
      <c r="AB8" s="1">
        <f>W8*INDEX(Kranpreise!C$13:M$19,MATCH(Y8,Kranpreise!C$4:C$10,0),MATCH(X8,Kranpreise!C$4:M$4,0))</f>
        <v>5500</v>
      </c>
      <c r="AC8" s="170">
        <f>VLOOKUP(D$10,Tabelle13614[#All],4,FALSE)*Q8</f>
        <v>0</v>
      </c>
      <c r="AD8" s="170">
        <f>VLOOKUP(D$10,Tabelle13614[#All],4,FALSE)*R8</f>
        <v>0</v>
      </c>
    </row>
    <row r="9" spans="1:30" x14ac:dyDescent="0.3">
      <c r="A9" s="781" t="s">
        <v>184</v>
      </c>
      <c r="B9" s="782"/>
      <c r="C9" s="782"/>
      <c r="D9" s="117" t="str">
        <f>Basisdaten!C37</f>
        <v>Rohrturm</v>
      </c>
      <c r="E9" s="31" t="s">
        <v>529</v>
      </c>
      <c r="F9" s="126">
        <f>(I12/D24)+(J12/D24*D7)</f>
        <v>0</v>
      </c>
      <c r="G9" s="383"/>
      <c r="H9" s="28" t="s">
        <v>223</v>
      </c>
      <c r="I9" s="116"/>
      <c r="J9" s="118">
        <f>VLOOKUP(D10,Tabelle4[#All],4,FALSE)</f>
        <v>35750</v>
      </c>
      <c r="K9" s="80"/>
      <c r="L9" s="137"/>
      <c r="M9" s="137" t="s">
        <v>29</v>
      </c>
      <c r="N9" s="140">
        <f>Q9/($D$24*$D$7)</f>
        <v>2.3809523809523808E-2</v>
      </c>
      <c r="O9" s="167">
        <f t="shared" si="0"/>
        <v>1.7857142857142856E-2</v>
      </c>
      <c r="P9" s="168">
        <f>VLOOKUP(D$10,Tabelle136[#All],5,FALSE)-5000</f>
        <v>30000</v>
      </c>
      <c r="Q9" s="171">
        <f>D7/3</f>
        <v>2</v>
      </c>
      <c r="R9" s="171">
        <f>D7/4</f>
        <v>1.5</v>
      </c>
      <c r="S9" s="170">
        <f>IF($U9=0,"kein Gewicht",$Q9*1.05*SUM($Z9,$AA9,$AB9))</f>
        <v>0</v>
      </c>
      <c r="T9" s="170">
        <f>IF($U9=0,"kein Gewicht",$R9*1.05*SUM($Z9,$AA9,$AB9))</f>
        <v>0</v>
      </c>
      <c r="U9" s="2">
        <f>IF(V9="Nein",VLOOKUP(D$10,Tabelle77[#All],5,FALSE),VLOOKUP(D$10,Tabelle77[#All],10,FALSE))</f>
        <v>25</v>
      </c>
      <c r="V9" s="2" t="str">
        <f>VLOOKUP(D$10,Tabelle8[#All],5,FALSE)</f>
        <v>Nein</v>
      </c>
      <c r="W9" s="1">
        <f>VLOOKUP(D$10,Tabelle756[#All],5,FALSE)</f>
        <v>0</v>
      </c>
      <c r="X9"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140</v>
      </c>
      <c r="Y9" s="1">
        <f>IF(U9&lt;=Kranpreise!$C$5,Kranpreise!$C$5,IF(AND(U9&gt;Kranpreise!$C$5,U9&lt;=Kranpreise!$C$6),Kranpreise!$C$6,IF(AND(U9&gt;Kranpreise!$C$6,U9&lt;=Kranpreise!$C$7),Kranpreise!$C$7,IF(AND(U9&gt;Kranpreise!$C$7,U9&lt;=Kranpreise!$C$8),Kranpreise!$C$8,IF(AND(U9&gt;Kranpreise!$C$8,U9&lt;=Kranpreise!$C$9),Kranpreise!$C$9,IF(AND(U9&gt;Kranpreise!$C$9,U9&lt;=Kranpreise!$C$10),Kranpreise!$C$10,Kranpreise!$C$10))))))</f>
        <v>30</v>
      </c>
      <c r="Z9" s="1">
        <f>IF(W9=0,0,INDEX(Kranpreise!C$4:M$10,MATCH(Y9,Kranpreise!C$4:C$10,0),MATCH(X9,Kranpreise!C$4:M$4,0)))</f>
        <v>0</v>
      </c>
      <c r="AA9" s="1">
        <f>IF(V9="Ja",Kranpreise!$F$22,0)</f>
        <v>0</v>
      </c>
      <c r="AB9" s="1">
        <f>W9*INDEX(Kranpreise!C$13:M$19,MATCH(Y9,Kranpreise!C$4:C$10,0),MATCH(X9,Kranpreise!C$4:M$4,0))</f>
        <v>0</v>
      </c>
      <c r="AC9" s="170">
        <f>VLOOKUP(D$10,Tabelle13614[#All],5,FALSE)*Q9</f>
        <v>5000</v>
      </c>
      <c r="AD9" s="170">
        <f>VLOOKUP(D$10,Tabelle13614[#All],5,FALSE)*R9</f>
        <v>3750</v>
      </c>
    </row>
    <row r="10" spans="1:30" x14ac:dyDescent="0.3">
      <c r="A10" s="781" t="s">
        <v>3</v>
      </c>
      <c r="B10" s="782"/>
      <c r="C10" s="782"/>
      <c r="D10" s="117" t="str">
        <f>Basisdaten!C32</f>
        <v>N117/2400</v>
      </c>
      <c r="E10" s="31"/>
      <c r="F10" s="29"/>
      <c r="G10" s="383"/>
      <c r="H10" s="28" t="s">
        <v>222</v>
      </c>
      <c r="I10" s="141">
        <f>J10*D7</f>
        <v>12060</v>
      </c>
      <c r="J10" s="211">
        <f>P56</f>
        <v>2010</v>
      </c>
      <c r="K10" s="3"/>
      <c r="L10" s="137"/>
      <c r="M10" s="137" t="s">
        <v>30</v>
      </c>
      <c r="N10" s="140">
        <f t="shared" si="0"/>
        <v>0</v>
      </c>
      <c r="O10" s="167">
        <f t="shared" si="0"/>
        <v>0</v>
      </c>
      <c r="P10" s="168">
        <f>VLOOKUP(D$10,Tabelle136[#All],6,FALSE)</f>
        <v>37500</v>
      </c>
      <c r="Q10" s="172">
        <v>0</v>
      </c>
      <c r="R10" s="171">
        <v>0</v>
      </c>
      <c r="S10" s="170">
        <f>IF($U10=0,"kein Gewicht",$Q10*1.05*SUM($Z10,$AA10,$AB10))</f>
        <v>0</v>
      </c>
      <c r="T10" s="170">
        <f>IF($U10=0,"kein Gewicht",$R10*1.05*SUM($Z10,$AA10,$AB10))</f>
        <v>0</v>
      </c>
      <c r="U10" s="2">
        <f>IF(V10="Nein",VLOOKUP(D$10,Tabelle77[#All],6,FALSE),VLOOKUP(D$10,Tabelle77[#All],10,FALSE))</f>
        <v>65</v>
      </c>
      <c r="V10" s="2" t="str">
        <f>VLOOKUP(D$10,Tabelle8[#All],6,FALSE)</f>
        <v>Ja</v>
      </c>
      <c r="W10" s="1">
        <f>VLOOKUP(D$10,Tabelle756[#All],6,FALSE)</f>
        <v>2</v>
      </c>
      <c r="X10"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140</v>
      </c>
      <c r="Y10" s="1">
        <f>IF(U10&lt;=Kranpreise!$C$5,Kranpreise!$C$5,IF(AND(U10&gt;Kranpreise!$C$5,U10&lt;=Kranpreise!$C$6),Kranpreise!$C$6,IF(AND(U10&gt;Kranpreise!$C$6,U10&lt;=Kranpreise!$C$7),Kranpreise!$C$7,IF(AND(U10&gt;Kranpreise!$C$7,U10&lt;=Kranpreise!$C$8),Kranpreise!$C$8,IF(AND(U10&gt;Kranpreise!$C$8,U10&lt;=Kranpreise!$C$9),Kranpreise!$C$9,IF(AND(U10&gt;Kranpreise!$C$9,U10&lt;=Kranpreise!$C$10),Kranpreise!$C$10,Kranpreise!$C$10))))))</f>
        <v>65</v>
      </c>
      <c r="Z10" s="1">
        <f>IF(W10=0,0,INDEX(Kranpreise!C$4:M$10,MATCH(Y10,Kranpreise!C$4:C$10,0),MATCH(X10,Kranpreise!C$4:M$4,0)))</f>
        <v>100000</v>
      </c>
      <c r="AA10" s="1">
        <f>IF(V10="Ja",Kranpreise!$F$22,0)</f>
        <v>1850</v>
      </c>
      <c r="AB10" s="1">
        <f>W10*INDEX(Kranpreise!C$13:M$19,MATCH(Y10,Kranpreise!C$4:C$10,0),MATCH(X10,Kranpreise!C$4:M$4,0))</f>
        <v>62000</v>
      </c>
      <c r="AC10" s="170">
        <f>VLOOKUP(D$10,Tabelle13614[#All],6,FALSE)*Q10</f>
        <v>0</v>
      </c>
      <c r="AD10" s="170">
        <f>VLOOKUP(D$10,Tabelle13614[#All],6,FALSE)*R10</f>
        <v>0</v>
      </c>
    </row>
    <row r="11" spans="1:30" x14ac:dyDescent="0.3">
      <c r="A11" s="781" t="s">
        <v>305</v>
      </c>
      <c r="B11" s="782"/>
      <c r="C11" s="782"/>
      <c r="D11" s="117" t="str">
        <f>VLOOKUP(D10,Tabelle4[#All],3,FALSE)</f>
        <v>N117</v>
      </c>
      <c r="E11" s="31"/>
      <c r="F11" s="29"/>
      <c r="G11" s="383"/>
      <c r="H11" s="28" t="s">
        <v>435</v>
      </c>
      <c r="I11" s="353">
        <f>VWoGK!I10</f>
        <v>0</v>
      </c>
      <c r="J11" s="422">
        <f>VWoGK!J10</f>
        <v>0</v>
      </c>
      <c r="K11" s="3"/>
      <c r="L11" s="136"/>
      <c r="M11" s="136" t="s">
        <v>31</v>
      </c>
      <c r="N11" s="140">
        <f t="shared" si="0"/>
        <v>0</v>
      </c>
      <c r="O11" s="167">
        <f t="shared" si="0"/>
        <v>0</v>
      </c>
      <c r="P11" s="168">
        <f>VLOOKUP(D$10,Tabelle136[#All],7,FALSE)</f>
        <v>60000</v>
      </c>
      <c r="Q11" s="173">
        <v>0</v>
      </c>
      <c r="R11" s="171">
        <v>0</v>
      </c>
      <c r="S11" s="170">
        <f>IF($U11=0,"kein Gewicht",$Q11*1.05*SUM($Z11,$AA11,$AB11))</f>
        <v>0</v>
      </c>
      <c r="T11" s="170">
        <f>IF($U11=0,"kein Gewicht",$R11*1.05*SUM($Z11,$AA11,$AB11))</f>
        <v>0</v>
      </c>
      <c r="U11" s="2">
        <f>VLOOKUP(D$10,Tabelle77[#All],10,FALSE)</f>
        <v>65</v>
      </c>
      <c r="V11" s="2" t="str">
        <f>VLOOKUP(D$10,Tabelle8[#All],7,FALSE)</f>
        <v>Ja</v>
      </c>
      <c r="W11" s="1">
        <f>VLOOKUP(D$10,Tabelle756[#All],7,FALSE)</f>
        <v>3</v>
      </c>
      <c r="X11"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140</v>
      </c>
      <c r="Y11" s="1">
        <f>IF(U11&lt;=Kranpreise!$C$5,Kranpreise!$C$5,IF(AND(U11&gt;Kranpreise!$C$5,U11&lt;=Kranpreise!$C$6),Kranpreise!$C$6,IF(AND(U11&gt;Kranpreise!$C$6,U11&lt;=Kranpreise!$C$7),Kranpreise!$C$7,IF(AND(U11&gt;Kranpreise!$C$7,U11&lt;=Kranpreise!$C$8),Kranpreise!$C$8,IF(AND(U11&gt;Kranpreise!$C$8,U11&lt;=Kranpreise!$C$9),Kranpreise!$C$9,IF(AND(U11&gt;Kranpreise!$C$9,U11&lt;=Kranpreise!$C$10),Kranpreise!$C$10,Kranpreise!$C$10))))))</f>
        <v>65</v>
      </c>
      <c r="Z11" s="1">
        <f>IF(W11=0,0,INDEX(Kranpreise!C$4:M$10,MATCH(Y11,Kranpreise!C$4:C$10,0),MATCH(X11,Kranpreise!C$4:M$4,0)))</f>
        <v>100000</v>
      </c>
      <c r="AA11" s="1">
        <f>IF(V11="Ja",Kranpreise!$F$22,0)</f>
        <v>1850</v>
      </c>
      <c r="AB11" s="1">
        <f>W11*INDEX(Kranpreise!C$13:M$19,MATCH(Y11,Kranpreise!C$4:C$10,0),MATCH(X11,Kranpreise!C$4:M$4,0))</f>
        <v>93000</v>
      </c>
      <c r="AC11" s="170">
        <f>VLOOKUP(D$10,Tabelle13614[#All],7,FALSE)*Q11</f>
        <v>0</v>
      </c>
      <c r="AD11" s="170">
        <f>VLOOKUP(D$10,Tabelle13614[#All],7,FALSE)*R11</f>
        <v>0</v>
      </c>
    </row>
    <row r="12" spans="1:30" x14ac:dyDescent="0.3">
      <c r="A12" s="781" t="s">
        <v>94</v>
      </c>
      <c r="B12" s="782"/>
      <c r="C12" s="782"/>
      <c r="D12" s="187">
        <f>Basisdaten!C35</f>
        <v>140</v>
      </c>
      <c r="E12" s="36" t="s">
        <v>18</v>
      </c>
      <c r="F12" s="127">
        <f ca="1">SUM(F4:F9)</f>
        <v>298501.10714285716</v>
      </c>
      <c r="G12" s="37"/>
      <c r="H12" s="28" t="s">
        <v>475</v>
      </c>
      <c r="I12" s="353">
        <f>VWoGK!I11</f>
        <v>0</v>
      </c>
      <c r="J12" s="421">
        <f>VWoGK!J11</f>
        <v>0</v>
      </c>
      <c r="K12" s="3"/>
      <c r="L12" s="136"/>
      <c r="M12" s="136" t="s">
        <v>32</v>
      </c>
      <c r="N12" s="140">
        <f t="shared" si="0"/>
        <v>0</v>
      </c>
      <c r="O12" s="167">
        <f t="shared" si="0"/>
        <v>0</v>
      </c>
      <c r="P12" s="168">
        <f>VLOOKUP(D$10,Tabelle136[#All],8,FALSE)</f>
        <v>33000</v>
      </c>
      <c r="Q12" s="173">
        <v>0</v>
      </c>
      <c r="R12" s="171">
        <v>0</v>
      </c>
      <c r="S12" s="170">
        <f>IF($U12=0,"kein Gewicht",$Q12*1.05*SUM($Z12,$AA12,$AB12))</f>
        <v>0</v>
      </c>
      <c r="T12" s="170">
        <f>IF($U12=0,"kein Gewicht",$R12*1.05*SUM($Z12,$AA12,$AB12))</f>
        <v>0</v>
      </c>
      <c r="U12" s="2">
        <f>IF(V12="Nein",VLOOKUP(D$10,Tabelle77[#All],8,FALSE),VLOOKUP(D$10,Tabelle77[#All],10,FALSE))</f>
        <v>2</v>
      </c>
      <c r="V12" s="2" t="str">
        <f>VLOOKUP(D$10,Tabelle8[#All],8,FALSE)</f>
        <v>Nein</v>
      </c>
      <c r="W12" s="1">
        <f>VLOOKUP(D$10,Tabelle756[#All],8,FALSE)</f>
        <v>0</v>
      </c>
      <c r="X12"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140</v>
      </c>
      <c r="Y12" s="1">
        <f>IF(U12&lt;=Kranpreise!$C$5,Kranpreise!$C$5,IF(AND(U12&gt;Kranpreise!$C$5,U12&lt;=Kranpreise!$C$6),Kranpreise!$C$6,IF(AND(U12&gt;Kranpreise!$C$6,U12&lt;=Kranpreise!$C$7),Kranpreise!$C$7,IF(AND(U12&gt;Kranpreise!$C$7,U12&lt;=Kranpreise!$C$8),Kranpreise!$C$8,IF(AND(U12&gt;Kranpreise!$C$8,U12&lt;=Kranpreise!$C$9),Kranpreise!$C$9,IF(AND(U12&gt;Kranpreise!$C$9,U12&lt;=Kranpreise!$C$10),Kranpreise!$C$10,Kranpreise!$C$10))))))</f>
        <v>7</v>
      </c>
      <c r="Z12" s="1">
        <f>IF(W12=0,0,INDEX(Kranpreise!C$4:M$10,MATCH(Y12,Kranpreise!C$4:C$10,0),MATCH(X12,Kranpreise!C$4:M$4,0)))</f>
        <v>0</v>
      </c>
      <c r="AA12" s="1">
        <f>IF(V12="Ja",Kranpreise!$F$22,0)</f>
        <v>0</v>
      </c>
      <c r="AB12" s="1">
        <f>W12*INDEX(Kranpreise!C$13:M$19,MATCH(Y12,Kranpreise!C$4:C$10,0),MATCH(X12,Kranpreise!C$4:M$4,0))</f>
        <v>0</v>
      </c>
      <c r="AC12" s="170">
        <f>VLOOKUP(D$10,Tabelle13614[#All],8,FALSE)*Q12</f>
        <v>0</v>
      </c>
      <c r="AD12" s="170">
        <f>VLOOKUP(D$10,Tabelle13614[#All],8,FALSE)*R12</f>
        <v>0</v>
      </c>
    </row>
    <row r="13" spans="1:30" ht="15" thickBot="1" x14ac:dyDescent="0.35">
      <c r="A13" s="781" t="s">
        <v>520</v>
      </c>
      <c r="B13" s="782"/>
      <c r="C13" s="782"/>
      <c r="D13" s="161">
        <f>VLOOKUP(D10,Anlageninfo!G4:H25,2,FALSE)</f>
        <v>2400</v>
      </c>
      <c r="E13" s="28" t="s">
        <v>19</v>
      </c>
      <c r="F13" s="126">
        <f ca="1">F12/D7</f>
        <v>49750.184523809527</v>
      </c>
      <c r="G13" s="383"/>
      <c r="H13" s="28"/>
      <c r="I13" s="119"/>
      <c r="J13" s="117"/>
      <c r="K13" s="38"/>
      <c r="L13" s="658">
        <f>VWmGKmR!L13</f>
        <v>1</v>
      </c>
      <c r="M13" s="136" t="s">
        <v>33</v>
      </c>
      <c r="N13" s="140">
        <f t="shared" ca="1" si="0"/>
        <v>2.1428571428571425E-2</v>
      </c>
      <c r="O13" s="167">
        <f t="shared" ca="1" si="0"/>
        <v>1.7857142857142856E-2</v>
      </c>
      <c r="P13" s="168">
        <f>VLOOKUP(D$10,Tabelle136[#All],9,FALSE)</f>
        <v>45000</v>
      </c>
      <c r="Q13" s="174">
        <f ca="1">SUM(INDIRECT("Großkomponenten!CL"&amp;ROW(INDIRECT("Großkomponenten!CL"&amp;7+$D$25))):INDIRECT("Großkomponenten!CL"&amp;ROW(INDIRECT("Großkomponenten!CL"&amp;7+$D$25+$D$24-1))))*$D$7*L13</f>
        <v>1.7999999999999998</v>
      </c>
      <c r="R13" s="171">
        <f ca="1">SUM(INDIRECT("Großkomponenten!CK"&amp;ROW(INDIRECT("Großkomponenten!CK"&amp;7+$D$25))):INDIRECT("Großkomponenten!CK"&amp;ROW(INDIRECT("Großkomponenten!CK"&amp;7+$D$25+$D$24-1))))*$D$7*L13</f>
        <v>1.4999999999999998</v>
      </c>
      <c r="S13" s="170">
        <f ca="1">IF($U13=0,"kein Gewicht",$Q13*1.05*SUM($Z13,$AA13,$AB13))</f>
        <v>368266.5</v>
      </c>
      <c r="T13" s="170">
        <f ca="1">IF($U13=0,"kein Gewicht",$R13*1.05*SUM($Z13,$AA13,$AB13))</f>
        <v>306888.74999999994</v>
      </c>
      <c r="U13" s="2">
        <f>IF(V13="Nein",VLOOKUP(D$10,Tabelle77[#All],9,FALSE),VLOOKUP(D$10,Tabelle77[#All],10,FALSE))</f>
        <v>65</v>
      </c>
      <c r="V13" s="350" t="str">
        <f>VLOOKUP(D$10,Großkomponenten!$BA$5:$BK$38,3,FALSE)</f>
        <v>Ja</v>
      </c>
      <c r="W13" s="1">
        <f>VLOOKUP(D$10,Tabelle756[#All],3,FALSE)</f>
        <v>3</v>
      </c>
      <c r="X13"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140</v>
      </c>
      <c r="Y13" s="1">
        <f>IF(U13&lt;=Kranpreise!$C$5,Kranpreise!$C$5,IF(AND(U13&gt;Kranpreise!$C$5,U13&lt;=Kranpreise!$C$6),Kranpreise!$C$6,IF(AND(U13&gt;Kranpreise!$C$6,U13&lt;=Kranpreise!$C$7),Kranpreise!$C$7,IF(AND(U13&gt;Kranpreise!$C$7,U13&lt;=Kranpreise!$C$8),Kranpreise!$C$8,IF(AND(U13&gt;Kranpreise!$C$8,U13&lt;=Kranpreise!$C$9),Kranpreise!$C$9,IF(AND(U13&gt;Kranpreise!$C$9,U13&lt;=Kranpreise!$C$10),Kranpreise!$C$10,Kranpreise!$C$10))))))</f>
        <v>65</v>
      </c>
      <c r="Z13" s="1">
        <f>IF(W13=0,0,INDEX(Kranpreise!C$4:M$10,MATCH(Y13,Kranpreise!C$4:C$10,0),MATCH(X13,Kranpreise!C$4:M$4,0)))</f>
        <v>100000</v>
      </c>
      <c r="AA13" s="1">
        <f>IF(V13="Ja",Kranpreise!$F$22,0)</f>
        <v>1850</v>
      </c>
      <c r="AB13" s="1">
        <f>W13*INDEX(Kranpreise!C13:M19,MATCH(Y13,Kranpreise!C4:C10,0),MATCH(X13,Kranpreise!C4:M4,0))</f>
        <v>93000</v>
      </c>
      <c r="AC13" s="170">
        <f ca="1">VLOOKUP(D$10,Tabelle13614[#All],9,FALSE)*Q13</f>
        <v>36000</v>
      </c>
      <c r="AD13" s="170">
        <f ca="1">VLOOKUP(D$10,Tabelle13614[#All],9,FALSE)*R13</f>
        <v>29999.999999999996</v>
      </c>
    </row>
    <row r="14" spans="1:30" ht="15" thickTop="1" x14ac:dyDescent="0.3">
      <c r="A14" s="783" t="s">
        <v>521</v>
      </c>
      <c r="B14" s="784"/>
      <c r="C14" s="784"/>
      <c r="D14" s="33">
        <f>D13/1000*1250000</f>
        <v>3000000</v>
      </c>
      <c r="E14" s="28" t="s">
        <v>20</v>
      </c>
      <c r="F14" s="126">
        <f ca="1">F13/(D13/1000)</f>
        <v>20729.243551587304</v>
      </c>
      <c r="G14" s="383"/>
      <c r="H14" s="36" t="s">
        <v>25</v>
      </c>
      <c r="I14" s="144">
        <f>SUM(I4:I12)</f>
        <v>207915.75</v>
      </c>
      <c r="J14" s="117"/>
      <c r="K14" s="4"/>
      <c r="L14" s="139"/>
      <c r="M14" s="139" t="s">
        <v>34</v>
      </c>
      <c r="N14" s="380"/>
      <c r="O14" s="175"/>
      <c r="P14" s="176"/>
      <c r="Q14" s="177"/>
      <c r="R14" s="177"/>
      <c r="S14" s="178">
        <f ca="1">SUM(S6:S13)</f>
        <v>1386787.5</v>
      </c>
      <c r="T14" s="178">
        <f ca="1">SUM(T6:T13)</f>
        <v>1014473.25</v>
      </c>
      <c r="U14" s="2"/>
      <c r="V14" s="1"/>
      <c r="W14" s="1"/>
      <c r="X14" s="1"/>
      <c r="Y14" s="1"/>
      <c r="Z14" s="1"/>
      <c r="AA14" s="1"/>
      <c r="AB14" s="1"/>
      <c r="AC14" s="178">
        <f ca="1">SUM(AC6:AC13)</f>
        <v>140900</v>
      </c>
      <c r="AD14" s="178">
        <f ca="1">SUM(AD6:AD13)</f>
        <v>104550</v>
      </c>
    </row>
    <row r="15" spans="1:30" x14ac:dyDescent="0.3">
      <c r="A15" s="801" t="s">
        <v>5</v>
      </c>
      <c r="B15" s="802"/>
      <c r="C15" s="802"/>
      <c r="D15" s="803"/>
      <c r="E15" s="28" t="s">
        <v>21</v>
      </c>
      <c r="F15" s="128" t="e">
        <f ca="1">F12/D19</f>
        <v>#DIV/0!</v>
      </c>
      <c r="G15" s="383"/>
      <c r="H15" s="28" t="s">
        <v>17</v>
      </c>
      <c r="I15" s="141">
        <f ca="1">N34</f>
        <v>90585.35714285713</v>
      </c>
      <c r="J15" s="132">
        <f ca="1">N35</f>
        <v>0.43568299728547322</v>
      </c>
      <c r="K15" s="4"/>
      <c r="L15" s="4"/>
      <c r="M15" s="83"/>
      <c r="N15" s="39"/>
      <c r="O15" s="8"/>
      <c r="P15" s="59"/>
      <c r="Q15" s="2"/>
      <c r="R15" s="2"/>
      <c r="S15" s="1"/>
      <c r="T15" s="1"/>
      <c r="U15" s="1"/>
      <c r="V15" s="1"/>
      <c r="W15" s="1"/>
      <c r="X15" s="1"/>
      <c r="Y15" s="1"/>
      <c r="Z15" s="1"/>
      <c r="AA15" s="1"/>
      <c r="AB15" s="1"/>
      <c r="AC15" s="1"/>
      <c r="AD15" s="1"/>
    </row>
    <row r="16" spans="1:30" x14ac:dyDescent="0.3">
      <c r="A16" s="781" t="s">
        <v>518</v>
      </c>
      <c r="B16" s="782"/>
      <c r="C16" s="782"/>
      <c r="D16" s="377">
        <f>VWoGK!D15</f>
        <v>0</v>
      </c>
      <c r="E16" s="378" t="s">
        <v>22</v>
      </c>
      <c r="F16" s="129" t="e">
        <f ca="1">F12/D20</f>
        <v>#DIV/0!</v>
      </c>
      <c r="G16" s="383"/>
      <c r="H16" s="120"/>
      <c r="I16" s="116"/>
      <c r="J16" s="121"/>
      <c r="K16" s="4"/>
      <c r="L16" s="4"/>
      <c r="M16" s="836" t="s">
        <v>50</v>
      </c>
      <c r="N16" s="827" t="s">
        <v>173</v>
      </c>
      <c r="O16" s="827" t="s">
        <v>174</v>
      </c>
      <c r="P16" s="825" t="s">
        <v>175</v>
      </c>
      <c r="Q16" s="827" t="s">
        <v>176</v>
      </c>
      <c r="R16" s="2"/>
      <c r="S16" s="1"/>
      <c r="T16" s="1"/>
      <c r="U16" s="1"/>
      <c r="V16" s="1"/>
      <c r="W16" s="1"/>
      <c r="X16" s="1"/>
      <c r="Y16" s="1"/>
      <c r="Z16" s="1"/>
      <c r="AA16" s="1"/>
      <c r="AB16" s="1"/>
      <c r="AC16" s="1"/>
      <c r="AD16" s="1"/>
    </row>
    <row r="17" spans="1:30" x14ac:dyDescent="0.3">
      <c r="A17" s="781" t="s">
        <v>509</v>
      </c>
      <c r="B17" s="782"/>
      <c r="C17" s="782"/>
      <c r="D17" s="188">
        <f>Basisdaten!C54</f>
        <v>0</v>
      </c>
      <c r="E17" s="41"/>
      <c r="F17" s="42"/>
      <c r="G17" s="383"/>
      <c r="H17" s="41"/>
      <c r="I17" s="122"/>
      <c r="J17" s="121"/>
      <c r="K17" s="4"/>
      <c r="L17" s="4"/>
      <c r="M17" s="828"/>
      <c r="N17" s="828"/>
      <c r="O17" s="828"/>
      <c r="P17" s="837"/>
      <c r="Q17" s="828"/>
      <c r="R17" s="2"/>
      <c r="S17" s="1"/>
      <c r="T17" s="2"/>
      <c r="U17" s="1"/>
      <c r="V17" s="1"/>
      <c r="W17" s="1"/>
      <c r="X17" s="1"/>
      <c r="Y17" s="1"/>
      <c r="Z17" s="1"/>
      <c r="AA17" s="1"/>
      <c r="AB17" s="1"/>
      <c r="AC17" s="1"/>
      <c r="AD17" s="1"/>
    </row>
    <row r="18" spans="1:30" x14ac:dyDescent="0.3">
      <c r="A18" s="781" t="s">
        <v>510</v>
      </c>
      <c r="B18" s="782"/>
      <c r="C18" s="782"/>
      <c r="D18" s="78">
        <f>D7*D13</f>
        <v>14400</v>
      </c>
      <c r="E18" s="60"/>
      <c r="F18" s="61"/>
      <c r="G18" s="383"/>
      <c r="H18" s="41"/>
      <c r="I18" s="122"/>
      <c r="J18" s="121"/>
      <c r="K18" s="4"/>
      <c r="L18" s="4"/>
      <c r="M18" s="138" t="s">
        <v>2</v>
      </c>
      <c r="N18" s="163">
        <f t="shared" ref="N18:N25" ca="1" si="1">$N6*$P6*$D$7</f>
        <v>70199.999999999985</v>
      </c>
      <c r="O18" s="163">
        <f t="shared" ref="O18:O25" ca="1" si="2">$O6*$P6*$D$7</f>
        <v>47828.571428571442</v>
      </c>
      <c r="P18" s="163">
        <f t="shared" ref="P18:P25" ca="1" si="3">$N18*$D$24</f>
        <v>982799.99999999977</v>
      </c>
      <c r="Q18" s="163">
        <f t="shared" ref="Q18:Q25" ca="1" si="4">$O18*$D$24</f>
        <v>669600.00000000023</v>
      </c>
      <c r="R18" s="76"/>
      <c r="S18" s="81"/>
      <c r="T18" s="2"/>
      <c r="U18" s="2"/>
      <c r="V18" s="2"/>
      <c r="W18" s="1"/>
      <c r="X18" s="1"/>
      <c r="Y18" s="1"/>
      <c r="Z18" s="1"/>
      <c r="AA18" s="1"/>
      <c r="AB18" s="1"/>
      <c r="AC18" s="1"/>
      <c r="AD18" s="1"/>
    </row>
    <row r="19" spans="1:30" x14ac:dyDescent="0.3">
      <c r="A19" s="781" t="s">
        <v>511</v>
      </c>
      <c r="B19" s="782"/>
      <c r="C19" s="782"/>
      <c r="D19" s="79">
        <f>D18/D7*D16</f>
        <v>0</v>
      </c>
      <c r="E19" s="62" t="s">
        <v>23</v>
      </c>
      <c r="F19" s="63" t="s">
        <v>211</v>
      </c>
      <c r="G19" s="383"/>
      <c r="H19" s="41"/>
      <c r="I19" s="122"/>
      <c r="J19" s="121"/>
      <c r="K19" s="4"/>
      <c r="L19" s="4"/>
      <c r="M19" s="136" t="s">
        <v>0</v>
      </c>
      <c r="N19" s="164">
        <f t="shared" ca="1" si="1"/>
        <v>7071.4285714285706</v>
      </c>
      <c r="O19" s="164">
        <f t="shared" ca="1" si="2"/>
        <v>5892.8571428571431</v>
      </c>
      <c r="P19" s="164">
        <f t="shared" ca="1" si="3"/>
        <v>98999.999999999985</v>
      </c>
      <c r="Q19" s="164">
        <f t="shared" ca="1" si="4"/>
        <v>82500</v>
      </c>
      <c r="R19" s="76"/>
      <c r="S19" s="81"/>
      <c r="T19" s="2"/>
      <c r="U19" s="2"/>
      <c r="V19" s="2"/>
      <c r="W19" s="1"/>
      <c r="X19" s="1"/>
      <c r="Y19" s="1"/>
      <c r="Z19" s="1"/>
      <c r="AA19" s="1"/>
      <c r="AB19" s="1"/>
      <c r="AC19" s="1"/>
      <c r="AD19" s="1"/>
    </row>
    <row r="20" spans="1:30" x14ac:dyDescent="0.3">
      <c r="A20" s="783" t="s">
        <v>519</v>
      </c>
      <c r="B20" s="784"/>
      <c r="C20" s="784"/>
      <c r="D20" s="33">
        <f>D18*D16*D17</f>
        <v>0</v>
      </c>
      <c r="E20" s="130">
        <f ca="1">F12*D24</f>
        <v>4179015.5</v>
      </c>
      <c r="F20" s="185">
        <f ca="1">I20*D24</f>
        <v>1796948.9741203031</v>
      </c>
      <c r="G20" s="383"/>
      <c r="H20" s="378" t="s">
        <v>178</v>
      </c>
      <c r="I20" s="144">
        <f ca="1">F12-I14+(I8*VWoGK!J18)</f>
        <v>128353.49815145021</v>
      </c>
      <c r="J20" s="132">
        <f ca="1">I20/F12</f>
        <v>0.42999337382699415</v>
      </c>
      <c r="K20" s="4"/>
      <c r="L20" s="4"/>
      <c r="M20" s="137" t="s">
        <v>28</v>
      </c>
      <c r="N20" s="164">
        <f t="shared" si="1"/>
        <v>29999.999999999993</v>
      </c>
      <c r="O20" s="164">
        <f t="shared" si="2"/>
        <v>14999.999999999996</v>
      </c>
      <c r="P20" s="164">
        <f t="shared" si="3"/>
        <v>419999.99999999988</v>
      </c>
      <c r="Q20" s="164">
        <f t="shared" si="4"/>
        <v>209999.99999999994</v>
      </c>
      <c r="R20" s="76"/>
      <c r="S20" s="19"/>
      <c r="T20" s="2"/>
      <c r="U20" s="2"/>
      <c r="V20" s="2"/>
      <c r="W20" s="1"/>
      <c r="X20" s="12"/>
      <c r="Y20" s="1"/>
      <c r="Z20" s="1"/>
      <c r="AA20" s="1"/>
      <c r="AB20" s="1"/>
      <c r="AC20" s="1"/>
      <c r="AD20" s="1"/>
    </row>
    <row r="21" spans="1:30" x14ac:dyDescent="0.3">
      <c r="A21" s="801" t="s">
        <v>8</v>
      </c>
      <c r="B21" s="802"/>
      <c r="C21" s="802"/>
      <c r="D21" s="803"/>
      <c r="E21" s="184" t="s">
        <v>209</v>
      </c>
      <c r="F21" s="186">
        <f ca="1">I21*D24</f>
        <v>919499.67412030324</v>
      </c>
      <c r="G21" s="383"/>
      <c r="H21" s="378" t="s">
        <v>179</v>
      </c>
      <c r="I21" s="144">
        <f ca="1">F12-I14-O34+(I8*VWoGK!J18)</f>
        <v>65678.548151450232</v>
      </c>
      <c r="J21" s="132">
        <f ca="1">I21/F12</f>
        <v>0.22002782093541007</v>
      </c>
      <c r="K21" s="4"/>
      <c r="L21" s="4"/>
      <c r="M21" s="137" t="s">
        <v>29</v>
      </c>
      <c r="N21" s="164">
        <f t="shared" si="1"/>
        <v>4285.7142857142853</v>
      </c>
      <c r="O21" s="164">
        <f t="shared" si="2"/>
        <v>3214.2857142857138</v>
      </c>
      <c r="P21" s="164">
        <f t="shared" si="3"/>
        <v>59999.999999999993</v>
      </c>
      <c r="Q21" s="164">
        <f t="shared" si="4"/>
        <v>44999.999999999993</v>
      </c>
      <c r="R21" s="76"/>
      <c r="S21" s="19"/>
      <c r="T21" s="2"/>
      <c r="U21" s="2"/>
      <c r="V21" s="11"/>
      <c r="W21" s="57"/>
      <c r="X21" s="80"/>
      <c r="Y21" s="1"/>
      <c r="Z21" s="1"/>
      <c r="AA21" s="1"/>
      <c r="AB21" s="1"/>
      <c r="AC21" s="1"/>
      <c r="AD21" s="1"/>
    </row>
    <row r="22" spans="1:30" x14ac:dyDescent="0.3">
      <c r="A22" s="777" t="s">
        <v>75</v>
      </c>
      <c r="B22" s="778"/>
      <c r="C22" s="778"/>
      <c r="D22" s="189">
        <f>Basisdaten!E22</f>
        <v>43466</v>
      </c>
      <c r="E22" s="184" t="s">
        <v>210</v>
      </c>
      <c r="F22" s="186">
        <f ca="1">I22*D24</f>
        <v>528753.97412030329</v>
      </c>
      <c r="G22" s="383"/>
      <c r="H22" s="378" t="s">
        <v>180</v>
      </c>
      <c r="I22" s="144">
        <f ca="1">F12-I14-I15+(I8*VWoGK!J18)</f>
        <v>37768.141008593091</v>
      </c>
      <c r="J22" s="132">
        <f ca="1">I22/F12</f>
        <v>0.12652596625217188</v>
      </c>
      <c r="K22" s="4"/>
      <c r="L22" s="4"/>
      <c r="M22" s="137" t="s">
        <v>30</v>
      </c>
      <c r="N22" s="164">
        <f t="shared" si="1"/>
        <v>0</v>
      </c>
      <c r="O22" s="164">
        <f t="shared" si="2"/>
        <v>0</v>
      </c>
      <c r="P22" s="164">
        <f t="shared" si="3"/>
        <v>0</v>
      </c>
      <c r="Q22" s="164">
        <f t="shared" si="4"/>
        <v>0</v>
      </c>
      <c r="R22" s="76"/>
      <c r="S22" s="20"/>
      <c r="T22" s="2"/>
      <c r="U22" s="2"/>
      <c r="V22" s="80"/>
      <c r="W22" s="14"/>
      <c r="X22" s="80"/>
      <c r="Y22" s="12"/>
      <c r="Z22" s="12"/>
      <c r="AA22" s="1"/>
      <c r="AB22" s="1"/>
      <c r="AC22" s="1"/>
      <c r="AD22" s="1"/>
    </row>
    <row r="23" spans="1:30" x14ac:dyDescent="0.3">
      <c r="A23" s="779" t="s">
        <v>13</v>
      </c>
      <c r="B23" s="780"/>
      <c r="C23" s="780"/>
      <c r="D23" s="190">
        <f>Basisdaten!C38</f>
        <v>41255</v>
      </c>
      <c r="E23" s="208"/>
      <c r="F23" s="29"/>
      <c r="G23" s="383"/>
      <c r="H23" s="41"/>
      <c r="I23" s="52"/>
      <c r="J23" s="121"/>
      <c r="K23" s="4"/>
      <c r="L23" s="4"/>
      <c r="M23" s="136" t="s">
        <v>31</v>
      </c>
      <c r="N23" s="164">
        <f t="shared" si="1"/>
        <v>0</v>
      </c>
      <c r="O23" s="164">
        <f t="shared" si="2"/>
        <v>0</v>
      </c>
      <c r="P23" s="164">
        <f t="shared" si="3"/>
        <v>0</v>
      </c>
      <c r="Q23" s="164">
        <f t="shared" si="4"/>
        <v>0</v>
      </c>
      <c r="R23" s="76"/>
      <c r="S23" s="20"/>
      <c r="T23" s="2"/>
      <c r="U23" s="2"/>
      <c r="V23" s="383"/>
      <c r="W23" s="383"/>
      <c r="X23" s="80"/>
      <c r="Y23" s="80"/>
      <c r="Z23" s="80"/>
      <c r="AA23" s="1"/>
      <c r="AB23" s="1"/>
      <c r="AC23" s="1"/>
      <c r="AD23" s="1"/>
    </row>
    <row r="24" spans="1:30" x14ac:dyDescent="0.3">
      <c r="A24" s="781" t="str">
        <f>IF(ISBLANK(Basisdaten!E23)=TRUE,"potentielle Vertragslaufzeit","Vertragslaufzeit")</f>
        <v>potentielle Vertragslaufzeit</v>
      </c>
      <c r="B24" s="782"/>
      <c r="C24" s="782"/>
      <c r="D24" s="109">
        <f>VWoGK!D23</f>
        <v>14</v>
      </c>
      <c r="E24" s="208"/>
      <c r="F24" s="29"/>
      <c r="G24" s="383"/>
      <c r="H24" s="699" t="s">
        <v>530</v>
      </c>
      <c r="I24" s="365" t="e">
        <f ca="1">F37*D7-I14-O34+(I8*VWoGK!J18)</f>
        <v>#DIV/0!</v>
      </c>
      <c r="J24" s="364" t="e">
        <f ca="1">I24/F12</f>
        <v>#DIV/0!</v>
      </c>
      <c r="K24" s="4"/>
      <c r="L24" s="4"/>
      <c r="M24" s="136" t="s">
        <v>32</v>
      </c>
      <c r="N24" s="164">
        <f t="shared" si="1"/>
        <v>0</v>
      </c>
      <c r="O24" s="164">
        <f t="shared" si="2"/>
        <v>0</v>
      </c>
      <c r="P24" s="164">
        <f t="shared" si="3"/>
        <v>0</v>
      </c>
      <c r="Q24" s="164">
        <f t="shared" si="4"/>
        <v>0</v>
      </c>
      <c r="R24" s="76"/>
      <c r="S24" s="80"/>
      <c r="T24" s="2"/>
      <c r="U24" s="2"/>
      <c r="V24" s="383"/>
      <c r="W24" s="383"/>
      <c r="X24" s="16"/>
      <c r="Y24" s="80"/>
      <c r="Z24" s="80"/>
      <c r="AA24" s="1"/>
      <c r="AB24" s="1"/>
      <c r="AC24" s="1"/>
      <c r="AD24" s="1"/>
    </row>
    <row r="25" spans="1:30" x14ac:dyDescent="0.3">
      <c r="A25" s="779" t="s">
        <v>14</v>
      </c>
      <c r="B25" s="780"/>
      <c r="C25" s="780"/>
      <c r="D25" s="110">
        <f>DATEDIF(D23,D22,"y")</f>
        <v>6</v>
      </c>
      <c r="E25" s="41"/>
      <c r="F25" s="42"/>
      <c r="G25" s="383"/>
      <c r="H25" s="700" t="s">
        <v>531</v>
      </c>
      <c r="I25" s="366" t="e">
        <f ca="1">F37*D7-I14-I15+(I8*VWoGK!J18)</f>
        <v>#DIV/0!</v>
      </c>
      <c r="J25" s="132" t="e">
        <f ca="1">I25/F12</f>
        <v>#DIV/0!</v>
      </c>
      <c r="K25" s="4"/>
      <c r="L25" s="4"/>
      <c r="M25" s="136" t="s">
        <v>33</v>
      </c>
      <c r="N25" s="164">
        <f t="shared" ca="1" si="1"/>
        <v>5785.7142857142844</v>
      </c>
      <c r="O25" s="164">
        <f t="shared" ca="1" si="2"/>
        <v>4821.4285714285716</v>
      </c>
      <c r="P25" s="164">
        <f t="shared" ca="1" si="3"/>
        <v>80999.999999999985</v>
      </c>
      <c r="Q25" s="164">
        <f t="shared" ca="1" si="4"/>
        <v>67500</v>
      </c>
      <c r="R25" s="76"/>
      <c r="S25" s="81"/>
      <c r="T25" s="2"/>
      <c r="U25" s="2"/>
      <c r="V25" s="15"/>
      <c r="W25" s="15"/>
      <c r="X25" s="12"/>
      <c r="Y25" s="80"/>
      <c r="Z25" s="80"/>
      <c r="AA25" s="1"/>
      <c r="AB25" s="1"/>
      <c r="AC25" s="1"/>
      <c r="AD25" s="1"/>
    </row>
    <row r="26" spans="1:30" x14ac:dyDescent="0.3">
      <c r="A26" s="783" t="s">
        <v>15</v>
      </c>
      <c r="B26" s="784"/>
      <c r="C26" s="784"/>
      <c r="D26" s="111">
        <f>SUM(D24,D25)</f>
        <v>20</v>
      </c>
      <c r="E26" s="44"/>
      <c r="F26" s="45"/>
      <c r="G26" s="80"/>
      <c r="H26" s="383"/>
      <c r="I26" s="383"/>
      <c r="J26" s="1"/>
      <c r="K26" s="4"/>
      <c r="L26" s="4"/>
      <c r="M26" s="136" t="s">
        <v>34</v>
      </c>
      <c r="N26" s="164">
        <f ca="1">$P$26/$D$24</f>
        <v>109120.53571428571</v>
      </c>
      <c r="O26" s="164">
        <f ca="1">$Q$26/$D$24</f>
        <v>79930.232142857145</v>
      </c>
      <c r="P26" s="164">
        <f ca="1">$S14+$AC14</f>
        <v>1527687.5</v>
      </c>
      <c r="Q26" s="164">
        <f ca="1">$T14+$AD14</f>
        <v>1119023.25</v>
      </c>
      <c r="R26" s="76"/>
      <c r="S26" s="81"/>
      <c r="T26" s="2"/>
      <c r="U26" s="2"/>
      <c r="V26" s="80"/>
      <c r="W26" s="12"/>
      <c r="X26" s="12"/>
      <c r="Y26" s="16"/>
      <c r="Z26" s="16"/>
      <c r="AA26" s="1"/>
      <c r="AB26" s="1"/>
      <c r="AC26" s="1"/>
      <c r="AD26" s="1"/>
    </row>
    <row r="27" spans="1:30" x14ac:dyDescent="0.3">
      <c r="A27" s="83"/>
      <c r="B27" s="83"/>
      <c r="C27" s="83"/>
      <c r="D27" s="40"/>
      <c r="E27" s="383"/>
      <c r="F27" s="383"/>
      <c r="G27" s="80"/>
      <c r="H27" s="2"/>
      <c r="I27" s="2"/>
      <c r="J27" s="1"/>
      <c r="K27" s="4"/>
      <c r="L27" s="4"/>
      <c r="M27" s="165" t="s">
        <v>37</v>
      </c>
      <c r="N27" s="166">
        <f ca="1">SUM(N18:N26)</f>
        <v>226463.39285714284</v>
      </c>
      <c r="O27" s="166">
        <f ca="1">SUM(O18:O26)</f>
        <v>156687.375</v>
      </c>
      <c r="P27" s="166">
        <f ca="1">$N27*$D$24</f>
        <v>3170487.5</v>
      </c>
      <c r="Q27" s="166">
        <f ca="1">$O27*$D$24</f>
        <v>2193623.25</v>
      </c>
      <c r="R27" s="76"/>
      <c r="S27" s="81"/>
      <c r="T27" s="383"/>
      <c r="U27" s="383"/>
      <c r="V27" s="12"/>
      <c r="W27" s="12"/>
      <c r="X27" s="12"/>
      <c r="Y27" s="12"/>
      <c r="Z27" s="12"/>
      <c r="AA27" s="1"/>
      <c r="AB27" s="1"/>
      <c r="AC27" s="1"/>
      <c r="AD27" s="1"/>
    </row>
    <row r="28" spans="1:30" x14ac:dyDescent="0.3">
      <c r="A28" s="787" t="s">
        <v>45</v>
      </c>
      <c r="B28" s="788"/>
      <c r="C28" s="789"/>
      <c r="D28" s="104" t="str">
        <f>D4</f>
        <v>Remlingen</v>
      </c>
      <c r="E28" s="105"/>
      <c r="F28" s="106"/>
      <c r="G28" s="80"/>
      <c r="H28" s="838" t="s">
        <v>373</v>
      </c>
      <c r="I28" s="839"/>
      <c r="J28" s="1"/>
      <c r="K28" s="4"/>
      <c r="L28" s="4"/>
      <c r="M28" s="7"/>
      <c r="N28" s="43"/>
      <c r="O28" s="76"/>
      <c r="P28" s="1"/>
      <c r="Q28" s="81"/>
      <c r="R28" s="76"/>
      <c r="S28" s="81"/>
      <c r="T28" s="383"/>
      <c r="U28" s="383"/>
      <c r="V28" s="383"/>
      <c r="W28" s="383"/>
      <c r="X28" s="12"/>
      <c r="Y28" s="1"/>
      <c r="Z28" s="1"/>
      <c r="AA28" s="1"/>
      <c r="AB28" s="1"/>
      <c r="AC28" s="1"/>
      <c r="AD28" s="1"/>
    </row>
    <row r="29" spans="1:30" x14ac:dyDescent="0.3">
      <c r="A29" s="46" t="s">
        <v>39</v>
      </c>
      <c r="B29" s="287" t="s">
        <v>368</v>
      </c>
      <c r="C29" s="287" t="s">
        <v>369</v>
      </c>
      <c r="D29" s="47" t="s">
        <v>42</v>
      </c>
      <c r="E29" s="47" t="s">
        <v>43</v>
      </c>
      <c r="F29" s="48" t="s">
        <v>44</v>
      </c>
      <c r="G29" s="80"/>
      <c r="H29" s="382" t="s">
        <v>371</v>
      </c>
      <c r="I29" s="301" t="s">
        <v>372</v>
      </c>
      <c r="J29" s="1"/>
      <c r="K29" s="4"/>
      <c r="L29" s="4"/>
      <c r="M29" s="823" t="s">
        <v>35</v>
      </c>
      <c r="N29" s="824"/>
      <c r="O29" s="179"/>
      <c r="P29" s="1"/>
      <c r="Q29" s="81"/>
      <c r="R29" s="2"/>
      <c r="S29" s="2"/>
      <c r="T29" s="841"/>
      <c r="U29" s="841"/>
      <c r="V29" s="80"/>
      <c r="W29" s="1"/>
      <c r="X29" s="1"/>
      <c r="Y29" s="1"/>
      <c r="Z29" s="1"/>
      <c r="AA29" s="1"/>
      <c r="AB29" s="1"/>
      <c r="AC29" s="1"/>
      <c r="AD29" s="1"/>
    </row>
    <row r="30" spans="1:30" x14ac:dyDescent="0.3">
      <c r="A30" s="378" t="s">
        <v>250</v>
      </c>
      <c r="B30" s="726">
        <f>D25+1</f>
        <v>7</v>
      </c>
      <c r="C30" s="687"/>
      <c r="D30" s="289">
        <f t="shared" ref="D30:D35" si="5">IF(ISBLANK(C30),0,C30-B30+1)</f>
        <v>0</v>
      </c>
      <c r="E30" s="80"/>
      <c r="F30" s="126">
        <f t="shared" ref="F30:F35" si="6">D30*E30</f>
        <v>0</v>
      </c>
      <c r="G30" s="80"/>
      <c r="H30" s="297" t="str">
        <f>IF(ISBLANK(B30),"",IF(C30-B30=1,AVERAGE(GETPIVOTDATA("Mittelwert von Preis",Referenzen!$L$6,"Klasse",$D$11,"Betriebsjahr",B30),GETPIVOTDATA("Mittelwert von Preis",Referenzen!$L$6,"Klasse",$D$11,"Betriebsjahr",C30)),IF(C30-B30=2,AVERAGE(GETPIVOTDATA("Mittelwert von Preis",Referenzen!$L$6,"Klasse",$D$11,"Betriebsjahr",B30),GETPIVOTDATA("Mittelwert von Preis",Referenzen!$L$6,"Klasse",$D$11,"Betriebsjahr",C30),GETPIVOTDATA("Mittelwert von Preis",Referenzen!$L$6,"Klasse",$D$11,"Betriebsjahr",C30-1)),IF(C30-B30=3,AVERAGE(GETPIVOTDATA("Mittelwert von Preis",Referenzen!$L$6,"Klasse",$D$11,"Betriebsjahr",B30),GETPIVOTDATA("Mittelwert von Preis",Referenzen!$L$6,"Klasse",$D$11,"Betriebsjahr",C30),GETPIVOTDATA("Mittelwert von Preis",Referenzen!$L$6,"Klasse",$D$11,"Betriebsjahr",C30-1),GETPIVOTDATA("Mittelwert von Preis",Referenzen!$L$6,"Klasse",$D$11,"Betriebsjahr",C30-2)),IF(C30-B30=4,AVERAGE(GETPIVOTDATA("Mittelwert von Preis",Referenzen!$L$6,"Klasse",$D$11,"Betriebsjahr",B30),GETPIVOTDATA("Mittelwert von Preis",Referenzen!$L$6,"Klasse",$D$11,"Betriebsjahr",C30),GETPIVOTDATA("Mittelwert von Preis",Referenzen!$L$6,"Klasse",$D$11,"Betriebsjahr",C30-1),GETPIVOTDATA("Mittelwert von Preis",Referenzen!$L$6,"Klasse",$D$11,"Betriebsjahr",C30-2),GETPIVOTDATA("Mittelwert von Preis",Referenzen!$L$6,"Klasse",$D$11,"Betriebsjahr",C30-3)),IF(C30-B30=5,AVERAGE(GETPIVOTDATA("Mittelwert von Preis",Referenzen!$L$6,"Klasse",$D$11,"Betriebsjahr",B30),GETPIVOTDATA("Mittelwert von Preis",Referenzen!$L$6,"Klasse",$D$11,"Betriebsjahr",C30),GETPIVOTDATA("Mittelwert von Preis",Referenzen!$L$6,"Klasse",$D$11,"Betriebsjahr",C30-1),GETPIVOTDATA("Mittelwert von Preis",Referenzen!$L$6,"Klasse",$D$11,"Betriebsjahr",C30-2),GETPIVOTDATA("Mittelwert von Preis",Referenzen!$L$6,"Klasse",$D$11,"Betriebsjahr",C30-3),GETPIVOTDATA("Mittelwert von Preis",Referenzen!$L$6,"Klasse",$D$11,"Betriebsjahr",C30-3)),"kleinere Zeitspanne!"))))))</f>
        <v>kleinere Zeitspanne!</v>
      </c>
      <c r="I30" s="298" t="str">
        <f t="shared" ref="I30:I35" si="7">IF(ISBLANK(E30),"",E30-H30)</f>
        <v/>
      </c>
      <c r="J30" s="1"/>
      <c r="K30" s="4"/>
      <c r="L30" s="4"/>
      <c r="M30" s="145"/>
      <c r="N30" s="146" t="s">
        <v>177</v>
      </c>
      <c r="O30" s="179" t="s">
        <v>170</v>
      </c>
      <c r="P30" s="1"/>
      <c r="Q30" s="81"/>
      <c r="R30" s="2"/>
      <c r="S30" s="2"/>
      <c r="T30" s="383"/>
      <c r="U30" s="383"/>
      <c r="V30" s="80"/>
      <c r="W30" s="1"/>
      <c r="X30" s="1"/>
      <c r="Y30" s="1"/>
      <c r="Z30" s="1"/>
      <c r="AA30" s="1"/>
      <c r="AB30" s="1"/>
      <c r="AC30" s="1"/>
      <c r="AD30" s="1"/>
    </row>
    <row r="31" spans="1:30" x14ac:dyDescent="0.3">
      <c r="A31" s="378" t="s">
        <v>250</v>
      </c>
      <c r="B31" s="655"/>
      <c r="C31" s="656"/>
      <c r="D31" s="289">
        <f t="shared" si="5"/>
        <v>0</v>
      </c>
      <c r="E31" s="80"/>
      <c r="F31" s="126">
        <f t="shared" si="6"/>
        <v>0</v>
      </c>
      <c r="G31" s="80"/>
      <c r="H31" s="297" t="str">
        <f>IF(ISBLANK(B31),"",IF(C31-B31=1,AVERAGE(GETPIVOTDATA("Mittelwert von Preis",Referenzen!$L$6,"Klasse",$D$11,"Betriebsjahr",B31),GETPIVOTDATA("Mittelwert von Preis",Referenzen!$L$6,"Klasse",$D$11,"Betriebsjahr",C31)),IF(C31-B31=2,AVERAGE(GETPIVOTDATA("Mittelwert von Preis",Referenzen!$L$6,"Klasse",$D$11,"Betriebsjahr",B31),GETPIVOTDATA("Mittelwert von Preis",Referenzen!$L$6,"Klasse",$D$11,"Betriebsjahr",C31),GETPIVOTDATA("Mittelwert von Preis",Referenzen!$L$6,"Klasse",$D$11,"Betriebsjahr",C31-1)),IF(C31-B31=3,AVERAGE(GETPIVOTDATA("Mittelwert von Preis",Referenzen!$L$6,"Klasse",$D$11,"Betriebsjahr",B31),GETPIVOTDATA("Mittelwert von Preis",Referenzen!$L$6,"Klasse",$D$11,"Betriebsjahr",C31),GETPIVOTDATA("Mittelwert von Preis",Referenzen!$L$6,"Klasse",$D$11,"Betriebsjahr",C31-1),GETPIVOTDATA("Mittelwert von Preis",Referenzen!$L$6,"Klasse",$D$11,"Betriebsjahr",C31-2)),IF(C31-B31=4,AVERAGE(GETPIVOTDATA("Mittelwert von Preis",Referenzen!$L$6,"Klasse",$D$11,"Betriebsjahr",B31),GETPIVOTDATA("Mittelwert von Preis",Referenzen!$L$6,"Klasse",$D$11,"Betriebsjahr",C31),GETPIVOTDATA("Mittelwert von Preis",Referenzen!$L$6,"Klasse",$D$11,"Betriebsjahr",C31-1),GETPIVOTDATA("Mittelwert von Preis",Referenzen!$L$6,"Klasse",$D$11,"Betriebsjahr",C31-2),GETPIVOTDATA("Mittelwert von Preis",Referenzen!$L$6,"Klasse",$D$11,"Betriebsjahr",C31-3)),IF(C31-B31=5,AVERAGE(GETPIVOTDATA("Mittelwert von Preis",Referenzen!$L$6,"Klasse",$D$11,"Betriebsjahr",B31),GETPIVOTDATA("Mittelwert von Preis",Referenzen!$L$6,"Klasse",$D$11,"Betriebsjahr",C31),GETPIVOTDATA("Mittelwert von Preis",Referenzen!$L$6,"Klasse",$D$11,"Betriebsjahr",C31-1),GETPIVOTDATA("Mittelwert von Preis",Referenzen!$L$6,"Klasse",$D$11,"Betriebsjahr",C31-2),GETPIVOTDATA("Mittelwert von Preis",Referenzen!$L$6,"Klasse",$D$11,"Betriebsjahr",C31-3),GETPIVOTDATA("Mittelwert von Preis",Referenzen!$L$6,"Klasse",$D$11,"Betriebsjahr",C31-3)),"kleinere Zeitspanne!"))))))</f>
        <v/>
      </c>
      <c r="I31" s="298" t="str">
        <f t="shared" si="7"/>
        <v/>
      </c>
      <c r="J31" s="1"/>
      <c r="K31" s="4"/>
      <c r="L31" s="4"/>
      <c r="M31" s="149" t="s">
        <v>36</v>
      </c>
      <c r="N31" s="722">
        <v>0.6</v>
      </c>
      <c r="O31" s="722">
        <v>0.6</v>
      </c>
      <c r="P31" s="1"/>
      <c r="Q31" s="81"/>
      <c r="R31" s="2"/>
      <c r="S31" s="2"/>
      <c r="T31" s="841"/>
      <c r="U31" s="841"/>
      <c r="V31" s="6"/>
      <c r="W31" s="12"/>
      <c r="X31" s="12"/>
      <c r="Y31" s="1"/>
      <c r="Z31" s="1"/>
      <c r="AA31" s="1"/>
      <c r="AB31" s="1"/>
      <c r="AC31" s="1"/>
      <c r="AD31" s="1"/>
    </row>
    <row r="32" spans="1:30" x14ac:dyDescent="0.3">
      <c r="A32" s="378" t="s">
        <v>250</v>
      </c>
      <c r="B32" s="655"/>
      <c r="C32" s="656"/>
      <c r="D32" s="289">
        <f t="shared" si="5"/>
        <v>0</v>
      </c>
      <c r="E32" s="80"/>
      <c r="F32" s="126">
        <f t="shared" si="6"/>
        <v>0</v>
      </c>
      <c r="G32" s="83"/>
      <c r="H32" s="297" t="str">
        <f>IF(ISBLANK(B32),"",IF(C32-B32=1,AVERAGE(GETPIVOTDATA("Mittelwert von Preis",Referenzen!$L$6,"Klasse",$D$11,"Betriebsjahr",B32),GETPIVOTDATA("Mittelwert von Preis",Referenzen!$L$6,"Klasse",$D$11,"Betriebsjahr",C32)),IF(C32-B32=2,AVERAGE(GETPIVOTDATA("Mittelwert von Preis",Referenzen!$L$6,"Klasse",$D$11,"Betriebsjahr",B32),GETPIVOTDATA("Mittelwert von Preis",Referenzen!$L$6,"Klasse",$D$11,"Betriebsjahr",C32),GETPIVOTDATA("Mittelwert von Preis",Referenzen!$L$6,"Klasse",$D$11,"Betriebsjahr",C32-1)),IF(C32-B32=3,AVERAGE(GETPIVOTDATA("Mittelwert von Preis",Referenzen!$L$6,"Klasse",$D$11,"Betriebsjahr",B32),GETPIVOTDATA("Mittelwert von Preis",Referenzen!$L$6,"Klasse",$D$11,"Betriebsjahr",C32),GETPIVOTDATA("Mittelwert von Preis",Referenzen!$L$6,"Klasse",$D$11,"Betriebsjahr",C32-1),GETPIVOTDATA("Mittelwert von Preis",Referenzen!$L$6,"Klasse",$D$11,"Betriebsjahr",C32-2)),IF(C32-B32=4,AVERAGE(GETPIVOTDATA("Mittelwert von Preis",Referenzen!$L$6,"Klasse",$D$11,"Betriebsjahr",B32),GETPIVOTDATA("Mittelwert von Preis",Referenzen!$L$6,"Klasse",$D$11,"Betriebsjahr",C32),GETPIVOTDATA("Mittelwert von Preis",Referenzen!$L$6,"Klasse",$D$11,"Betriebsjahr",C32-1),GETPIVOTDATA("Mittelwert von Preis",Referenzen!$L$6,"Klasse",$D$11,"Betriebsjahr",C32-2),GETPIVOTDATA("Mittelwert von Preis",Referenzen!$L$6,"Klasse",$D$11,"Betriebsjahr",C32-3)),IF(C32-B32=5,AVERAGE(GETPIVOTDATA("Mittelwert von Preis",Referenzen!$L$6,"Klasse",$D$11,"Betriebsjahr",B32),GETPIVOTDATA("Mittelwert von Preis",Referenzen!$L$6,"Klasse",$D$11,"Betriebsjahr",C32),GETPIVOTDATA("Mittelwert von Preis",Referenzen!$L$6,"Klasse",$D$11,"Betriebsjahr",C32-1),GETPIVOTDATA("Mittelwert von Preis",Referenzen!$L$6,"Klasse",$D$11,"Betriebsjahr",C32-2),GETPIVOTDATA("Mittelwert von Preis",Referenzen!$L$6,"Klasse",$D$11,"Betriebsjahr",C32-3),GETPIVOTDATA("Mittelwert von Preis",Referenzen!$L$6,"Klasse",$D$11,"Betriebsjahr",C32-3)),"kleinere Zeitspanne!"))))))</f>
        <v/>
      </c>
      <c r="I32" s="298" t="str">
        <f t="shared" si="7"/>
        <v/>
      </c>
      <c r="J32" s="1"/>
      <c r="K32" s="4"/>
      <c r="L32" s="4"/>
      <c r="M32" s="28" t="s">
        <v>49</v>
      </c>
      <c r="N32" s="384">
        <v>0</v>
      </c>
      <c r="O32" s="385">
        <v>0</v>
      </c>
      <c r="P32" s="1"/>
      <c r="Q32" s="81"/>
      <c r="R32" s="2"/>
      <c r="S32" s="2"/>
      <c r="T32" s="841"/>
      <c r="U32" s="841"/>
      <c r="V32" s="2"/>
      <c r="W32" s="8"/>
      <c r="X32" s="8"/>
      <c r="Y32" s="1"/>
      <c r="Z32" s="1"/>
      <c r="AA32" s="1"/>
      <c r="AB32" s="1"/>
      <c r="AC32" s="1"/>
      <c r="AD32" s="1"/>
    </row>
    <row r="33" spans="1:30" x14ac:dyDescent="0.3">
      <c r="A33" s="378" t="s">
        <v>250</v>
      </c>
      <c r="B33" s="655"/>
      <c r="C33" s="656"/>
      <c r="D33" s="289">
        <f t="shared" si="5"/>
        <v>0</v>
      </c>
      <c r="E33" s="80"/>
      <c r="F33" s="126">
        <f t="shared" si="6"/>
        <v>0</v>
      </c>
      <c r="G33" s="83"/>
      <c r="H33" s="297" t="str">
        <f>IF(ISBLANK(B33),"",IF(C33-B33=1,AVERAGE(GETPIVOTDATA("Mittelwert von Preis",Referenzen!$L$6,"Klasse",$D$11,"Betriebsjahr",B33),GETPIVOTDATA("Mittelwert von Preis",Referenzen!$L$6,"Klasse",$D$11,"Betriebsjahr",C33)),IF(C33-B33=2,AVERAGE(GETPIVOTDATA("Mittelwert von Preis",Referenzen!$L$6,"Klasse",$D$11,"Betriebsjahr",B33),GETPIVOTDATA("Mittelwert von Preis",Referenzen!$L$6,"Klasse",$D$11,"Betriebsjahr",C33),GETPIVOTDATA("Mittelwert von Preis",Referenzen!$L$6,"Klasse",$D$11,"Betriebsjahr",C33-1)),IF(C33-B33=3,AVERAGE(GETPIVOTDATA("Mittelwert von Preis",Referenzen!$L$6,"Klasse",$D$11,"Betriebsjahr",B33),GETPIVOTDATA("Mittelwert von Preis",Referenzen!$L$6,"Klasse",$D$11,"Betriebsjahr",C33),GETPIVOTDATA("Mittelwert von Preis",Referenzen!$L$6,"Klasse",$D$11,"Betriebsjahr",C33-1),GETPIVOTDATA("Mittelwert von Preis",Referenzen!$L$6,"Klasse",$D$11,"Betriebsjahr",C33-2)),IF(C33-B33=4,AVERAGE(GETPIVOTDATA("Mittelwert von Preis",Referenzen!$L$6,"Klasse",$D$11,"Betriebsjahr",B33),GETPIVOTDATA("Mittelwert von Preis",Referenzen!$L$6,"Klasse",$D$11,"Betriebsjahr",C33),GETPIVOTDATA("Mittelwert von Preis",Referenzen!$L$6,"Klasse",$D$11,"Betriebsjahr",C33-1),GETPIVOTDATA("Mittelwert von Preis",Referenzen!$L$6,"Klasse",$D$11,"Betriebsjahr",C33-2),GETPIVOTDATA("Mittelwert von Preis",Referenzen!$L$6,"Klasse",$D$11,"Betriebsjahr",C33-3)),IF(C33-B33=5,AVERAGE(GETPIVOTDATA("Mittelwert von Preis",Referenzen!$L$6,"Klasse",$D$11,"Betriebsjahr",B33),GETPIVOTDATA("Mittelwert von Preis",Referenzen!$L$6,"Klasse",$D$11,"Betriebsjahr",C33),GETPIVOTDATA("Mittelwert von Preis",Referenzen!$L$6,"Klasse",$D$11,"Betriebsjahr",C33-1),GETPIVOTDATA("Mittelwert von Preis",Referenzen!$L$6,"Klasse",$D$11,"Betriebsjahr",C33-2),GETPIVOTDATA("Mittelwert von Preis",Referenzen!$L$6,"Klasse",$D$11,"Betriebsjahr",C33-3),GETPIVOTDATA("Mittelwert von Preis",Referenzen!$L$6,"Klasse",$D$11,"Betriebsjahr",C33-3)),"kleinere Zeitspanne!"))))))</f>
        <v/>
      </c>
      <c r="I33" s="298" t="str">
        <f t="shared" si="7"/>
        <v/>
      </c>
      <c r="J33" s="1"/>
      <c r="K33" s="4"/>
      <c r="L33" s="4"/>
      <c r="M33" s="28" t="s">
        <v>16</v>
      </c>
      <c r="N33" s="143">
        <f ca="1">(P27-(SUM(Q6:Q13)*N32))/D24*N31</f>
        <v>135878.03571428571</v>
      </c>
      <c r="O33" s="143">
        <f ca="1">(Q27-(SUM(R6:R13)*O32))/D24*O31</f>
        <v>94012.425000000003</v>
      </c>
      <c r="P33" s="1"/>
      <c r="Q33" s="2"/>
      <c r="R33" s="2"/>
      <c r="S33" s="2"/>
      <c r="T33" s="383"/>
      <c r="U33" s="383"/>
      <c r="V33" s="2"/>
      <c r="W33" s="8"/>
      <c r="X33" s="8"/>
      <c r="Y33" s="1"/>
      <c r="Z33" s="1"/>
      <c r="AA33" s="1"/>
      <c r="AB33" s="1"/>
      <c r="AC33" s="1"/>
      <c r="AD33" s="1"/>
    </row>
    <row r="34" spans="1:30" x14ac:dyDescent="0.3">
      <c r="A34" s="378" t="s">
        <v>250</v>
      </c>
      <c r="B34" s="655"/>
      <c r="C34" s="656"/>
      <c r="D34" s="289">
        <f t="shared" si="5"/>
        <v>0</v>
      </c>
      <c r="E34" s="80"/>
      <c r="F34" s="126">
        <f t="shared" si="6"/>
        <v>0</v>
      </c>
      <c r="G34" s="383"/>
      <c r="H34" s="297" t="str">
        <f>IF(ISBLANK(B34),"",IF(C34-B34=1,AVERAGE(GETPIVOTDATA("Mittelwert von Preis",Referenzen!$L$6,"Klasse",$D$11,"Betriebsjahr",B34),GETPIVOTDATA("Mittelwert von Preis",Referenzen!$L$6,"Klasse",$D$11,"Betriebsjahr",C34)),IF(C34-B34=2,AVERAGE(GETPIVOTDATA("Mittelwert von Preis",Referenzen!$L$6,"Klasse",$D$11,"Betriebsjahr",B34),GETPIVOTDATA("Mittelwert von Preis",Referenzen!$L$6,"Klasse",$D$11,"Betriebsjahr",C34),GETPIVOTDATA("Mittelwert von Preis",Referenzen!$L$6,"Klasse",$D$11,"Betriebsjahr",C34-1)),IF(C34-B34=3,AVERAGE(GETPIVOTDATA("Mittelwert von Preis",Referenzen!$L$6,"Klasse",$D$11,"Betriebsjahr",B34),GETPIVOTDATA("Mittelwert von Preis",Referenzen!$L$6,"Klasse",$D$11,"Betriebsjahr",C34),GETPIVOTDATA("Mittelwert von Preis",Referenzen!$L$6,"Klasse",$D$11,"Betriebsjahr",C34-1),GETPIVOTDATA("Mittelwert von Preis",Referenzen!$L$6,"Klasse",$D$11,"Betriebsjahr",C34-2)),IF(C34-B34=4,AVERAGE(GETPIVOTDATA("Mittelwert von Preis",Referenzen!$L$6,"Klasse",$D$11,"Betriebsjahr",B34),GETPIVOTDATA("Mittelwert von Preis",Referenzen!$L$6,"Klasse",$D$11,"Betriebsjahr",C34),GETPIVOTDATA("Mittelwert von Preis",Referenzen!$L$6,"Klasse",$D$11,"Betriebsjahr",C34-1),GETPIVOTDATA("Mittelwert von Preis",Referenzen!$L$6,"Klasse",$D$11,"Betriebsjahr",C34-2),GETPIVOTDATA("Mittelwert von Preis",Referenzen!$L$6,"Klasse",$D$11,"Betriebsjahr",C34-3)),IF(C34-B34=5,AVERAGE(GETPIVOTDATA("Mittelwert von Preis",Referenzen!$L$6,"Klasse",$D$11,"Betriebsjahr",B34),GETPIVOTDATA("Mittelwert von Preis",Referenzen!$L$6,"Klasse",$D$11,"Betriebsjahr",C34),GETPIVOTDATA("Mittelwert von Preis",Referenzen!$L$6,"Klasse",$D$11,"Betriebsjahr",C34-1),GETPIVOTDATA("Mittelwert von Preis",Referenzen!$L$6,"Klasse",$D$11,"Betriebsjahr",C34-2),GETPIVOTDATA("Mittelwert von Preis",Referenzen!$L$6,"Klasse",$D$11,"Betriebsjahr",C34-3),GETPIVOTDATA("Mittelwert von Preis",Referenzen!$L$6,"Klasse",$D$11,"Betriebsjahr",C34-3)),"kleinere Zeitspanne!"))))))</f>
        <v/>
      </c>
      <c r="I34" s="298" t="str">
        <f t="shared" si="7"/>
        <v/>
      </c>
      <c r="J34" s="1"/>
      <c r="K34" s="4"/>
      <c r="L34" s="4"/>
      <c r="M34" s="32" t="s">
        <v>102</v>
      </c>
      <c r="N34" s="150">
        <f ca="1">N27-N33</f>
        <v>90585.35714285713</v>
      </c>
      <c r="O34" s="150">
        <f ca="1">O27-O33</f>
        <v>62674.95</v>
      </c>
      <c r="P34" s="2"/>
      <c r="Q34" s="1"/>
      <c r="R34" s="2"/>
      <c r="S34" s="2"/>
      <c r="T34" s="3"/>
      <c r="U34" s="2"/>
      <c r="V34" s="2"/>
      <c r="W34" s="81"/>
      <c r="X34" s="81"/>
      <c r="Y34" s="1"/>
      <c r="Z34" s="1"/>
      <c r="AA34" s="1"/>
      <c r="AB34" s="1"/>
      <c r="AC34" s="1"/>
      <c r="AD34" s="1"/>
    </row>
    <row r="35" spans="1:30" x14ac:dyDescent="0.3">
      <c r="A35" s="378" t="s">
        <v>250</v>
      </c>
      <c r="B35" s="688"/>
      <c r="C35" s="689"/>
      <c r="D35" s="289">
        <f t="shared" si="5"/>
        <v>0</v>
      </c>
      <c r="E35" s="80"/>
      <c r="F35" s="126">
        <f t="shared" si="6"/>
        <v>0</v>
      </c>
      <c r="G35" s="383"/>
      <c r="H35" s="297" t="str">
        <f>IF(ISBLANK(B35),"",IF(C35-B35=1,AVERAGE(GETPIVOTDATA("Mittelwert von Preis",Referenzen!$L$6,"Klasse",$D$11,"Betriebsjahr",B35),GETPIVOTDATA("Mittelwert von Preis",Referenzen!$L$6,"Klasse",$D$11,"Betriebsjahr",C35)),IF(C35-B35=2,AVERAGE(GETPIVOTDATA("Mittelwert von Preis",Referenzen!$L$6,"Klasse",$D$11,"Betriebsjahr",B35),GETPIVOTDATA("Mittelwert von Preis",Referenzen!$L$6,"Klasse",$D$11,"Betriebsjahr",C35),GETPIVOTDATA("Mittelwert von Preis",Referenzen!$L$6,"Klasse",$D$11,"Betriebsjahr",C35-1)),IF(C35-B35=3,AVERAGE(GETPIVOTDATA("Mittelwert von Preis",Referenzen!$L$6,"Klasse",$D$11,"Betriebsjahr",B35),GETPIVOTDATA("Mittelwert von Preis",Referenzen!$L$6,"Klasse",$D$11,"Betriebsjahr",C35),GETPIVOTDATA("Mittelwert von Preis",Referenzen!$L$6,"Klasse",$D$11,"Betriebsjahr",C35-1),GETPIVOTDATA("Mittelwert von Preis",Referenzen!$L$6,"Klasse",$D$11,"Betriebsjahr",C35-2)),IF(C35-B35=4,AVERAGE(GETPIVOTDATA("Mittelwert von Preis",Referenzen!$L$6,"Klasse",$D$11,"Betriebsjahr",B35),GETPIVOTDATA("Mittelwert von Preis",Referenzen!$L$6,"Klasse",$D$11,"Betriebsjahr",C35),GETPIVOTDATA("Mittelwert von Preis",Referenzen!$L$6,"Klasse",$D$11,"Betriebsjahr",C35-1),GETPIVOTDATA("Mittelwert von Preis",Referenzen!$L$6,"Klasse",$D$11,"Betriebsjahr",C35-2),GETPIVOTDATA("Mittelwert von Preis",Referenzen!$L$6,"Klasse",$D$11,"Betriebsjahr",C35-3)),IF(C35-B35=5,AVERAGE(GETPIVOTDATA("Mittelwert von Preis",Referenzen!$L$6,"Klasse",$D$11,"Betriebsjahr",B35),GETPIVOTDATA("Mittelwert von Preis",Referenzen!$L$6,"Klasse",$D$11,"Betriebsjahr",C35),GETPIVOTDATA("Mittelwert von Preis",Referenzen!$L$6,"Klasse",$D$11,"Betriebsjahr",C35-1),GETPIVOTDATA("Mittelwert von Preis",Referenzen!$L$6,"Klasse",$D$11,"Betriebsjahr",C35-2),GETPIVOTDATA("Mittelwert von Preis",Referenzen!$L$6,"Klasse",$D$11,"Betriebsjahr",C35-3),GETPIVOTDATA("Mittelwert von Preis",Referenzen!$L$6,"Klasse",$D$11,"Betriebsjahr",C35-3)),"kleinere Zeitspanne!"))))))</f>
        <v/>
      </c>
      <c r="I35" s="298" t="str">
        <f t="shared" si="7"/>
        <v/>
      </c>
      <c r="J35" s="1"/>
      <c r="K35" s="4"/>
      <c r="L35" s="4"/>
      <c r="M35" s="147" t="s">
        <v>38</v>
      </c>
      <c r="N35" s="148">
        <f ca="1">N34/I14</f>
        <v>0.43568299728547322</v>
      </c>
      <c r="O35" s="148">
        <f ca="1">O34/I14</f>
        <v>0.30144397430209108</v>
      </c>
      <c r="P35" s="2"/>
      <c r="Q35" s="1"/>
      <c r="R35" s="2"/>
      <c r="S35" s="2"/>
      <c r="T35" s="2"/>
      <c r="U35" s="2"/>
      <c r="V35" s="1"/>
      <c r="W35" s="1"/>
      <c r="X35" s="1"/>
      <c r="Y35" s="1"/>
      <c r="Z35" s="1"/>
      <c r="AA35" s="1"/>
      <c r="AB35" s="1"/>
      <c r="AC35" s="1"/>
      <c r="AD35" s="1"/>
    </row>
    <row r="36" spans="1:30" x14ac:dyDescent="0.3">
      <c r="A36" s="378" t="s">
        <v>40</v>
      </c>
      <c r="B36" s="379"/>
      <c r="C36" s="379"/>
      <c r="D36" s="52">
        <f>SUM(D30:D35)</f>
        <v>0</v>
      </c>
      <c r="E36" s="49"/>
      <c r="F36" s="126">
        <f>SUM(F30:F35)</f>
        <v>0</v>
      </c>
      <c r="G36" s="383"/>
      <c r="H36" s="297">
        <f>SUMPRODUCT(H30:H35,D30:D35)</f>
        <v>0</v>
      </c>
      <c r="I36" s="298">
        <f>F36-H36</f>
        <v>0</v>
      </c>
      <c r="J36" s="1"/>
      <c r="K36" s="4"/>
      <c r="L36" s="4"/>
      <c r="M36" s="2"/>
      <c r="N36" s="2"/>
      <c r="O36" s="2"/>
      <c r="P36" s="81"/>
      <c r="Q36" s="1"/>
      <c r="R36" s="1"/>
      <c r="S36" s="1"/>
      <c r="T36" s="1"/>
      <c r="U36" s="1"/>
      <c r="V36" s="1"/>
      <c r="W36" s="1"/>
      <c r="X36" s="1"/>
      <c r="Y36" s="1"/>
      <c r="Z36" s="1"/>
      <c r="AA36" s="1"/>
      <c r="AB36" s="1"/>
      <c r="AC36" s="1"/>
      <c r="AD36" s="1"/>
    </row>
    <row r="37" spans="1:30" x14ac:dyDescent="0.3">
      <c r="A37" s="378" t="s">
        <v>41</v>
      </c>
      <c r="B37" s="379"/>
      <c r="C37" s="379"/>
      <c r="D37" s="379"/>
      <c r="E37" s="379"/>
      <c r="F37" s="126" t="e">
        <f>F36/D36</f>
        <v>#DIV/0!</v>
      </c>
      <c r="G37" s="383"/>
      <c r="H37" s="299" t="e">
        <f>H36/D36</f>
        <v>#DIV/0!</v>
      </c>
      <c r="I37" s="300" t="e">
        <f>F37-H37</f>
        <v>#DIV/0!</v>
      </c>
      <c r="J37" s="1"/>
      <c r="K37" s="4"/>
      <c r="L37" s="4"/>
      <c r="M37" s="842" t="s">
        <v>221</v>
      </c>
      <c r="N37" s="795" t="s">
        <v>7</v>
      </c>
      <c r="O37" s="795"/>
      <c r="P37" s="795"/>
      <c r="Q37" s="818" t="s">
        <v>389</v>
      </c>
      <c r="R37" s="1"/>
      <c r="S37" s="1"/>
      <c r="T37" s="1"/>
      <c r="U37" s="1"/>
      <c r="V37" s="1"/>
      <c r="W37" s="1"/>
      <c r="X37" s="1"/>
      <c r="Y37" s="1"/>
      <c r="Z37" s="1"/>
      <c r="AA37" s="1"/>
      <c r="AB37" s="1"/>
      <c r="AC37" s="1"/>
      <c r="AD37" s="1"/>
    </row>
    <row r="38" spans="1:30" x14ac:dyDescent="0.3">
      <c r="A38" s="303"/>
      <c r="B38" s="304" t="s">
        <v>368</v>
      </c>
      <c r="C38" s="304" t="s">
        <v>369</v>
      </c>
      <c r="D38" s="305" t="s">
        <v>46</v>
      </c>
      <c r="E38" s="305" t="s">
        <v>47</v>
      </c>
      <c r="F38" s="306" t="s">
        <v>48</v>
      </c>
      <c r="G38" s="383"/>
      <c r="H38" s="381" t="s">
        <v>374</v>
      </c>
      <c r="I38" s="306" t="s">
        <v>44</v>
      </c>
      <c r="J38" s="1"/>
      <c r="K38" s="4"/>
      <c r="L38" s="4"/>
      <c r="M38" s="843"/>
      <c r="N38" s="796"/>
      <c r="O38" s="796"/>
      <c r="P38" s="796"/>
      <c r="Q38" s="819"/>
      <c r="R38" s="1"/>
      <c r="S38" s="1"/>
      <c r="T38" s="1"/>
      <c r="U38" s="1"/>
      <c r="V38" s="1"/>
      <c r="W38" s="1"/>
      <c r="X38" s="1"/>
      <c r="Y38" s="1"/>
      <c r="Z38" s="1"/>
      <c r="AA38" s="1"/>
      <c r="AB38" s="1"/>
      <c r="AC38" s="1"/>
      <c r="AD38" s="1"/>
    </row>
    <row r="39" spans="1:30" x14ac:dyDescent="0.3">
      <c r="A39" s="378" t="str">
        <f>IF(ISBLANK(A30),"",A30)</f>
        <v>Betriebsjahr</v>
      </c>
      <c r="B39" s="727">
        <f>IF(ISBLANK(B30),"",B30)</f>
        <v>7</v>
      </c>
      <c r="C39" s="690" t="str">
        <f>IF(ISBLANK(C30),"",C30)</f>
        <v/>
      </c>
      <c r="D39" s="142" t="str">
        <f t="shared" ref="D39:D44" si="8">IF(ISBLANK(E30),"",ROUND(E30*0.85,-2))</f>
        <v/>
      </c>
      <c r="E39" s="156" t="str">
        <f t="shared" ref="E39:E44" si="9">IF(ISBLANK(E30),"",E30/($D$13*$D$16*F39))</f>
        <v/>
      </c>
      <c r="F39" s="64">
        <v>0.97</v>
      </c>
      <c r="G39" s="383"/>
      <c r="H39" s="269" t="str">
        <f t="shared" ref="H39:H44" si="10">IF(E39="","",E39*D$13*D$16)</f>
        <v/>
      </c>
      <c r="I39" s="143" t="str">
        <f t="shared" ref="I39:I44" si="11">IF(H39="","",H39*D30)</f>
        <v/>
      </c>
      <c r="J39" s="1"/>
      <c r="K39" s="4"/>
      <c r="L39" s="4"/>
      <c r="M39" s="28" t="s">
        <v>216</v>
      </c>
      <c r="N39" s="790">
        <f>VLOOKUP(D10,Tabelle9[#All],2,FALSE)</f>
        <v>1075</v>
      </c>
      <c r="O39" s="790"/>
      <c r="P39" s="790"/>
      <c r="Q39" s="351">
        <v>1</v>
      </c>
      <c r="R39" s="1"/>
      <c r="S39" s="1"/>
      <c r="T39" s="1"/>
      <c r="U39" s="1"/>
      <c r="V39" s="1"/>
      <c r="W39" s="1"/>
      <c r="X39" s="1"/>
      <c r="Y39" s="1"/>
      <c r="Z39" s="1"/>
      <c r="AA39" s="1"/>
      <c r="AB39" s="1"/>
      <c r="AC39" s="1"/>
      <c r="AD39" s="1"/>
    </row>
    <row r="40" spans="1:30" x14ac:dyDescent="0.3">
      <c r="A40" s="378" t="str">
        <f t="shared" ref="A40:C44" si="12">IF(ISBLANK(A31),"",A31)</f>
        <v>Betriebsjahr</v>
      </c>
      <c r="B40" s="655" t="str">
        <f t="shared" si="12"/>
        <v/>
      </c>
      <c r="C40" s="656" t="str">
        <f t="shared" si="12"/>
        <v/>
      </c>
      <c r="D40" s="142" t="str">
        <f t="shared" si="8"/>
        <v/>
      </c>
      <c r="E40" s="156" t="str">
        <f t="shared" si="9"/>
        <v/>
      </c>
      <c r="F40" s="64">
        <v>0.97</v>
      </c>
      <c r="G40" s="383"/>
      <c r="H40" s="269" t="str">
        <f t="shared" si="10"/>
        <v/>
      </c>
      <c r="I40" s="143" t="str">
        <f t="shared" si="11"/>
        <v/>
      </c>
      <c r="J40" s="1"/>
      <c r="K40" s="4"/>
      <c r="L40" s="4"/>
      <c r="M40" s="28" t="s">
        <v>220</v>
      </c>
      <c r="N40" s="790">
        <f>VLOOKUP(D10,Tabelle9[#All],3,FALSE)</f>
        <v>1200</v>
      </c>
      <c r="O40" s="790"/>
      <c r="P40" s="790"/>
      <c r="Q40" s="351">
        <v>2</v>
      </c>
      <c r="R40" s="1"/>
      <c r="S40" s="1"/>
      <c r="T40" s="1"/>
      <c r="U40" s="1"/>
      <c r="V40" s="1"/>
      <c r="W40" s="1"/>
      <c r="X40" s="1"/>
      <c r="Y40" s="1"/>
      <c r="Z40" s="1"/>
      <c r="AA40" s="1"/>
      <c r="AB40" s="1"/>
      <c r="AC40" s="1"/>
      <c r="AD40" s="1"/>
    </row>
    <row r="41" spans="1:30" x14ac:dyDescent="0.3">
      <c r="A41" s="378" t="str">
        <f t="shared" si="12"/>
        <v>Betriebsjahr</v>
      </c>
      <c r="B41" s="655" t="str">
        <f t="shared" si="12"/>
        <v/>
      </c>
      <c r="C41" s="656" t="str">
        <f t="shared" si="12"/>
        <v/>
      </c>
      <c r="D41" s="142" t="str">
        <f t="shared" si="8"/>
        <v/>
      </c>
      <c r="E41" s="156" t="str">
        <f t="shared" si="9"/>
        <v/>
      </c>
      <c r="F41" s="64">
        <v>0.97</v>
      </c>
      <c r="G41" s="11"/>
      <c r="H41" s="269" t="str">
        <f t="shared" si="10"/>
        <v/>
      </c>
      <c r="I41" s="143" t="str">
        <f t="shared" si="11"/>
        <v/>
      </c>
      <c r="J41" s="1"/>
      <c r="K41" s="4"/>
      <c r="L41" s="4"/>
      <c r="M41" s="28" t="s">
        <v>215</v>
      </c>
      <c r="N41" s="790">
        <f>IF(D9="Gittermast",VLOOKUP(D10,'Externe Leistungen'!M5:N18,2,FALSE),0)</f>
        <v>0</v>
      </c>
      <c r="O41" s="790"/>
      <c r="P41" s="790"/>
      <c r="Q41" s="351">
        <v>1</v>
      </c>
      <c r="R41" s="1"/>
      <c r="S41" s="1"/>
      <c r="T41" s="1"/>
      <c r="U41" s="1"/>
      <c r="V41" s="1"/>
      <c r="W41" s="1"/>
      <c r="X41" s="1"/>
      <c r="Y41" s="1"/>
      <c r="Z41" s="1"/>
      <c r="AA41" s="1"/>
      <c r="AB41" s="1"/>
      <c r="AC41" s="1"/>
      <c r="AD41" s="1"/>
    </row>
    <row r="42" spans="1:30" x14ac:dyDescent="0.3">
      <c r="A42" s="378" t="str">
        <f t="shared" si="12"/>
        <v>Betriebsjahr</v>
      </c>
      <c r="B42" s="655" t="str">
        <f t="shared" si="12"/>
        <v/>
      </c>
      <c r="C42" s="656" t="str">
        <f t="shared" si="12"/>
        <v/>
      </c>
      <c r="D42" s="142" t="str">
        <f t="shared" si="8"/>
        <v/>
      </c>
      <c r="E42" s="156" t="str">
        <f t="shared" si="9"/>
        <v/>
      </c>
      <c r="F42" s="64">
        <v>0.97</v>
      </c>
      <c r="G42" s="80"/>
      <c r="H42" s="269" t="str">
        <f t="shared" si="10"/>
        <v/>
      </c>
      <c r="I42" s="143" t="str">
        <f t="shared" si="11"/>
        <v/>
      </c>
      <c r="J42" s="1"/>
      <c r="K42" s="4"/>
      <c r="L42" s="4"/>
      <c r="M42" s="28" t="s">
        <v>422</v>
      </c>
      <c r="N42" s="790">
        <f>IF(R42=TRUE,VLOOKUP(D10,Tabelle4[#All],5,FALSE),0)</f>
        <v>0</v>
      </c>
      <c r="O42" s="790"/>
      <c r="P42" s="790"/>
      <c r="Q42" s="351">
        <v>1</v>
      </c>
      <c r="R42" s="1" t="b">
        <v>0</v>
      </c>
      <c r="S42" s="1"/>
      <c r="T42" s="1"/>
      <c r="U42" s="1"/>
      <c r="V42" s="1"/>
      <c r="W42" s="1"/>
      <c r="X42" s="1"/>
      <c r="Y42" s="1"/>
      <c r="Z42" s="1"/>
      <c r="AA42" s="1"/>
      <c r="AB42" s="1"/>
      <c r="AC42" s="1"/>
      <c r="AD42" s="1"/>
    </row>
    <row r="43" spans="1:30" x14ac:dyDescent="0.3">
      <c r="A43" s="378" t="str">
        <f t="shared" si="12"/>
        <v>Betriebsjahr</v>
      </c>
      <c r="B43" s="655" t="str">
        <f t="shared" si="12"/>
        <v/>
      </c>
      <c r="C43" s="656" t="str">
        <f t="shared" si="12"/>
        <v/>
      </c>
      <c r="D43" s="142" t="str">
        <f t="shared" si="8"/>
        <v/>
      </c>
      <c r="E43" s="156" t="str">
        <f t="shared" si="9"/>
        <v/>
      </c>
      <c r="F43" s="64">
        <v>0.97</v>
      </c>
      <c r="G43" s="80"/>
      <c r="H43" s="269" t="str">
        <f t="shared" si="10"/>
        <v/>
      </c>
      <c r="I43" s="143" t="str">
        <f t="shared" si="11"/>
        <v/>
      </c>
      <c r="J43" s="1"/>
      <c r="K43" s="4"/>
      <c r="L43" s="4"/>
      <c r="M43" s="28" t="s">
        <v>428</v>
      </c>
      <c r="N43" s="790">
        <f>IF(AND(R43=TRUE,S43=FALSE),VLOOKUP(D10,Tabelle9[#All],6,FALSE),IF(AND(S43=TRUE,R43=TRUE),VLOOKUP(D10,Tabelle9[#All],6,FALSE)+VLOOKUP(D10,Tabelle9[#All],7,FALSE),0))</f>
        <v>0</v>
      </c>
      <c r="O43" s="790"/>
      <c r="P43" s="790"/>
      <c r="Q43" s="351">
        <v>1</v>
      </c>
      <c r="R43" s="1" t="b">
        <v>0</v>
      </c>
      <c r="S43" s="1" t="b">
        <v>0</v>
      </c>
      <c r="T43" s="1"/>
      <c r="U43" s="1"/>
      <c r="V43" s="1"/>
      <c r="W43" s="1"/>
      <c r="X43" s="1"/>
      <c r="Y43" s="1"/>
      <c r="Z43" s="1"/>
      <c r="AA43" s="1"/>
      <c r="AB43" s="1"/>
      <c r="AC43" s="1"/>
      <c r="AD43" s="1"/>
    </row>
    <row r="44" spans="1:30" x14ac:dyDescent="0.3">
      <c r="A44" s="378" t="str">
        <f t="shared" si="12"/>
        <v>Betriebsjahr</v>
      </c>
      <c r="B44" s="691" t="str">
        <f t="shared" si="12"/>
        <v/>
      </c>
      <c r="C44" s="692" t="str">
        <f t="shared" si="12"/>
        <v/>
      </c>
      <c r="D44" s="142" t="str">
        <f t="shared" si="8"/>
        <v/>
      </c>
      <c r="E44" s="156" t="str">
        <f t="shared" si="9"/>
        <v/>
      </c>
      <c r="F44" s="64">
        <v>0.97</v>
      </c>
      <c r="G44" s="80"/>
      <c r="H44" s="269" t="str">
        <f t="shared" si="10"/>
        <v/>
      </c>
      <c r="I44" s="143" t="str">
        <f t="shared" si="11"/>
        <v/>
      </c>
      <c r="J44" s="1"/>
      <c r="K44" s="4"/>
      <c r="L44" s="4"/>
      <c r="M44" s="28" t="s">
        <v>429</v>
      </c>
      <c r="N44" s="790">
        <f>IF(R44=TRUE,VLOOKUP(D10,Tabelle9[#All],4,FALSE),0)</f>
        <v>0</v>
      </c>
      <c r="O44" s="790"/>
      <c r="P44" s="790"/>
      <c r="Q44" s="351">
        <v>1</v>
      </c>
      <c r="R44" s="1" t="b">
        <v>0</v>
      </c>
      <c r="S44" s="1"/>
      <c r="T44" s="1"/>
      <c r="U44" s="1"/>
      <c r="V44" s="1"/>
      <c r="W44" s="1"/>
      <c r="X44" s="1"/>
      <c r="Y44" s="1"/>
      <c r="Z44" s="1"/>
      <c r="AA44" s="1"/>
      <c r="AB44" s="1"/>
      <c r="AC44" s="1"/>
      <c r="AD44" s="1"/>
    </row>
    <row r="45" spans="1:30" x14ac:dyDescent="0.3">
      <c r="A45" s="93" t="s">
        <v>1</v>
      </c>
      <c r="B45" s="94"/>
      <c r="C45" s="94"/>
      <c r="D45" s="94"/>
      <c r="E45" s="94"/>
      <c r="F45" s="95"/>
      <c r="G45" s="11"/>
      <c r="H45" s="271"/>
      <c r="I45" s="143">
        <f>SUM(I39:I44)</f>
        <v>0</v>
      </c>
      <c r="J45" s="1"/>
      <c r="K45" s="4"/>
      <c r="L45" s="4"/>
      <c r="M45" s="28" t="s">
        <v>427</v>
      </c>
      <c r="N45" s="790">
        <f>IF(R45=TRUE,VLOOKUP(D10,Tabelle9[#All],9,FALSE),0)</f>
        <v>0</v>
      </c>
      <c r="O45" s="790"/>
      <c r="P45" s="790"/>
      <c r="Q45" s="351">
        <v>4</v>
      </c>
      <c r="R45" s="1" t="b">
        <v>0</v>
      </c>
      <c r="S45" s="1"/>
      <c r="T45" s="1"/>
      <c r="U45" s="1"/>
      <c r="V45" s="1"/>
      <c r="W45" s="1"/>
      <c r="X45" s="1"/>
      <c r="Y45" s="1"/>
      <c r="Z45" s="1"/>
      <c r="AA45" s="1"/>
      <c r="AB45" s="1"/>
      <c r="AC45" s="1"/>
      <c r="AD45" s="1"/>
    </row>
    <row r="46" spans="1:30" x14ac:dyDescent="0.3">
      <c r="A46" s="96"/>
      <c r="B46" s="97"/>
      <c r="C46" s="97"/>
      <c r="D46" s="97"/>
      <c r="E46" s="97"/>
      <c r="F46" s="98"/>
      <c r="G46" s="383"/>
      <c r="H46" s="272" t="s">
        <v>249</v>
      </c>
      <c r="I46" s="270">
        <f>I45/D$24</f>
        <v>0</v>
      </c>
      <c r="J46" s="1"/>
      <c r="K46" s="4"/>
      <c r="L46" s="4"/>
      <c r="M46" s="32" t="s">
        <v>430</v>
      </c>
      <c r="N46" s="815">
        <f>IF(R46=TRUE,VLOOKUP(D10,Tabelle9[#All],8,FALSE),0)</f>
        <v>0</v>
      </c>
      <c r="O46" s="815"/>
      <c r="P46" s="815"/>
      <c r="Q46" s="352">
        <v>4</v>
      </c>
      <c r="R46" s="1" t="b">
        <v>0</v>
      </c>
      <c r="S46" s="1"/>
      <c r="T46" s="1"/>
      <c r="U46" s="1"/>
      <c r="V46" s="1"/>
      <c r="W46" s="1"/>
      <c r="X46" s="1"/>
      <c r="Y46" s="1"/>
      <c r="Z46" s="1"/>
      <c r="AA46" s="1"/>
      <c r="AB46" s="1"/>
      <c r="AC46" s="1"/>
      <c r="AD46" s="1"/>
    </row>
    <row r="47" spans="1:30" x14ac:dyDescent="0.3">
      <c r="A47" s="99"/>
      <c r="B47" s="100"/>
      <c r="C47" s="100"/>
      <c r="D47" s="100"/>
      <c r="E47" s="100"/>
      <c r="F47" s="101"/>
      <c r="G47" s="383"/>
      <c r="H47" s="12"/>
      <c r="I47" s="53"/>
      <c r="J47" s="1"/>
      <c r="K47" s="4"/>
      <c r="L47" s="4"/>
      <c r="M47" s="12"/>
      <c r="N47" s="53"/>
      <c r="O47" s="2"/>
      <c r="P47" s="2"/>
      <c r="Q47" s="1"/>
      <c r="R47" s="1"/>
      <c r="S47" s="1"/>
      <c r="T47" s="1"/>
      <c r="U47" s="1"/>
      <c r="V47" s="1"/>
      <c r="W47" s="1"/>
      <c r="X47" s="1"/>
      <c r="Y47" s="1"/>
      <c r="Z47" s="1"/>
      <c r="AA47" s="1"/>
      <c r="AB47" s="1"/>
      <c r="AC47" s="1"/>
      <c r="AD47" s="1"/>
    </row>
    <row r="48" spans="1:30" x14ac:dyDescent="0.3">
      <c r="A48" s="84"/>
      <c r="B48" s="85"/>
      <c r="C48" s="85"/>
      <c r="D48" s="85"/>
      <c r="E48" s="85"/>
      <c r="F48" s="86"/>
      <c r="G48" s="383"/>
      <c r="H48" s="12" t="s">
        <v>114</v>
      </c>
      <c r="I48" s="53"/>
      <c r="J48" s="1"/>
      <c r="K48" s="4"/>
      <c r="L48" s="4"/>
      <c r="M48" s="793" t="s">
        <v>205</v>
      </c>
      <c r="N48" s="795" t="s">
        <v>200</v>
      </c>
      <c r="O48" s="797" t="s">
        <v>26</v>
      </c>
      <c r="P48" s="799" t="s">
        <v>18</v>
      </c>
      <c r="Q48" s="1"/>
      <c r="R48" s="1"/>
      <c r="S48" s="1"/>
      <c r="T48" s="1"/>
      <c r="U48" s="1"/>
      <c r="V48" s="1"/>
      <c r="W48" s="1"/>
      <c r="X48" s="1"/>
      <c r="Y48" s="1"/>
      <c r="Z48" s="1"/>
      <c r="AA48" s="1"/>
      <c r="AB48" s="1"/>
      <c r="AC48" s="1"/>
      <c r="AD48" s="1"/>
    </row>
    <row r="49" spans="1:30" x14ac:dyDescent="0.3">
      <c r="A49" s="84"/>
      <c r="B49" s="85"/>
      <c r="C49" s="85"/>
      <c r="D49" s="85"/>
      <c r="E49" s="85"/>
      <c r="F49" s="86"/>
      <c r="G49" s="383"/>
      <c r="H49" s="383"/>
      <c r="I49" s="53"/>
      <c r="J49" s="1"/>
      <c r="K49" s="4"/>
      <c r="L49" s="4"/>
      <c r="M49" s="794"/>
      <c r="N49" s="796"/>
      <c r="O49" s="798"/>
      <c r="P49" s="800"/>
      <c r="Q49" s="1"/>
      <c r="R49" s="1"/>
      <c r="S49" s="1"/>
      <c r="T49" s="1"/>
      <c r="U49" s="1"/>
      <c r="V49" s="1"/>
      <c r="W49" s="1"/>
      <c r="X49" s="1"/>
      <c r="Y49" s="1"/>
      <c r="Z49" s="1"/>
      <c r="AA49" s="1"/>
      <c r="AB49" s="1"/>
      <c r="AC49" s="1"/>
      <c r="AD49" s="1"/>
    </row>
    <row r="50" spans="1:30" x14ac:dyDescent="0.3">
      <c r="A50" s="84"/>
      <c r="B50" s="85"/>
      <c r="C50" s="85"/>
      <c r="D50" s="85"/>
      <c r="E50" s="85"/>
      <c r="F50" s="86"/>
      <c r="G50" s="383"/>
      <c r="H50" s="134"/>
      <c r="I50" s="831" t="s">
        <v>111</v>
      </c>
      <c r="J50" s="832"/>
      <c r="K50" s="4"/>
      <c r="L50" s="4"/>
      <c r="M50" s="28" t="s">
        <v>216</v>
      </c>
      <c r="N50" s="195">
        <f>N39/Q39</f>
        <v>1075</v>
      </c>
      <c r="O50" s="196">
        <v>0.2</v>
      </c>
      <c r="P50" s="197">
        <f>N50*(1+O50)</f>
        <v>1290</v>
      </c>
      <c r="Q50" s="1"/>
      <c r="R50" s="2"/>
      <c r="S50" s="2"/>
      <c r="T50" s="2"/>
      <c r="U50" s="1"/>
      <c r="V50" s="1"/>
      <c r="W50" s="1"/>
      <c r="X50" s="1"/>
      <c r="Y50" s="1"/>
      <c r="Z50" s="1"/>
      <c r="AA50" s="1"/>
      <c r="AB50" s="1"/>
      <c r="AC50" s="1"/>
      <c r="AD50" s="1"/>
    </row>
    <row r="51" spans="1:30" x14ac:dyDescent="0.3">
      <c r="A51" s="84"/>
      <c r="B51" s="85"/>
      <c r="C51" s="85"/>
      <c r="D51" s="85"/>
      <c r="E51" s="85"/>
      <c r="F51" s="86"/>
      <c r="G51" s="383"/>
      <c r="H51" s="133"/>
      <c r="I51" s="833" t="s">
        <v>113</v>
      </c>
      <c r="J51" s="834"/>
      <c r="K51" s="4"/>
      <c r="L51" s="4"/>
      <c r="M51" s="28" t="s">
        <v>390</v>
      </c>
      <c r="N51" s="195">
        <f>N40/Q40</f>
        <v>600</v>
      </c>
      <c r="O51" s="196">
        <v>0.2</v>
      </c>
      <c r="P51" s="197">
        <f>N51*(1+O51)</f>
        <v>720</v>
      </c>
      <c r="Q51" s="1"/>
      <c r="R51" s="2"/>
      <c r="S51" s="2"/>
      <c r="T51" s="2"/>
      <c r="U51" s="1"/>
      <c r="V51" s="1"/>
      <c r="W51" s="1"/>
      <c r="X51" s="1"/>
      <c r="Y51" s="1"/>
      <c r="Z51" s="1"/>
      <c r="AA51" s="1"/>
      <c r="AB51" s="1"/>
      <c r="AC51" s="1"/>
      <c r="AD51" s="2"/>
    </row>
    <row r="52" spans="1:30" x14ac:dyDescent="0.3">
      <c r="A52" s="87"/>
      <c r="B52" s="88"/>
      <c r="C52" s="88"/>
      <c r="D52" s="88"/>
      <c r="E52" s="88"/>
      <c r="F52" s="89"/>
      <c r="G52" s="383"/>
      <c r="H52" s="135"/>
      <c r="I52" s="829" t="s">
        <v>112</v>
      </c>
      <c r="J52" s="830"/>
      <c r="K52" s="4"/>
      <c r="L52" s="4"/>
      <c r="M52" s="28" t="s">
        <v>215</v>
      </c>
      <c r="N52" s="195">
        <f>N41/Q41</f>
        <v>0</v>
      </c>
      <c r="O52" s="196">
        <v>0.2</v>
      </c>
      <c r="P52" s="197">
        <f>N52*(1+O52)</f>
        <v>0</v>
      </c>
      <c r="Q52" s="1"/>
      <c r="R52" s="2"/>
      <c r="S52" s="2"/>
      <c r="T52" s="2"/>
      <c r="U52" s="1"/>
      <c r="V52" s="1"/>
      <c r="W52" s="1"/>
      <c r="X52" s="1"/>
      <c r="Y52" s="2"/>
      <c r="Z52" s="2"/>
      <c r="AA52" s="2"/>
      <c r="AB52" s="2"/>
      <c r="AC52" s="2"/>
      <c r="AD52" s="2"/>
    </row>
    <row r="53" spans="1:30" x14ac:dyDescent="0.3">
      <c r="A53" s="90"/>
      <c r="B53" s="91"/>
      <c r="C53" s="91"/>
      <c r="D53" s="91"/>
      <c r="E53" s="91"/>
      <c r="F53" s="92"/>
      <c r="G53" s="383"/>
      <c r="H53" s="2"/>
      <c r="I53" s="2"/>
      <c r="J53" s="1"/>
      <c r="K53" s="4"/>
      <c r="L53" s="4"/>
      <c r="M53" s="28" t="s">
        <v>422</v>
      </c>
      <c r="N53" s="195">
        <f>N42/Q42</f>
        <v>0</v>
      </c>
      <c r="O53" s="196">
        <v>0</v>
      </c>
      <c r="P53" s="197">
        <f t="shared" ref="P53:P55" si="13">N53*(1+O53)</f>
        <v>0</v>
      </c>
      <c r="Q53" s="1"/>
      <c r="R53" s="53"/>
      <c r="S53" s="2"/>
      <c r="T53" s="2"/>
      <c r="U53" s="1"/>
      <c r="V53" s="1"/>
      <c r="W53" s="1"/>
      <c r="X53" s="1"/>
      <c r="Y53" s="2"/>
      <c r="Z53" s="2"/>
      <c r="AA53" s="2"/>
      <c r="AB53" s="2"/>
      <c r="AC53" s="2"/>
      <c r="AD53" s="2"/>
    </row>
    <row r="54" spans="1:30" x14ac:dyDescent="0.3">
      <c r="M54" s="28" t="s">
        <v>431</v>
      </c>
      <c r="N54" s="195">
        <f>IF(AND(R43=TRUE,S43=FALSE,R44=FALSE,R45=FALSE),N43,IF(AND(R43=FALSE,S43=TRUE,R44=FALSE,R45=FALSE),N43,IF(AND(R43=FALSE,S43=FALSE,R44=TRUE,R45=FALSE),N44,IF(AND(R43=FALSE,S43=FALSE,R44=FALSE,R45=TRUE),N45,IF(AND(R43=TRUE,S43=TRUE,R44=FALSE,R45=FALSE),N43,IF(AND(R43=TRUE,S43=FALSE,R44=TRUE,R45=FALSE),1500,IF(AND(R43=TRUE,S43=TRUE,R44=TRUE,R45=FALSE),2400,IF(AND(R43=TRUE,S43=TRUE,R44=TRUE,R45=TRUE),2400+N45,IF(AND(R43=TRUE,S43=FALSE,R44=TRUE,R45=TRUE),1500+N45,IF(AND(R43=FALSE,S43=FALSE,R44=TRUE,R45=TRUE),N44+N45,IF(AND(R43=TRUE,S43=FALSE,R44=FALSE,R45=TRUE),N43+N45,IF(AND(R43=TRUE,S43=TRUE,R44=FALSE,R45=TRUE),N43+N45,0))))))))))))</f>
        <v>0</v>
      </c>
      <c r="O54" s="196">
        <v>0.1</v>
      </c>
      <c r="P54" s="197">
        <f>IF(AND(D7&lt;=2,N54&lt;&gt;0),N54*(1+O54)+D7*150,N54*(1+O54))</f>
        <v>0</v>
      </c>
      <c r="Q54" s="1"/>
    </row>
    <row r="55" spans="1:30" x14ac:dyDescent="0.3">
      <c r="M55" s="28" t="s">
        <v>430</v>
      </c>
      <c r="N55" s="195">
        <f>N46/Q46</f>
        <v>0</v>
      </c>
      <c r="O55" s="196">
        <v>0.1</v>
      </c>
      <c r="P55" s="197">
        <f t="shared" si="13"/>
        <v>0</v>
      </c>
      <c r="Q55" s="43"/>
    </row>
    <row r="56" spans="1:30" x14ac:dyDescent="0.3">
      <c r="M56" s="198" t="s">
        <v>44</v>
      </c>
      <c r="N56" s="199">
        <f>SUM(N50:N55)</f>
        <v>1675</v>
      </c>
      <c r="O56" s="200">
        <f>AVERAGE(O50:O52)</f>
        <v>0.20000000000000004</v>
      </c>
      <c r="P56" s="201">
        <f>SUM(P50:P55)</f>
        <v>2010</v>
      </c>
      <c r="Q56" s="11"/>
    </row>
    <row r="57" spans="1:30" x14ac:dyDescent="0.3">
      <c r="M57" s="7"/>
      <c r="N57" s="11"/>
      <c r="O57" s="11"/>
      <c r="P57" s="1"/>
      <c r="Q57" s="383"/>
    </row>
    <row r="58" spans="1:30" ht="15.6" x14ac:dyDescent="0.3">
      <c r="M58" s="55"/>
      <c r="N58" s="11"/>
      <c r="O58" s="7"/>
      <c r="P58" s="1"/>
    </row>
    <row r="59" spans="1:30" x14ac:dyDescent="0.3">
      <c r="M59" s="7"/>
      <c r="N59" s="8"/>
      <c r="O59" s="56"/>
      <c r="P59" s="1"/>
    </row>
  </sheetData>
  <mergeCells count="67">
    <mergeCell ref="AD3:AD5"/>
    <mergeCell ref="A4:C4"/>
    <mergeCell ref="A5:C5"/>
    <mergeCell ref="A6:C6"/>
    <mergeCell ref="A7:C7"/>
    <mergeCell ref="P3:P5"/>
    <mergeCell ref="Q3:Q5"/>
    <mergeCell ref="R3:R5"/>
    <mergeCell ref="S3:S5"/>
    <mergeCell ref="T3:T5"/>
    <mergeCell ref="AC3:AC5"/>
    <mergeCell ref="A3:D3"/>
    <mergeCell ref="E3:F3"/>
    <mergeCell ref="H3:J3"/>
    <mergeCell ref="A9:C9"/>
    <mergeCell ref="A10:C10"/>
    <mergeCell ref="A8:C8"/>
    <mergeCell ref="A11:C11"/>
    <mergeCell ref="A12:C12"/>
    <mergeCell ref="A13:C13"/>
    <mergeCell ref="A21:D21"/>
    <mergeCell ref="A15:D15"/>
    <mergeCell ref="A16:C16"/>
    <mergeCell ref="A19:C19"/>
    <mergeCell ref="A20:C20"/>
    <mergeCell ref="A14:C14"/>
    <mergeCell ref="A28:C28"/>
    <mergeCell ref="H28:I28"/>
    <mergeCell ref="M29:N29"/>
    <mergeCell ref="M16:M17"/>
    <mergeCell ref="N16:N17"/>
    <mergeCell ref="A22:C22"/>
    <mergeCell ref="A23:C23"/>
    <mergeCell ref="A24:C24"/>
    <mergeCell ref="A25:C25"/>
    <mergeCell ref="A26:C26"/>
    <mergeCell ref="A17:C17"/>
    <mergeCell ref="A18:C18"/>
    <mergeCell ref="T29:U29"/>
    <mergeCell ref="T31:U31"/>
    <mergeCell ref="T32:U32"/>
    <mergeCell ref="I50:J50"/>
    <mergeCell ref="I51:J51"/>
    <mergeCell ref="M37:M38"/>
    <mergeCell ref="N37:P38"/>
    <mergeCell ref="Q37:Q38"/>
    <mergeCell ref="N42:P42"/>
    <mergeCell ref="N43:P43"/>
    <mergeCell ref="N44:P44"/>
    <mergeCell ref="N45:P45"/>
    <mergeCell ref="N46:P46"/>
    <mergeCell ref="Q2:R2"/>
    <mergeCell ref="I52:J52"/>
    <mergeCell ref="N39:P39"/>
    <mergeCell ref="N40:P40"/>
    <mergeCell ref="N41:P41"/>
    <mergeCell ref="M48:M49"/>
    <mergeCell ref="N48:N49"/>
    <mergeCell ref="O48:O49"/>
    <mergeCell ref="P48:P49"/>
    <mergeCell ref="Q16:Q17"/>
    <mergeCell ref="O16:O17"/>
    <mergeCell ref="P16:P17"/>
    <mergeCell ref="M3:M5"/>
    <mergeCell ref="N3:N5"/>
    <mergeCell ref="O3:O5"/>
    <mergeCell ref="L3:L5"/>
  </mergeCells>
  <conditionalFormatting sqref="J24">
    <cfRule type="cellIs" dxfId="250" priority="8" operator="greaterThan">
      <formula>0.2</formula>
    </cfRule>
    <cfRule type="cellIs" dxfId="249" priority="9" operator="lessThan">
      <formula>0.2</formula>
    </cfRule>
  </conditionalFormatting>
  <conditionalFormatting sqref="J25">
    <cfRule type="cellIs" dxfId="248" priority="6" operator="greaterThan">
      <formula>0.01</formula>
    </cfRule>
    <cfRule type="cellIs" dxfId="247" priority="7" operator="lessThan">
      <formula>0.01</formula>
    </cfRule>
  </conditionalFormatting>
  <conditionalFormatting sqref="D12">
    <cfRule type="cellIs" dxfId="246" priority="5" operator="lessThan">
      <formula>50</formula>
    </cfRule>
  </conditionalFormatting>
  <conditionalFormatting sqref="D4:D10">
    <cfRule type="cellIs" dxfId="245" priority="4" operator="equal">
      <formula>0</formula>
    </cfRule>
  </conditionalFormatting>
  <conditionalFormatting sqref="D17">
    <cfRule type="cellIs" dxfId="244" priority="3" operator="equal">
      <formula>0</formula>
    </cfRule>
  </conditionalFormatting>
  <conditionalFormatting sqref="D13:D14 D18:D20">
    <cfRule type="cellIs" dxfId="243" priority="1" operator="greaterThan">
      <formula>800</formula>
    </cfRule>
    <cfRule type="expression" dxfId="242" priority="2">
      <formula>ISERROR(#N/A)</formula>
    </cfRule>
  </conditionalFormatting>
  <dataValidations count="1">
    <dataValidation type="decimal" allowBlank="1" showInputMessage="1" showErrorMessage="1" sqref="D12" xr:uid="{00000000-0002-0000-0300-000000000000}">
      <formula1>45</formula1>
      <formula2>160</formula2>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43" r:id="rId3" name="Check Box 19">
              <controlPr defaultSize="0" autoFill="0" autoLine="0" autoPict="0">
                <anchor moveWithCells="1">
                  <from>
                    <xdr:col>12</xdr:col>
                    <xdr:colOff>1600200</xdr:colOff>
                    <xdr:row>41</xdr:row>
                    <xdr:rowOff>7620</xdr:rowOff>
                  </from>
                  <to>
                    <xdr:col>12</xdr:col>
                    <xdr:colOff>1965960</xdr:colOff>
                    <xdr:row>42</xdr:row>
                    <xdr:rowOff>45720</xdr:rowOff>
                  </to>
                </anchor>
              </controlPr>
            </control>
          </mc:Choice>
        </mc:AlternateContent>
        <mc:AlternateContent xmlns:mc="http://schemas.openxmlformats.org/markup-compatibility/2006">
          <mc:Choice Requires="x14">
            <control shapeId="26644" r:id="rId4" name="Check Box 20">
              <controlPr defaultSize="0" autoFill="0" autoLine="0" autoPict="0">
                <anchor moveWithCells="1">
                  <from>
                    <xdr:col>12</xdr:col>
                    <xdr:colOff>1417320</xdr:colOff>
                    <xdr:row>41</xdr:row>
                    <xdr:rowOff>160020</xdr:rowOff>
                  </from>
                  <to>
                    <xdr:col>12</xdr:col>
                    <xdr:colOff>1790700</xdr:colOff>
                    <xdr:row>42</xdr:row>
                    <xdr:rowOff>182880</xdr:rowOff>
                  </to>
                </anchor>
              </controlPr>
            </control>
          </mc:Choice>
        </mc:AlternateContent>
        <mc:AlternateContent xmlns:mc="http://schemas.openxmlformats.org/markup-compatibility/2006">
          <mc:Choice Requires="x14">
            <control shapeId="26645" r:id="rId5" name="Check Box 21">
              <controlPr defaultSize="0" autoFill="0" autoLine="0" autoPict="0">
                <anchor moveWithCells="1">
                  <from>
                    <xdr:col>12</xdr:col>
                    <xdr:colOff>1607820</xdr:colOff>
                    <xdr:row>41</xdr:row>
                    <xdr:rowOff>160020</xdr:rowOff>
                  </from>
                  <to>
                    <xdr:col>12</xdr:col>
                    <xdr:colOff>1981200</xdr:colOff>
                    <xdr:row>43</xdr:row>
                    <xdr:rowOff>7620</xdr:rowOff>
                  </to>
                </anchor>
              </controlPr>
            </control>
          </mc:Choice>
        </mc:AlternateContent>
        <mc:AlternateContent xmlns:mc="http://schemas.openxmlformats.org/markup-compatibility/2006">
          <mc:Choice Requires="x14">
            <control shapeId="26646" r:id="rId6" name="Check Box 22">
              <controlPr defaultSize="0" autoFill="0" autoLine="0" autoPict="0">
                <anchor moveWithCells="1">
                  <from>
                    <xdr:col>12</xdr:col>
                    <xdr:colOff>1607820</xdr:colOff>
                    <xdr:row>42</xdr:row>
                    <xdr:rowOff>152400</xdr:rowOff>
                  </from>
                  <to>
                    <xdr:col>12</xdr:col>
                    <xdr:colOff>1981200</xdr:colOff>
                    <xdr:row>43</xdr:row>
                    <xdr:rowOff>182880</xdr:rowOff>
                  </to>
                </anchor>
              </controlPr>
            </control>
          </mc:Choice>
        </mc:AlternateContent>
        <mc:AlternateContent xmlns:mc="http://schemas.openxmlformats.org/markup-compatibility/2006">
          <mc:Choice Requires="x14">
            <control shapeId="26647" r:id="rId7" name="Check Box 23">
              <controlPr defaultSize="0" autoFill="0" autoLine="0" autoPict="0">
                <anchor moveWithCells="1">
                  <from>
                    <xdr:col>12</xdr:col>
                    <xdr:colOff>1607820</xdr:colOff>
                    <xdr:row>43</xdr:row>
                    <xdr:rowOff>160020</xdr:rowOff>
                  </from>
                  <to>
                    <xdr:col>12</xdr:col>
                    <xdr:colOff>1981200</xdr:colOff>
                    <xdr:row>44</xdr:row>
                    <xdr:rowOff>182880</xdr:rowOff>
                  </to>
                </anchor>
              </controlPr>
            </control>
          </mc:Choice>
        </mc:AlternateContent>
        <mc:AlternateContent xmlns:mc="http://schemas.openxmlformats.org/markup-compatibility/2006">
          <mc:Choice Requires="x14">
            <control shapeId="26648" r:id="rId8" name="Check Box 24">
              <controlPr defaultSize="0" autoFill="0" autoLine="0" autoPict="0">
                <anchor moveWithCells="1">
                  <from>
                    <xdr:col>12</xdr:col>
                    <xdr:colOff>1607820</xdr:colOff>
                    <xdr:row>44</xdr:row>
                    <xdr:rowOff>160020</xdr:rowOff>
                  </from>
                  <to>
                    <xdr:col>12</xdr:col>
                    <xdr:colOff>1981200</xdr:colOff>
                    <xdr:row>46</xdr:row>
                    <xdr:rowOff>30480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dimension ref="A1:AD57"/>
  <sheetViews>
    <sheetView zoomScale="80" zoomScaleNormal="80" workbookViewId="0">
      <selection activeCell="B39" sqref="B39"/>
    </sheetView>
  </sheetViews>
  <sheetFormatPr baseColWidth="10" defaultColWidth="11.44140625" defaultRowHeight="14.4" outlineLevelCol="1" x14ac:dyDescent="0.3"/>
  <cols>
    <col min="1" max="1" width="24.109375" style="460" customWidth="1"/>
    <col min="2" max="2" width="5.33203125" style="460" customWidth="1"/>
    <col min="3" max="3" width="6.6640625" style="460" customWidth="1"/>
    <col min="4" max="4" width="20.5546875" style="460" customWidth="1"/>
    <col min="5" max="5" width="25.44140625" style="460" customWidth="1"/>
    <col min="6" max="6" width="24.44140625" style="460" customWidth="1"/>
    <col min="7" max="7" width="4.6640625" style="460" customWidth="1"/>
    <col min="8" max="8" width="27.109375" style="460" customWidth="1"/>
    <col min="9" max="10" width="11.44140625" style="460"/>
    <col min="11" max="11" width="3.88671875" style="460" customWidth="1"/>
    <col min="12" max="12" width="17.109375" style="460" customWidth="1"/>
    <col min="13" max="13" width="42.44140625" style="460" customWidth="1"/>
    <col min="14" max="14" width="17.6640625" style="460" customWidth="1"/>
    <col min="15" max="15" width="12.109375" style="460" customWidth="1"/>
    <col min="16" max="16" width="11.44140625" style="460"/>
    <col min="17" max="17" width="13.109375" style="460" customWidth="1"/>
    <col min="18" max="18" width="11.44140625" style="460"/>
    <col min="19" max="19" width="14.44140625" style="460" customWidth="1"/>
    <col min="20" max="20" width="14.33203125" style="460" customWidth="1"/>
    <col min="21" max="28" width="11.44140625" style="460" hidden="1" customWidth="1" outlineLevel="1"/>
    <col min="29" max="29" width="14.5546875" style="460" customWidth="1" collapsed="1"/>
    <col min="30" max="30" width="15.109375" style="460" customWidth="1"/>
    <col min="31" max="16384" width="11.44140625" style="460"/>
  </cols>
  <sheetData>
    <row r="1" spans="1:30" ht="21" x14ac:dyDescent="0.4">
      <c r="A1" s="452" t="str">
        <f>"Windpark "&amp;D4</f>
        <v>Windpark Remlingen</v>
      </c>
      <c r="B1" s="452"/>
      <c r="C1" s="452"/>
      <c r="D1" s="453"/>
      <c r="E1" s="454">
        <f ca="1">TODAY()</f>
        <v>43202</v>
      </c>
      <c r="F1" s="454"/>
      <c r="G1" s="455"/>
      <c r="H1" s="456"/>
      <c r="I1" s="456"/>
      <c r="J1" s="457"/>
      <c r="K1" s="453"/>
      <c r="L1" s="453"/>
      <c r="M1" s="458" t="s">
        <v>245</v>
      </c>
      <c r="N1" s="459"/>
      <c r="O1" s="453"/>
      <c r="P1" s="453"/>
      <c r="Q1" s="453"/>
      <c r="R1" s="453"/>
      <c r="S1" s="453"/>
      <c r="T1" s="453"/>
      <c r="U1" s="457"/>
      <c r="V1" s="457"/>
      <c r="W1" s="457"/>
      <c r="X1" s="457"/>
      <c r="Y1" s="457"/>
      <c r="Z1" s="457"/>
      <c r="AA1" s="457"/>
      <c r="AB1" s="457"/>
      <c r="AC1" s="457"/>
    </row>
    <row r="2" spans="1:30" x14ac:dyDescent="0.3">
      <c r="A2" s="461"/>
      <c r="B2" s="461"/>
      <c r="C2" s="461"/>
      <c r="D2" s="461"/>
      <c r="E2" s="461"/>
      <c r="F2" s="461"/>
      <c r="G2" s="462"/>
      <c r="H2" s="463"/>
      <c r="I2" s="463"/>
      <c r="J2" s="464"/>
      <c r="K2" s="465"/>
      <c r="L2" s="465"/>
      <c r="M2" s="466"/>
      <c r="N2" s="463"/>
      <c r="O2" s="463"/>
      <c r="P2" s="464"/>
      <c r="Q2" s="821" t="s">
        <v>500</v>
      </c>
      <c r="R2" s="822"/>
      <c r="S2" s="463"/>
      <c r="T2" s="463"/>
      <c r="U2" s="464"/>
      <c r="V2" s="464"/>
      <c r="W2" s="464"/>
      <c r="X2" s="464"/>
      <c r="Y2" s="464"/>
      <c r="Z2" s="464"/>
      <c r="AA2" s="464"/>
      <c r="AB2" s="464"/>
      <c r="AC2" s="464"/>
    </row>
    <row r="3" spans="1:30" ht="12.75" customHeight="1" x14ac:dyDescent="0.3">
      <c r="A3" s="859" t="s">
        <v>4</v>
      </c>
      <c r="B3" s="860"/>
      <c r="C3" s="860"/>
      <c r="D3" s="861"/>
      <c r="E3" s="862" t="s">
        <v>6</v>
      </c>
      <c r="F3" s="863"/>
      <c r="G3" s="462"/>
      <c r="H3" s="864" t="s">
        <v>7</v>
      </c>
      <c r="I3" s="865"/>
      <c r="J3" s="866"/>
      <c r="K3" s="467"/>
      <c r="L3" s="827" t="s">
        <v>502</v>
      </c>
      <c r="M3" s="867" t="s">
        <v>27</v>
      </c>
      <c r="N3" s="857" t="s">
        <v>168</v>
      </c>
      <c r="O3" s="857" t="s">
        <v>169</v>
      </c>
      <c r="P3" s="893" t="s">
        <v>244</v>
      </c>
      <c r="Q3" s="855" t="s">
        <v>177</v>
      </c>
      <c r="R3" s="855" t="s">
        <v>170</v>
      </c>
      <c r="S3" s="855" t="s">
        <v>171</v>
      </c>
      <c r="T3" s="855" t="s">
        <v>172</v>
      </c>
      <c r="U3" s="463"/>
      <c r="V3" s="463"/>
      <c r="W3" s="464"/>
      <c r="X3" s="464"/>
      <c r="Y3" s="464"/>
      <c r="Z3" s="464"/>
      <c r="AA3" s="464"/>
      <c r="AB3" s="464"/>
      <c r="AC3" s="855" t="s">
        <v>247</v>
      </c>
      <c r="AD3" s="855" t="s">
        <v>247</v>
      </c>
    </row>
    <row r="4" spans="1:30" ht="12.75" customHeight="1" x14ac:dyDescent="0.3">
      <c r="A4" s="849" t="s">
        <v>9</v>
      </c>
      <c r="B4" s="850"/>
      <c r="C4" s="850"/>
      <c r="D4" s="468" t="str">
        <f>Basisdaten!C13</f>
        <v>Remlingen</v>
      </c>
      <c r="E4" s="469" t="s">
        <v>16</v>
      </c>
      <c r="F4" s="470">
        <f>I4</f>
        <v>11088</v>
      </c>
      <c r="G4" s="462"/>
      <c r="H4" s="28" t="s">
        <v>213</v>
      </c>
      <c r="I4" s="471">
        <f>J4*D13*D7</f>
        <v>11088</v>
      </c>
      <c r="J4" s="472">
        <f>VWoGK!J4</f>
        <v>0.77</v>
      </c>
      <c r="K4" s="461"/>
      <c r="L4" s="828"/>
      <c r="M4" s="858"/>
      <c r="N4" s="892"/>
      <c r="O4" s="892"/>
      <c r="P4" s="894"/>
      <c r="Q4" s="888"/>
      <c r="R4" s="888"/>
      <c r="S4" s="888"/>
      <c r="T4" s="888"/>
      <c r="U4" s="463"/>
      <c r="V4" s="463"/>
      <c r="W4" s="464"/>
      <c r="X4" s="464"/>
      <c r="Y4" s="464"/>
      <c r="Z4" s="464"/>
      <c r="AA4" s="464"/>
      <c r="AB4" s="464"/>
      <c r="AC4" s="888"/>
      <c r="AD4" s="888"/>
    </row>
    <row r="5" spans="1:30" ht="12.75" customHeight="1" x14ac:dyDescent="0.3">
      <c r="A5" s="849" t="s">
        <v>10</v>
      </c>
      <c r="B5" s="850"/>
      <c r="C5" s="850"/>
      <c r="D5" s="473" t="str">
        <f>Basisdaten!C5</f>
        <v>Mainova Windprak Remlingen GmbH &amp; Co. KG</v>
      </c>
      <c r="E5" s="474" t="s">
        <v>17</v>
      </c>
      <c r="F5" s="470">
        <f ca="1">I15</f>
        <v>91758.214285714275</v>
      </c>
      <c r="G5" s="462"/>
      <c r="H5" s="469" t="s">
        <v>123</v>
      </c>
      <c r="I5" s="475"/>
      <c r="J5" s="476">
        <f>VWoGK!J5</f>
        <v>50</v>
      </c>
      <c r="K5" s="461"/>
      <c r="L5" s="828"/>
      <c r="M5" s="858"/>
      <c r="N5" s="892"/>
      <c r="O5" s="892"/>
      <c r="P5" s="894"/>
      <c r="Q5" s="888"/>
      <c r="R5" s="888"/>
      <c r="S5" s="888"/>
      <c r="T5" s="888"/>
      <c r="U5" s="477" t="s">
        <v>74</v>
      </c>
      <c r="V5" s="477" t="s">
        <v>89</v>
      </c>
      <c r="W5" s="478" t="s">
        <v>90</v>
      </c>
      <c r="X5" s="478" t="s">
        <v>91</v>
      </c>
      <c r="Y5" s="478" t="s">
        <v>92</v>
      </c>
      <c r="Z5" s="478" t="s">
        <v>95</v>
      </c>
      <c r="AA5" s="478" t="s">
        <v>96</v>
      </c>
      <c r="AB5" s="478" t="s">
        <v>97</v>
      </c>
      <c r="AC5" s="888"/>
      <c r="AD5" s="888"/>
    </row>
    <row r="6" spans="1:30" ht="12.75" customHeight="1" x14ac:dyDescent="0.3">
      <c r="A6" s="849" t="s">
        <v>11</v>
      </c>
      <c r="B6" s="850"/>
      <c r="C6" s="850"/>
      <c r="D6" s="468" t="s">
        <v>51</v>
      </c>
      <c r="E6" s="474" t="s">
        <v>212</v>
      </c>
      <c r="F6" s="470">
        <f>I8</f>
        <v>184767.75</v>
      </c>
      <c r="G6" s="479"/>
      <c r="H6" s="469" t="s">
        <v>182</v>
      </c>
      <c r="I6" s="475"/>
      <c r="J6" s="480">
        <f>VWoGK!J6</f>
        <v>100</v>
      </c>
      <c r="K6" s="461"/>
      <c r="L6" s="657">
        <f>VWmGKmR!L6</f>
        <v>1</v>
      </c>
      <c r="M6" s="481" t="s">
        <v>2</v>
      </c>
      <c r="N6" s="482">
        <f ca="1">Q6/($D$24*$D$7)</f>
        <v>6.4999999999999988E-2</v>
      </c>
      <c r="O6" s="483">
        <f ca="1">R6/($D$24*$D$7)</f>
        <v>4.4285714285714296E-2</v>
      </c>
      <c r="P6" s="484">
        <f>VLOOKUP(D$10,Tabelle136[#All],2,FALSE)</f>
        <v>185000</v>
      </c>
      <c r="Q6" s="485">
        <f ca="1">SUM(INDIRECT("Großkomponenten!CH"&amp;ROW(INDIRECT("Großkomponenten!CH"&amp;7+$D$25))):INDIRECT("Großkomponenten!CH"&amp;ROW(INDIRECT("Großkomponenten!CH"&amp;7+$D$25+$D$24-1))))*$D$7*L6</f>
        <v>5.4599999999999991</v>
      </c>
      <c r="R6" s="485">
        <f ca="1">SUM(INDIRECT("Großkomponenten!CG"&amp;ROW(INDIRECT("Großkomponenten!CG"&amp;7+$D$25))):INDIRECT("Großkomponenten!CG"&amp;ROW(INDIRECT("Großkomponenten!CG"&amp;7+$D$25+$D$24-1))))*$D$7*L6</f>
        <v>3.7200000000000006</v>
      </c>
      <c r="S6" s="486">
        <f ca="1">IF($U6=0,"kein Gewicht",$Q6*1.05*SUM($Z6,$AA6,$AB6))</f>
        <v>928746</v>
      </c>
      <c r="T6" s="486">
        <f ca="1">IF($U6=0,"kein Gewicht",$R6*1.05*SUM($Z6,$AA6,$AB6))</f>
        <v>632772.00000000012</v>
      </c>
      <c r="U6" s="463">
        <f>IF(V6="Nein",VLOOKUP(D$10,Tabelle77[#All],2,FALSE),VLOOKUP(D$10,Tabelle77[#All],10,FALSE))</f>
        <v>23</v>
      </c>
      <c r="V6" s="463" t="str">
        <f>VLOOKUP(D$10,Tabelle8[#All],2,FALSE)</f>
        <v>Nein</v>
      </c>
      <c r="W6" s="464">
        <f>VLOOKUP(D$10,Tabelle756[#All],2,FALSE)</f>
        <v>2</v>
      </c>
      <c r="X6" s="487">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$13&gt;Kranpreise!$M$4,Kranpreise!$M$4)))))))))))</f>
        <v>140</v>
      </c>
      <c r="Y6" s="464">
        <f>IF(U6&lt;=Kranpreise!$C$5,Kranpreise!$C$5,IF(AND(U6&gt;Kranpreise!$C$5,U6&lt;=Kranpreise!$C$6),Kranpreise!$C$6,IF(AND(U6&gt;Kranpreise!$C$6,U6&lt;=Kranpreise!$C$7),Kranpreise!$C$7,IF(AND(U6&gt;Kranpreise!$C$7,U6&lt;=Kranpreise!$C$8),Kranpreise!$C$8,IF(AND(U6&gt;Kranpreise!$C$8,U6&lt;=Kranpreise!$C$9),Kranpreise!$C$9,IF(AND(U6&gt;Kranpreise!$C$9,U6&lt;=Kranpreise!$C$10),Kranpreise!$C$10,Kranpreise!$C$10))))))</f>
        <v>30</v>
      </c>
      <c r="Z6" s="464">
        <f>IF(W6=0,0,INDEX(Kranpreise!C$4:M$10,MATCH(Y6,Kranpreise!C$4:C$10,0),MATCH(X6,Kranpreise!C$4:M$4,0)))</f>
        <v>100000</v>
      </c>
      <c r="AA6" s="464">
        <f>IF(V6="Ja",Kranpreise!$F$22,0)</f>
        <v>0</v>
      </c>
      <c r="AB6" s="464">
        <f>W6*INDEX(Kranpreise!C$13:M$19,MATCH(Y6,Kranpreise!C$4:C$10,0),MATCH(X6,Kranpreise!C$4:M$4,0))</f>
        <v>62000</v>
      </c>
      <c r="AC6" s="486">
        <f ca="1">VLOOKUP(D$10,Tabelle13614[#All],2,FALSE)*Q6</f>
        <v>81899.999999999985</v>
      </c>
      <c r="AD6" s="486">
        <f ca="1">VLOOKUP(D$10,Tabelle13614[#All],2,FALSE)*R6</f>
        <v>55800.000000000007</v>
      </c>
    </row>
    <row r="7" spans="1:30" ht="12.75" customHeight="1" x14ac:dyDescent="0.3">
      <c r="A7" s="849" t="s">
        <v>12</v>
      </c>
      <c r="B7" s="850"/>
      <c r="C7" s="850"/>
      <c r="D7" s="468">
        <f>Basisdaten!C17</f>
        <v>6</v>
      </c>
      <c r="E7" s="474" t="s">
        <v>222</v>
      </c>
      <c r="F7" s="470">
        <f>I10</f>
        <v>12060</v>
      </c>
      <c r="G7" s="462"/>
      <c r="H7" s="488"/>
      <c r="I7" s="489" t="s">
        <v>251</v>
      </c>
      <c r="J7" s="490" t="s">
        <v>474</v>
      </c>
      <c r="K7" s="461"/>
      <c r="L7" s="658">
        <f>VWmGKmR!L7</f>
        <v>1</v>
      </c>
      <c r="M7" s="491" t="s">
        <v>0</v>
      </c>
      <c r="N7" s="482">
        <f ca="1">Q7/($D$24*$D$7)</f>
        <v>2.1428571428571425E-2</v>
      </c>
      <c r="O7" s="483">
        <f ca="1">R7/($D$24*$D$7)</f>
        <v>1.7857142857142856E-2</v>
      </c>
      <c r="P7" s="484">
        <f>VLOOKUP(D$10,Tabelle136[#All],3,FALSE)</f>
        <v>60000</v>
      </c>
      <c r="Q7" s="492">
        <f ca="1">SUM(INDIRECT("Großkomponenten!CJ"&amp;ROW(INDIRECT("Großkomponenten!CJ"&amp;7+$D$25))):INDIRECT("Großkomponenten!CJ"&amp;ROW(INDIRECT("Großkomponenten!CJ"&amp;7+$D$25+$D$24-1))))*$D$7*L7</f>
        <v>1.7999999999999998</v>
      </c>
      <c r="R7" s="492">
        <f ca="1">SUM(INDIRECT("Großkomponenten!CI"&amp;ROW(INDIRECT("Großkomponenten!CI"&amp;7+$D$25))):INDIRECT("Großkomponenten!CI"&amp;ROW(INDIRECT("Großkomponenten!CI"&amp;7+$D$25+$D$24-1))))*$D$7*L7</f>
        <v>1.4999999999999998</v>
      </c>
      <c r="S7" s="486">
        <f ca="1">IF($U7=0,"kein Gewicht",$Q7*1.05*SUM($Z7,$AA7,$AB7))</f>
        <v>89775</v>
      </c>
      <c r="T7" s="486">
        <f ca="1">IF($U7=0,"kein Gewicht",$R7*1.05*SUM($Z7,$AA7,$AB7))</f>
        <v>74812.499999999985</v>
      </c>
      <c r="U7" s="463">
        <f>IF(V7="Nein",VLOOKUP(D$10,Tabelle77[#All],4,FALSE),VLOOKUP(D$10,Tabelle77[#All],10,FALSE))</f>
        <v>11.5</v>
      </c>
      <c r="V7" s="493" t="str">
        <f>VLOOKUP(D$10,Tabelle8[#All],4,FALSE)</f>
        <v>Nein</v>
      </c>
      <c r="W7" s="464">
        <f>VLOOKUP(D$10,Tabelle756[#All],4,FALSE)</f>
        <v>1</v>
      </c>
      <c r="X7" s="487">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$13&gt;Kranpreise!$M$4,Kranpreise!$M$4)))))))))))</f>
        <v>140</v>
      </c>
      <c r="Y7" s="464">
        <f>IF(U7&lt;=Kranpreise!$C$5,Kranpreise!$C$5,IF(AND(U7&gt;Kranpreise!$C$5,U7&lt;=Kranpreise!$C$6),Kranpreise!$C$6,IF(AND(U7&gt;Kranpreise!$C$6,U7&lt;=Kranpreise!$C$7),Kranpreise!$C$7,IF(AND(U7&gt;Kranpreise!$C$7,U7&lt;=Kranpreise!$C$8),Kranpreise!$C$8,IF(AND(U7&gt;Kranpreise!$C$8,U7&lt;=Kranpreise!$C$9),Kranpreise!$C$9,IF(AND(U7&gt;Kranpreise!$C$9,U7&lt;=Kranpreise!$C$10),Kranpreise!$C$10,Kranpreise!$C$10))))))</f>
        <v>17</v>
      </c>
      <c r="Z7" s="464">
        <f>IF(W7=0,0,INDEX(Kranpreise!C$4:M$10,MATCH(Y7,Kranpreise!C$4:C$10,0),MATCH(X7,Kranpreise!C$4:M$4,0)))</f>
        <v>42000</v>
      </c>
      <c r="AA7" s="464">
        <f>IF(V7="Ja",Kranpreise!$F$22,0)</f>
        <v>0</v>
      </c>
      <c r="AB7" s="464">
        <f>W7*INDEX(Kranpreise!C$13:M$19,MATCH(Y7,Kranpreise!C$4:C$10,0),MATCH(X7,Kranpreise!C$4:M$4,0))</f>
        <v>5500</v>
      </c>
      <c r="AC7" s="486">
        <f ca="1">VLOOKUP(D$10,Tabelle13614[#All],3,FALSE)*Q7</f>
        <v>18000</v>
      </c>
      <c r="AD7" s="486">
        <f ca="1">VLOOKUP(D$10,Tabelle13614[#All],3,FALSE)*R7</f>
        <v>14999.999999999998</v>
      </c>
    </row>
    <row r="8" spans="1:30" ht="12.75" customHeight="1" x14ac:dyDescent="0.3">
      <c r="A8" s="849" t="s">
        <v>103</v>
      </c>
      <c r="B8" s="850"/>
      <c r="C8" s="850"/>
      <c r="D8" s="468" t="str">
        <f>Basisdaten!C36</f>
        <v>Ja</v>
      </c>
      <c r="E8" s="31" t="s">
        <v>528</v>
      </c>
      <c r="F8" s="470">
        <f>(I11/D24)+(J11/D24*D7)</f>
        <v>0</v>
      </c>
      <c r="G8" s="462"/>
      <c r="H8" s="469" t="s">
        <v>181</v>
      </c>
      <c r="I8" s="471">
        <f>J8*D7</f>
        <v>184767.75</v>
      </c>
      <c r="J8" s="494">
        <f>VWoGK!F13-(VWoGK!I4/D7)</f>
        <v>30794.625</v>
      </c>
      <c r="K8" s="461"/>
      <c r="L8" s="137"/>
      <c r="M8" s="495" t="s">
        <v>28</v>
      </c>
      <c r="N8" s="496"/>
      <c r="O8" s="497"/>
      <c r="P8" s="498"/>
      <c r="Q8" s="499"/>
      <c r="R8" s="499"/>
      <c r="S8" s="500"/>
      <c r="T8" s="500"/>
      <c r="U8" s="501"/>
      <c r="V8" s="501" t="str">
        <f>VLOOKUP(D$10,Tabelle8[#All],11,FALSE)</f>
        <v>Nein</v>
      </c>
      <c r="W8" s="502"/>
      <c r="X8" s="503"/>
      <c r="Y8" s="502"/>
      <c r="Z8" s="502"/>
      <c r="AA8" s="502"/>
      <c r="AB8" s="502"/>
      <c r="AC8" s="486">
        <f>VLOOKUP(D$10,Tabelle13614[#All],4,FALSE)*Q8</f>
        <v>0</v>
      </c>
      <c r="AD8" s="486">
        <f>VLOOKUP(D$10,Tabelle13614[#All],4,FALSE)*R8</f>
        <v>0</v>
      </c>
    </row>
    <row r="9" spans="1:30" ht="12.75" customHeight="1" x14ac:dyDescent="0.3">
      <c r="A9" s="849" t="s">
        <v>184</v>
      </c>
      <c r="B9" s="850"/>
      <c r="C9" s="850"/>
      <c r="D9" s="468" t="str">
        <f>Basisdaten!C37</f>
        <v>Rohrturm</v>
      </c>
      <c r="E9" s="31" t="s">
        <v>529</v>
      </c>
      <c r="F9" s="470">
        <f>(I12/D24)+(J12/D24*D7)</f>
        <v>0</v>
      </c>
      <c r="G9" s="462"/>
      <c r="H9" s="469" t="s">
        <v>223</v>
      </c>
      <c r="I9" s="475"/>
      <c r="J9" s="504">
        <f>VLOOKUP(D10,Tabelle4[#All],4,FALSE)</f>
        <v>35750</v>
      </c>
      <c r="K9" s="505"/>
      <c r="L9" s="137"/>
      <c r="M9" s="495" t="s">
        <v>29</v>
      </c>
      <c r="N9" s="482">
        <f t="shared" ref="N9:O13" si="0">Q9/($D$24*$D$7)</f>
        <v>2.3809523809523808E-2</v>
      </c>
      <c r="O9" s="483">
        <f t="shared" si="0"/>
        <v>1.7857142857142856E-2</v>
      </c>
      <c r="P9" s="484">
        <f>VLOOKUP(D$10,Tabelle136[#All],5,FALSE)</f>
        <v>35000</v>
      </c>
      <c r="Q9" s="492">
        <f>D7/3</f>
        <v>2</v>
      </c>
      <c r="R9" s="492">
        <f>D7/4</f>
        <v>1.5</v>
      </c>
      <c r="S9" s="486">
        <f>IF($U9=0,"kein Gewicht",$Q9*1.05*SUM($Z9,$AA9,$AB9))</f>
        <v>0</v>
      </c>
      <c r="T9" s="486">
        <f>IF($U9=0,"kein Gewicht",$R9*1.05*SUM($Z9,$AA9,$AB9))</f>
        <v>0</v>
      </c>
      <c r="U9" s="463">
        <f>IF(V9="Nein",VLOOKUP(D$10,Tabelle77[#All],5,FALSE),VLOOKUP(D$10,Tabelle77[#All],10,FALSE))</f>
        <v>25</v>
      </c>
      <c r="V9" s="463" t="str">
        <f>VLOOKUP(D$10,Tabelle8[#All],5,FALSE)</f>
        <v>Nein</v>
      </c>
      <c r="W9" s="464">
        <f>VLOOKUP(D$10,Tabelle756[#All],5,FALSE)</f>
        <v>0</v>
      </c>
      <c r="X9" s="487">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$13&gt;Kranpreise!$M$4,Kranpreise!$M$4)))))))))))</f>
        <v>140</v>
      </c>
      <c r="Y9" s="464">
        <f>IF(U9&lt;=Kranpreise!$C$5,Kranpreise!$C$5,IF(AND(U9&gt;Kranpreise!$C$5,U9&lt;=Kranpreise!$C$6),Kranpreise!$C$6,IF(AND(U9&gt;Kranpreise!$C$6,U9&lt;=Kranpreise!$C$7),Kranpreise!$C$7,IF(AND(U9&gt;Kranpreise!$C$7,U9&lt;=Kranpreise!$C$8),Kranpreise!$C$8,IF(AND(U9&gt;Kranpreise!$C$8,U9&lt;=Kranpreise!$C$9),Kranpreise!$C$9,IF(AND(U9&gt;Kranpreise!$C$9,U9&lt;=Kranpreise!$C$10),Kranpreise!$C$10,Kranpreise!$C$10))))))</f>
        <v>30</v>
      </c>
      <c r="Z9" s="464">
        <f>IF(W9=0,0,INDEX(Kranpreise!C$4:M$10,MATCH(Y9,Kranpreise!C$4:C$10,0),MATCH(X9,Kranpreise!C$4:M$4,0)))</f>
        <v>0</v>
      </c>
      <c r="AA9" s="464">
        <f>IF(V9="Ja",Kranpreise!$F$22,0)</f>
        <v>0</v>
      </c>
      <c r="AB9" s="464">
        <f>W9*INDEX(Kranpreise!C$13:M$19,MATCH(Y9,Kranpreise!C$4:C$10,0),MATCH(X9,Kranpreise!C$4:M$4,0))</f>
        <v>0</v>
      </c>
      <c r="AC9" s="486">
        <f>VLOOKUP(D$10,Tabelle13614[#All],5,FALSE)*Q9</f>
        <v>5000</v>
      </c>
      <c r="AD9" s="486">
        <f>VLOOKUP(D$10,Tabelle13614[#All],5,FALSE)*R9</f>
        <v>3750</v>
      </c>
    </row>
    <row r="10" spans="1:30" ht="12.75" customHeight="1" x14ac:dyDescent="0.3">
      <c r="A10" s="469" t="s">
        <v>3</v>
      </c>
      <c r="B10" s="506"/>
      <c r="C10" s="506"/>
      <c r="D10" s="468" t="str">
        <f>Basisdaten!C32</f>
        <v>N117/2400</v>
      </c>
      <c r="E10" s="474"/>
      <c r="F10" s="507"/>
      <c r="G10" s="462"/>
      <c r="H10" s="469" t="s">
        <v>222</v>
      </c>
      <c r="I10" s="471">
        <f>J10*D7</f>
        <v>12060</v>
      </c>
      <c r="J10" s="494">
        <f>P56</f>
        <v>2010</v>
      </c>
      <c r="K10" s="461"/>
      <c r="L10" s="137"/>
      <c r="M10" s="495" t="s">
        <v>30</v>
      </c>
      <c r="N10" s="482">
        <f t="shared" si="0"/>
        <v>0</v>
      </c>
      <c r="O10" s="483">
        <f t="shared" si="0"/>
        <v>0</v>
      </c>
      <c r="P10" s="484">
        <f>VLOOKUP(D$10,Tabelle136[#All],6,FALSE)</f>
        <v>37500</v>
      </c>
      <c r="Q10" s="508">
        <v>0</v>
      </c>
      <c r="R10" s="492">
        <v>0</v>
      </c>
      <c r="S10" s="486">
        <f>IF($U10=0,"kein Gewicht",$Q10*1.05*SUM($Z10,$AA10,$AB10))</f>
        <v>0</v>
      </c>
      <c r="T10" s="486">
        <f>IF($U10=0,"kein Gewicht",$R10*1.05*SUM($Z10,$AA10,$AB10))</f>
        <v>0</v>
      </c>
      <c r="U10" s="463">
        <f>IF(V10="Nein",VLOOKUP(D$10,Tabelle77[#All],6,FALSE),VLOOKUP(D$10,Tabelle77[#All],10,FALSE))</f>
        <v>65</v>
      </c>
      <c r="V10" s="463" t="str">
        <f>VLOOKUP(D$10,Tabelle8[#All],6,FALSE)</f>
        <v>Ja</v>
      </c>
      <c r="W10" s="464">
        <f>VLOOKUP(D$10,Tabelle756[#All],6,FALSE)</f>
        <v>2</v>
      </c>
      <c r="X10" s="487">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$13&gt;Kranpreise!$M$4,Kranpreise!$M$4)))))))))))</f>
        <v>140</v>
      </c>
      <c r="Y10" s="464">
        <f>IF(U10&lt;=Kranpreise!$C$5,Kranpreise!$C$5,IF(AND(U10&gt;Kranpreise!$C$5,U10&lt;=Kranpreise!$C$6),Kranpreise!$C$6,IF(AND(U10&gt;Kranpreise!$C$6,U10&lt;=Kranpreise!$C$7),Kranpreise!$C$7,IF(AND(U10&gt;Kranpreise!$C$7,U10&lt;=Kranpreise!$C$8),Kranpreise!$C$8,IF(AND(U10&gt;Kranpreise!$C$8,U10&lt;=Kranpreise!$C$9),Kranpreise!$C$9,IF(AND(U10&gt;Kranpreise!$C$9,U10&lt;=Kranpreise!$C$10),Kranpreise!$C$10,Kranpreise!$C$10))))))</f>
        <v>65</v>
      </c>
      <c r="Z10" s="464">
        <f>IF(W10=0,0,INDEX(Kranpreise!C$4:M$10,MATCH(Y10,Kranpreise!C$4:C$10,0),MATCH(X10,Kranpreise!C$4:M$4,0)))</f>
        <v>100000</v>
      </c>
      <c r="AA10" s="464">
        <f>IF(V10="Ja",Kranpreise!$F$22,0)</f>
        <v>1850</v>
      </c>
      <c r="AB10" s="464">
        <f>W10*INDEX(Kranpreise!C$13:M$19,MATCH(Y10,Kranpreise!C$4:C$10,0),MATCH(X10,Kranpreise!C$4:M$4,0))</f>
        <v>62000</v>
      </c>
      <c r="AC10" s="486">
        <f>VLOOKUP(D$10,Tabelle13614[#All],6,FALSE)*Q10</f>
        <v>0</v>
      </c>
      <c r="AD10" s="486">
        <f>VLOOKUP(D$10,Tabelle13614[#All],6,FALSE)*R10</f>
        <v>0</v>
      </c>
    </row>
    <row r="11" spans="1:30" ht="12.75" customHeight="1" x14ac:dyDescent="0.3">
      <c r="A11" s="469" t="s">
        <v>305</v>
      </c>
      <c r="B11" s="506"/>
      <c r="C11" s="506"/>
      <c r="D11" s="468" t="str">
        <f>VWmGKmR!D11</f>
        <v>N117</v>
      </c>
      <c r="E11" s="509" t="s">
        <v>18</v>
      </c>
      <c r="F11" s="510">
        <f ca="1">SUM(F4:F10)</f>
        <v>299673.96428571426</v>
      </c>
      <c r="G11" s="462"/>
      <c r="H11" s="469" t="s">
        <v>435</v>
      </c>
      <c r="I11" s="511">
        <f>VWoGK!I10</f>
        <v>0</v>
      </c>
      <c r="J11" s="512">
        <f>VWoGK!J10</f>
        <v>0</v>
      </c>
      <c r="K11" s="461"/>
      <c r="L11" s="136"/>
      <c r="M11" s="491" t="s">
        <v>31</v>
      </c>
      <c r="N11" s="482">
        <f t="shared" si="0"/>
        <v>0</v>
      </c>
      <c r="O11" s="483">
        <f t="shared" si="0"/>
        <v>0</v>
      </c>
      <c r="P11" s="484">
        <f>VLOOKUP(D$10,Tabelle136[#All],7,FALSE)</f>
        <v>60000</v>
      </c>
      <c r="Q11" s="513">
        <f>VWmGKmR!Q11</f>
        <v>0</v>
      </c>
      <c r="R11" s="492">
        <v>0</v>
      </c>
      <c r="S11" s="486">
        <f>IF($U11=0,"kein Gewicht",$Q11*1.05*SUM($Z11,$AA11,$AB11))</f>
        <v>0</v>
      </c>
      <c r="T11" s="486">
        <f>IF($U11=0,"kein Gewicht",$R11*1.05*SUM($Z11,$AA11,$AB11))</f>
        <v>0</v>
      </c>
      <c r="U11" s="463">
        <f>VLOOKUP(D$10,Tabelle77[#All],10,FALSE)</f>
        <v>65</v>
      </c>
      <c r="V11" s="463" t="str">
        <f>VLOOKUP(D$10,Tabelle8[#All],7,FALSE)</f>
        <v>Ja</v>
      </c>
      <c r="W11" s="464">
        <f>VLOOKUP(D$10,Tabelle756[#All],7,FALSE)</f>
        <v>3</v>
      </c>
      <c r="X11" s="487">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$13&gt;Kranpreise!$M$4,Kranpreise!$M$4)))))))))))</f>
        <v>140</v>
      </c>
      <c r="Y11" s="464">
        <f>IF(U11&lt;=Kranpreise!$C$5,Kranpreise!$C$5,IF(AND(U11&gt;Kranpreise!$C$5,U11&lt;=Kranpreise!$C$6),Kranpreise!$C$6,IF(AND(U11&gt;Kranpreise!$C$6,U11&lt;=Kranpreise!$C$7),Kranpreise!$C$7,IF(AND(U11&gt;Kranpreise!$C$7,U11&lt;=Kranpreise!$C$8),Kranpreise!$C$8,IF(AND(U11&gt;Kranpreise!$C$8,U11&lt;=Kranpreise!$C$9),Kranpreise!$C$9,IF(AND(U11&gt;Kranpreise!$C$9,U11&lt;=Kranpreise!$C$10),Kranpreise!$C$10,Kranpreise!$C$10))))))</f>
        <v>65</v>
      </c>
      <c r="Z11" s="464">
        <f>IF(W11=0,0,INDEX(Kranpreise!C$4:M$10,MATCH(Y11,Kranpreise!C$4:C$10,0),MATCH(X11,Kranpreise!C$4:M$4,0)))</f>
        <v>100000</v>
      </c>
      <c r="AA11" s="464">
        <f>IF(V11="Ja",Kranpreise!$F$22,0)</f>
        <v>1850</v>
      </c>
      <c r="AB11" s="464">
        <f>W11*INDEX(Kranpreise!C$13:M$19,MATCH(Y11,Kranpreise!C$4:C$10,0),MATCH(X11,Kranpreise!C$4:M$4,0))</f>
        <v>93000</v>
      </c>
      <c r="AC11" s="486">
        <f>VLOOKUP(D$10,Tabelle13614[#All],7,FALSE)*Q11</f>
        <v>0</v>
      </c>
      <c r="AD11" s="486">
        <f>VLOOKUP(D$10,Tabelle13614[#All],7,FALSE)*R11</f>
        <v>0</v>
      </c>
    </row>
    <row r="12" spans="1:30" ht="12.75" customHeight="1" x14ac:dyDescent="0.3">
      <c r="A12" s="469" t="s">
        <v>94</v>
      </c>
      <c r="B12" s="506"/>
      <c r="C12" s="506"/>
      <c r="D12" s="514">
        <f>Basisdaten!C35</f>
        <v>140</v>
      </c>
      <c r="E12" s="469" t="s">
        <v>19</v>
      </c>
      <c r="F12" s="470">
        <f ca="1">F11/D7</f>
        <v>49945.66071428571</v>
      </c>
      <c r="G12" s="515"/>
      <c r="H12" s="469" t="s">
        <v>475</v>
      </c>
      <c r="I12" s="511">
        <f>VWoGK!I11</f>
        <v>0</v>
      </c>
      <c r="J12" s="516">
        <f>VWoGK!J11</f>
        <v>0</v>
      </c>
      <c r="K12" s="461"/>
      <c r="L12" s="136"/>
      <c r="M12" s="491" t="s">
        <v>32</v>
      </c>
      <c r="N12" s="482">
        <f t="shared" si="0"/>
        <v>0</v>
      </c>
      <c r="O12" s="483">
        <f t="shared" si="0"/>
        <v>0</v>
      </c>
      <c r="P12" s="484">
        <f>VLOOKUP(D$10,Tabelle136[#All],8,FALSE)</f>
        <v>33000</v>
      </c>
      <c r="Q12" s="513">
        <f>VWmGKmR!Q12</f>
        <v>0</v>
      </c>
      <c r="R12" s="492">
        <v>0</v>
      </c>
      <c r="S12" s="486">
        <f>IF($U12=0,"kein Gewicht",$Q12*1.05*SUM($Z12,$AA12,$AB12))</f>
        <v>0</v>
      </c>
      <c r="T12" s="486">
        <f>IF($U12=0,"kein Gewicht",$R12*1.05*SUM($Z12,$AA12,$AB12))</f>
        <v>0</v>
      </c>
      <c r="U12" s="463">
        <f>IF(V12="Nein",VLOOKUP(D$10,Tabelle77[#All],8,FALSE),VLOOKUP(D$10,Tabelle77[#All],10,FALSE))</f>
        <v>2</v>
      </c>
      <c r="V12" s="463" t="str">
        <f>VLOOKUP(D$10,Tabelle8[#All],8,FALSE)</f>
        <v>Nein</v>
      </c>
      <c r="W12" s="464">
        <f>VLOOKUP(D$10,Tabelle756[#All],8,FALSE)</f>
        <v>0</v>
      </c>
      <c r="X12" s="487">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$13&gt;Kranpreise!$M$4,Kranpreise!$M$4)))))))))))</f>
        <v>140</v>
      </c>
      <c r="Y12" s="464">
        <f>IF(U12&lt;=Kranpreise!$C$5,Kranpreise!$C$5,IF(AND(U12&gt;Kranpreise!$C$5,U12&lt;=Kranpreise!$C$6),Kranpreise!$C$6,IF(AND(U12&gt;Kranpreise!$C$6,U12&lt;=Kranpreise!$C$7),Kranpreise!$C$7,IF(AND(U12&gt;Kranpreise!$C$7,U12&lt;=Kranpreise!$C$8),Kranpreise!$C$8,IF(AND(U12&gt;Kranpreise!$C$8,U12&lt;=Kranpreise!$C$9),Kranpreise!$C$9,IF(AND(U12&gt;Kranpreise!$C$9,U12&lt;=Kranpreise!$C$10),Kranpreise!$C$10,Kranpreise!$C$10))))))</f>
        <v>7</v>
      </c>
      <c r="Z12" s="464">
        <f>IF(W12=0,0,INDEX(Kranpreise!C$4:M$10,MATCH(Y12,Kranpreise!C$4:C$10,0),MATCH(X12,Kranpreise!C$4:M$4,0)))</f>
        <v>0</v>
      </c>
      <c r="AA12" s="464">
        <f>IF(V12="Ja",Kranpreise!$F$22,0)</f>
        <v>0</v>
      </c>
      <c r="AB12" s="464">
        <f>W12*INDEX(Kranpreise!C$13:M$19,MATCH(Y12,Kranpreise!C$4:C$10,0),MATCH(X12,Kranpreise!C$4:M$4,0))</f>
        <v>0</v>
      </c>
      <c r="AC12" s="486">
        <f>VLOOKUP(D$10,Tabelle13614[#All],8,FALSE)*Q12</f>
        <v>0</v>
      </c>
      <c r="AD12" s="486">
        <f>VLOOKUP(D$10,Tabelle13614[#All],8,FALSE)*R12</f>
        <v>0</v>
      </c>
    </row>
    <row r="13" spans="1:30" ht="12.75" customHeight="1" thickBot="1" x14ac:dyDescent="0.35">
      <c r="A13" s="28" t="s">
        <v>520</v>
      </c>
      <c r="B13" s="506"/>
      <c r="C13" s="506"/>
      <c r="D13" s="517">
        <f>VLOOKUP(D10,Anlageninfo!G4:H26,2,FALSE)</f>
        <v>2400</v>
      </c>
      <c r="E13" s="469" t="s">
        <v>20</v>
      </c>
      <c r="F13" s="470">
        <f ca="1">F12/(D13/1000)</f>
        <v>20810.691964285714</v>
      </c>
      <c r="G13" s="462"/>
      <c r="H13" s="469"/>
      <c r="I13" s="518"/>
      <c r="J13" s="468"/>
      <c r="K13" s="519"/>
      <c r="L13" s="658">
        <f>VWmGKmR!L13</f>
        <v>1</v>
      </c>
      <c r="M13" s="491" t="s">
        <v>33</v>
      </c>
      <c r="N13" s="482">
        <f t="shared" ca="1" si="0"/>
        <v>2.1428571428571425E-2</v>
      </c>
      <c r="O13" s="483">
        <f t="shared" ca="1" si="0"/>
        <v>1.7857142857142856E-2</v>
      </c>
      <c r="P13" s="484">
        <f>VLOOKUP(D$10,Tabelle136[#All],9,FALSE)</f>
        <v>45000</v>
      </c>
      <c r="Q13" s="520">
        <f ca="1">SUM(INDIRECT("Großkomponenten!CL"&amp;ROW(INDIRECT("Großkomponenten!CL"&amp;7+$D$25))):INDIRECT("Großkomponenten!CL"&amp;ROW(INDIRECT("Großkomponenten!CL"&amp;7+$D$25+$D$24-1))))*$D$7*L13</f>
        <v>1.7999999999999998</v>
      </c>
      <c r="R13" s="492">
        <f ca="1">SUM(INDIRECT("Großkomponenten!CK"&amp;ROW(INDIRECT("Großkomponenten!CK"&amp;7+$D$25))):INDIRECT("Großkomponenten!CK"&amp;ROW(INDIRECT("Großkomponenten!CK"&amp;7+$D$25+$D$24-1))))*$D$7*L13</f>
        <v>1.4999999999999998</v>
      </c>
      <c r="S13" s="486">
        <f ca="1">IF($U13=0,"kein Gewicht",$Q13*1.05*SUM($Z13,$AA13,$AB13))</f>
        <v>368266.5</v>
      </c>
      <c r="T13" s="486">
        <f ca="1">IF($U13=0,"kein Gewicht",$R13*1.05*SUM($Z13,$AA13,$AB13))</f>
        <v>306888.74999999994</v>
      </c>
      <c r="U13" s="463">
        <f>IF(V13="Nein",VLOOKUP(D$10,Tabelle77[#All],9,FALSE),VLOOKUP(D$10,Tabelle77[#All],10,FALSE))</f>
        <v>65</v>
      </c>
      <c r="V13" s="493" t="str">
        <f>VLOOKUP(D$10,Großkomponenten!$BA$5:$BK$38,3,FALSE)</f>
        <v>Ja</v>
      </c>
      <c r="W13" s="464">
        <f>VLOOKUP(D$10,Tabelle756[#All],3,FALSE)</f>
        <v>3</v>
      </c>
      <c r="X13" s="487">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$13&gt;Kranpreise!$M$4,Kranpreise!$M$4)))))))))))</f>
        <v>140</v>
      </c>
      <c r="Y13" s="464">
        <f>IF(U13&lt;=Kranpreise!$C$5,Kranpreise!$C$5,IF(AND(U13&gt;Kranpreise!$C$5,U13&lt;=Kranpreise!$C$6),Kranpreise!$C$6,IF(AND(U13&gt;Kranpreise!$C$6,U13&lt;=Kranpreise!$C$7),Kranpreise!$C$7,IF(AND(U13&gt;Kranpreise!$C$7,U13&lt;=Kranpreise!$C$8),Kranpreise!$C$8,IF(AND(U13&gt;Kranpreise!$C$8,U13&lt;=Kranpreise!$C$9),Kranpreise!$C$9,IF(AND(U13&gt;Kranpreise!$C$9,U13&lt;=Kranpreise!$C$10),Kranpreise!$C$10,Kranpreise!$C$10))))))</f>
        <v>65</v>
      </c>
      <c r="Z13" s="464">
        <f>IF(W13=0,0,INDEX(Kranpreise!C$4:M$10,MATCH(Y13,Kranpreise!C$4:C$10,0),MATCH(X13,Kranpreise!C$4:M$4,0)))</f>
        <v>100000</v>
      </c>
      <c r="AA13" s="464">
        <f>IF(V13="Ja",Kranpreise!$F$22,0)</f>
        <v>1850</v>
      </c>
      <c r="AB13" s="464">
        <f>W13*INDEX(Kranpreise!C13:M19,MATCH(Y13,Kranpreise!C4:C10,0),MATCH(X13,Kranpreise!C4:M4,0))</f>
        <v>93000</v>
      </c>
      <c r="AC13" s="486">
        <f ca="1">VLOOKUP(D$10,Tabelle13614[#All],9,FALSE)*Q13</f>
        <v>36000</v>
      </c>
      <c r="AD13" s="486">
        <f ca="1">VLOOKUP(D$10,Tabelle13614[#All],9,FALSE)*R13</f>
        <v>29999.999999999996</v>
      </c>
    </row>
    <row r="14" spans="1:30" ht="12.75" customHeight="1" thickTop="1" x14ac:dyDescent="0.3">
      <c r="A14" s="32" t="s">
        <v>521</v>
      </c>
      <c r="B14" s="522"/>
      <c r="C14" s="522"/>
      <c r="D14" s="523">
        <f>D13/1000*1250000</f>
        <v>3000000</v>
      </c>
      <c r="E14" s="469" t="s">
        <v>21</v>
      </c>
      <c r="F14" s="524" t="e">
        <f ca="1">F11/D19</f>
        <v>#DIV/0!</v>
      </c>
      <c r="G14" s="462"/>
      <c r="H14" s="509" t="s">
        <v>25</v>
      </c>
      <c r="I14" s="525">
        <f>SUM(I4:I12)</f>
        <v>207915.75</v>
      </c>
      <c r="J14" s="468"/>
      <c r="K14" s="465"/>
      <c r="L14" s="139"/>
      <c r="M14" s="526" t="s">
        <v>34</v>
      </c>
      <c r="N14" s="527"/>
      <c r="O14" s="528"/>
      <c r="P14" s="529"/>
      <c r="Q14" s="530"/>
      <c r="R14" s="530"/>
      <c r="S14" s="531">
        <f ca="1">SUM(S6:S13)</f>
        <v>1386787.5</v>
      </c>
      <c r="T14" s="531">
        <f ca="1">SUM(T6:T13)</f>
        <v>1014473.25</v>
      </c>
      <c r="U14" s="463"/>
      <c r="V14" s="464"/>
      <c r="W14" s="464"/>
      <c r="X14" s="464"/>
      <c r="Y14" s="464"/>
      <c r="Z14" s="464"/>
      <c r="AA14" s="464"/>
      <c r="AB14" s="464"/>
      <c r="AC14" s="531">
        <f ca="1">SUM(AC6:AC13)</f>
        <v>140900</v>
      </c>
      <c r="AD14" s="531">
        <f ca="1">SUM(AD6:AD13)</f>
        <v>104550</v>
      </c>
    </row>
    <row r="15" spans="1:30" ht="12.75" customHeight="1" x14ac:dyDescent="0.3">
      <c r="A15" s="859" t="s">
        <v>5</v>
      </c>
      <c r="B15" s="860"/>
      <c r="C15" s="860"/>
      <c r="D15" s="861"/>
      <c r="E15" s="532" t="s">
        <v>22</v>
      </c>
      <c r="F15" s="533" t="e">
        <f ca="1">F11/D20</f>
        <v>#DIV/0!</v>
      </c>
      <c r="G15" s="462"/>
      <c r="H15" s="469" t="s">
        <v>17</v>
      </c>
      <c r="I15" s="471">
        <f ca="1">N34</f>
        <v>91758.214285714275</v>
      </c>
      <c r="J15" s="534">
        <f ca="1">N35</f>
        <v>0.44132401843397756</v>
      </c>
      <c r="K15" s="465"/>
      <c r="L15" s="465"/>
      <c r="M15" s="535"/>
      <c r="N15" s="536"/>
      <c r="O15" s="537"/>
      <c r="P15" s="538"/>
      <c r="Q15" s="463"/>
      <c r="R15" s="463"/>
      <c r="S15" s="464"/>
      <c r="T15" s="464"/>
      <c r="U15" s="464"/>
      <c r="V15" s="464"/>
      <c r="W15" s="464"/>
      <c r="X15" s="464"/>
      <c r="Y15" s="464"/>
      <c r="Z15" s="464"/>
      <c r="AA15" s="464"/>
      <c r="AB15" s="464"/>
      <c r="AC15" s="464"/>
    </row>
    <row r="16" spans="1:30" ht="12.75" customHeight="1" x14ac:dyDescent="0.3">
      <c r="A16" s="781" t="s">
        <v>518</v>
      </c>
      <c r="B16" s="782"/>
      <c r="C16" s="782"/>
      <c r="D16" s="539">
        <f>VWoGK!D15</f>
        <v>0</v>
      </c>
      <c r="E16" s="540"/>
      <c r="F16" s="541"/>
      <c r="G16" s="462"/>
      <c r="H16" s="542"/>
      <c r="I16" s="475"/>
      <c r="J16" s="543"/>
      <c r="K16" s="465"/>
      <c r="L16" s="465"/>
      <c r="M16" s="867" t="s">
        <v>50</v>
      </c>
      <c r="N16" s="857" t="s">
        <v>173</v>
      </c>
      <c r="O16" s="857" t="s">
        <v>174</v>
      </c>
      <c r="P16" s="855" t="s">
        <v>175</v>
      </c>
      <c r="Q16" s="857" t="s">
        <v>176</v>
      </c>
      <c r="R16" s="463"/>
      <c r="S16" s="464"/>
      <c r="T16" s="464"/>
      <c r="U16" s="464"/>
      <c r="V16" s="464"/>
      <c r="W16" s="464"/>
      <c r="X16" s="464"/>
      <c r="Y16" s="464"/>
      <c r="Z16" s="464"/>
      <c r="AA16" s="464"/>
      <c r="AB16" s="464"/>
      <c r="AC16" s="464"/>
    </row>
    <row r="17" spans="1:29" ht="12.75" customHeight="1" x14ac:dyDescent="0.3">
      <c r="A17" s="781" t="s">
        <v>509</v>
      </c>
      <c r="B17" s="782"/>
      <c r="C17" s="782"/>
      <c r="D17" s="544">
        <f>Basisdaten!C54</f>
        <v>0</v>
      </c>
      <c r="E17" s="545"/>
      <c r="F17" s="546"/>
      <c r="G17" s="462"/>
      <c r="H17" s="542"/>
      <c r="I17" s="475"/>
      <c r="J17" s="543"/>
      <c r="K17" s="465"/>
      <c r="L17" s="465"/>
      <c r="M17" s="858"/>
      <c r="N17" s="858"/>
      <c r="O17" s="858"/>
      <c r="P17" s="856"/>
      <c r="Q17" s="858"/>
      <c r="R17" s="463"/>
      <c r="S17" s="464"/>
      <c r="T17" s="463"/>
      <c r="U17" s="464"/>
      <c r="V17" s="464"/>
      <c r="W17" s="464"/>
      <c r="X17" s="464"/>
      <c r="Y17" s="464"/>
      <c r="Z17" s="464"/>
      <c r="AA17" s="464"/>
      <c r="AB17" s="464"/>
      <c r="AC17" s="464"/>
    </row>
    <row r="18" spans="1:29" ht="12.75" customHeight="1" x14ac:dyDescent="0.3">
      <c r="A18" s="781" t="s">
        <v>510</v>
      </c>
      <c r="B18" s="782"/>
      <c r="C18" s="782"/>
      <c r="D18" s="547">
        <f>D7*D13</f>
        <v>14400</v>
      </c>
      <c r="E18" s="548" t="s">
        <v>23</v>
      </c>
      <c r="F18" s="549" t="s">
        <v>211</v>
      </c>
      <c r="G18" s="462"/>
      <c r="H18" s="540"/>
      <c r="I18" s="550"/>
      <c r="J18" s="543"/>
      <c r="K18" s="465"/>
      <c r="L18" s="465"/>
      <c r="M18" s="481" t="s">
        <v>2</v>
      </c>
      <c r="N18" s="551">
        <f t="shared" ref="N18:N25" ca="1" si="1">$N6*$P6*$D$7</f>
        <v>72149.999999999985</v>
      </c>
      <c r="O18" s="551">
        <f t="shared" ref="O18:O25" ca="1" si="2">$O6*$P6*$D$7</f>
        <v>49157.14285714287</v>
      </c>
      <c r="P18" s="551">
        <f t="shared" ref="P18:P25" ca="1" si="3">$N18*$D$24</f>
        <v>1010099.9999999998</v>
      </c>
      <c r="Q18" s="551">
        <f t="shared" ref="Q18:Q25" ca="1" si="4">$O18*$D$24</f>
        <v>688200.00000000023</v>
      </c>
      <c r="R18" s="552"/>
      <c r="S18" s="553"/>
      <c r="T18" s="463"/>
      <c r="U18" s="463"/>
      <c r="V18" s="463"/>
      <c r="W18" s="464"/>
      <c r="X18" s="464"/>
      <c r="Y18" s="464"/>
      <c r="Z18" s="464"/>
      <c r="AA18" s="464"/>
      <c r="AB18" s="464"/>
      <c r="AC18" s="464"/>
    </row>
    <row r="19" spans="1:29" ht="12.75" customHeight="1" x14ac:dyDescent="0.3">
      <c r="A19" s="781" t="s">
        <v>511</v>
      </c>
      <c r="B19" s="782"/>
      <c r="C19" s="782"/>
      <c r="D19" s="554">
        <f>D18/D7*D16</f>
        <v>0</v>
      </c>
      <c r="E19" s="555">
        <f ca="1">F11*D24</f>
        <v>4195435.5</v>
      </c>
      <c r="F19" s="556">
        <f ca="1">I20*D24</f>
        <v>1813368.9741203024</v>
      </c>
      <c r="G19" s="462"/>
      <c r="H19" s="540"/>
      <c r="I19" s="550"/>
      <c r="J19" s="543"/>
      <c r="K19" s="465"/>
      <c r="L19" s="465"/>
      <c r="M19" s="491" t="s">
        <v>0</v>
      </c>
      <c r="N19" s="557">
        <f t="shared" ca="1" si="1"/>
        <v>7714.2857142857138</v>
      </c>
      <c r="O19" s="557">
        <f t="shared" ca="1" si="2"/>
        <v>6428.5714285714275</v>
      </c>
      <c r="P19" s="557">
        <f t="shared" ca="1" si="3"/>
        <v>108000</v>
      </c>
      <c r="Q19" s="557">
        <f t="shared" ca="1" si="4"/>
        <v>89999.999999999985</v>
      </c>
      <c r="R19" s="552"/>
      <c r="S19" s="553"/>
      <c r="T19" s="463"/>
      <c r="U19" s="463"/>
      <c r="V19" s="463"/>
      <c r="W19" s="464"/>
      <c r="X19" s="464"/>
      <c r="Y19" s="464"/>
      <c r="Z19" s="464"/>
      <c r="AA19" s="464"/>
      <c r="AB19" s="464"/>
      <c r="AC19" s="464"/>
    </row>
    <row r="20" spans="1:29" ht="12.75" customHeight="1" x14ac:dyDescent="0.3">
      <c r="A20" s="783" t="s">
        <v>519</v>
      </c>
      <c r="B20" s="784"/>
      <c r="C20" s="784"/>
      <c r="D20" s="523">
        <f>D18*D16*D17</f>
        <v>0</v>
      </c>
      <c r="E20" s="558" t="s">
        <v>209</v>
      </c>
      <c r="F20" s="559">
        <f ca="1">I21*D24</f>
        <v>883179.67412030243</v>
      </c>
      <c r="G20" s="462"/>
      <c r="H20" s="532" t="s">
        <v>178</v>
      </c>
      <c r="I20" s="525">
        <f ca="1">F11-I14+(I8*VWoGK!J18)</f>
        <v>129526.35529430732</v>
      </c>
      <c r="J20" s="534">
        <f ca="1">I20/F11</f>
        <v>0.43222425279099214</v>
      </c>
      <c r="K20" s="465"/>
      <c r="L20" s="465"/>
      <c r="M20" s="495" t="s">
        <v>28</v>
      </c>
      <c r="N20" s="557">
        <f t="shared" si="1"/>
        <v>0</v>
      </c>
      <c r="O20" s="557">
        <f t="shared" si="2"/>
        <v>0</v>
      </c>
      <c r="P20" s="557">
        <f t="shared" si="3"/>
        <v>0</v>
      </c>
      <c r="Q20" s="557">
        <f t="shared" si="4"/>
        <v>0</v>
      </c>
      <c r="R20" s="552"/>
      <c r="S20" s="560"/>
      <c r="T20" s="463"/>
      <c r="U20" s="463"/>
      <c r="V20" s="463"/>
      <c r="W20" s="464"/>
      <c r="X20" s="561"/>
      <c r="Y20" s="464"/>
      <c r="Z20" s="464"/>
      <c r="AA20" s="464"/>
      <c r="AB20" s="464"/>
      <c r="AC20" s="464"/>
    </row>
    <row r="21" spans="1:29" ht="12.75" customHeight="1" x14ac:dyDescent="0.3">
      <c r="A21" s="859" t="s">
        <v>8</v>
      </c>
      <c r="B21" s="860"/>
      <c r="C21" s="860"/>
      <c r="D21" s="861"/>
      <c r="E21" s="558" t="s">
        <v>210</v>
      </c>
      <c r="F21" s="559">
        <f ca="1">I22*D24</f>
        <v>528753.97412030271</v>
      </c>
      <c r="G21" s="462"/>
      <c r="H21" s="532" t="s">
        <v>179</v>
      </c>
      <c r="I21" s="525">
        <f ca="1">F11-I14-O34+(I8*VWoGK!J18)</f>
        <v>63084.262437164456</v>
      </c>
      <c r="J21" s="534">
        <f ca="1">I21/F11</f>
        <v>0.21050965367488131</v>
      </c>
      <c r="K21" s="465"/>
      <c r="L21" s="465"/>
      <c r="M21" s="495" t="s">
        <v>29</v>
      </c>
      <c r="N21" s="557">
        <f t="shared" si="1"/>
        <v>5000</v>
      </c>
      <c r="O21" s="557">
        <f t="shared" si="2"/>
        <v>3750</v>
      </c>
      <c r="P21" s="557">
        <f t="shared" si="3"/>
        <v>70000</v>
      </c>
      <c r="Q21" s="557">
        <f t="shared" si="4"/>
        <v>52500</v>
      </c>
      <c r="R21" s="552"/>
      <c r="S21" s="560"/>
      <c r="T21" s="463"/>
      <c r="U21" s="463"/>
      <c r="V21" s="562"/>
      <c r="W21" s="563"/>
      <c r="X21" s="505"/>
      <c r="Y21" s="464"/>
      <c r="Z21" s="464"/>
      <c r="AA21" s="464"/>
      <c r="AB21" s="464"/>
      <c r="AC21" s="464"/>
    </row>
    <row r="22" spans="1:29" ht="12.75" customHeight="1" x14ac:dyDescent="0.3">
      <c r="A22" s="851" t="s">
        <v>75</v>
      </c>
      <c r="B22" s="852"/>
      <c r="C22" s="852"/>
      <c r="D22" s="564">
        <f>Basisdaten!E22</f>
        <v>43466</v>
      </c>
      <c r="E22" s="565"/>
      <c r="F22" s="507"/>
      <c r="G22" s="462"/>
      <c r="H22" s="532" t="s">
        <v>180</v>
      </c>
      <c r="I22" s="525">
        <f ca="1">F11-I14-I15+(I8*VWoGK!J18)</f>
        <v>37768.141008593047</v>
      </c>
      <c r="J22" s="534">
        <f ca="1">I22/F11</f>
        <v>0.1260307718043342</v>
      </c>
      <c r="K22" s="465"/>
      <c r="L22" s="465"/>
      <c r="M22" s="495" t="s">
        <v>30</v>
      </c>
      <c r="N22" s="557">
        <f t="shared" si="1"/>
        <v>0</v>
      </c>
      <c r="O22" s="557">
        <f t="shared" si="2"/>
        <v>0</v>
      </c>
      <c r="P22" s="557">
        <f t="shared" si="3"/>
        <v>0</v>
      </c>
      <c r="Q22" s="557">
        <f t="shared" si="4"/>
        <v>0</v>
      </c>
      <c r="R22" s="552"/>
      <c r="S22" s="566"/>
      <c r="T22" s="463"/>
      <c r="U22" s="463"/>
      <c r="V22" s="505"/>
      <c r="W22" s="567"/>
      <c r="X22" s="505"/>
      <c r="Y22" s="561"/>
      <c r="Z22" s="561"/>
      <c r="AA22" s="464"/>
      <c r="AB22" s="464"/>
      <c r="AC22" s="464"/>
    </row>
    <row r="23" spans="1:29" ht="12.75" customHeight="1" x14ac:dyDescent="0.3">
      <c r="A23" s="853" t="s">
        <v>13</v>
      </c>
      <c r="B23" s="854"/>
      <c r="C23" s="854"/>
      <c r="D23" s="568">
        <f>Basisdaten!C38</f>
        <v>41255</v>
      </c>
      <c r="E23" s="565"/>
      <c r="F23" s="507"/>
      <c r="G23" s="462"/>
      <c r="H23" s="540"/>
      <c r="I23" s="569"/>
      <c r="J23" s="543"/>
      <c r="K23" s="465"/>
      <c r="L23" s="465"/>
      <c r="M23" s="491" t="s">
        <v>31</v>
      </c>
      <c r="N23" s="557">
        <f t="shared" si="1"/>
        <v>0</v>
      </c>
      <c r="O23" s="557">
        <f t="shared" si="2"/>
        <v>0</v>
      </c>
      <c r="P23" s="557">
        <f t="shared" si="3"/>
        <v>0</v>
      </c>
      <c r="Q23" s="557">
        <f t="shared" si="4"/>
        <v>0</v>
      </c>
      <c r="R23" s="552"/>
      <c r="S23" s="566"/>
      <c r="T23" s="463"/>
      <c r="U23" s="463"/>
      <c r="V23" s="462"/>
      <c r="W23" s="462"/>
      <c r="X23" s="505"/>
      <c r="Y23" s="505"/>
      <c r="Z23" s="505"/>
      <c r="AA23" s="464"/>
      <c r="AB23" s="464"/>
      <c r="AC23" s="464"/>
    </row>
    <row r="24" spans="1:29" ht="12.75" customHeight="1" x14ac:dyDescent="0.3">
      <c r="A24" s="781" t="str">
        <f>IF(ISBLANK(Basisdaten!E23)=TRUE,"potentielle Vertragslaufzeit","Vertragslaufzeit")</f>
        <v>potentielle Vertragslaufzeit</v>
      </c>
      <c r="B24" s="850"/>
      <c r="C24" s="850"/>
      <c r="D24" s="570">
        <f>VWoGK!D23</f>
        <v>14</v>
      </c>
      <c r="E24" s="565"/>
      <c r="F24" s="507"/>
      <c r="G24" s="462"/>
      <c r="H24" s="699" t="s">
        <v>530</v>
      </c>
      <c r="I24" s="571" t="e">
        <f ca="1">F37*D7-I14-O34+(I8*VWoGK!J18)</f>
        <v>#DIV/0!</v>
      </c>
      <c r="J24" s="572" t="e">
        <f ca="1">I24/F11</f>
        <v>#DIV/0!</v>
      </c>
      <c r="K24" s="465"/>
      <c r="L24" s="465"/>
      <c r="M24" s="491" t="s">
        <v>32</v>
      </c>
      <c r="N24" s="557">
        <f t="shared" si="1"/>
        <v>0</v>
      </c>
      <c r="O24" s="557">
        <f t="shared" si="2"/>
        <v>0</v>
      </c>
      <c r="P24" s="557">
        <f t="shared" si="3"/>
        <v>0</v>
      </c>
      <c r="Q24" s="557">
        <f t="shared" si="4"/>
        <v>0</v>
      </c>
      <c r="R24" s="552"/>
      <c r="S24" s="505"/>
      <c r="T24" s="463"/>
      <c r="U24" s="463"/>
      <c r="V24" s="462"/>
      <c r="W24" s="462"/>
      <c r="X24" s="573"/>
      <c r="Y24" s="505"/>
      <c r="Z24" s="505"/>
      <c r="AA24" s="464"/>
      <c r="AB24" s="464"/>
      <c r="AC24" s="464"/>
    </row>
    <row r="25" spans="1:29" ht="12.75" customHeight="1" x14ac:dyDescent="0.3">
      <c r="A25" s="853" t="s">
        <v>14</v>
      </c>
      <c r="B25" s="854"/>
      <c r="C25" s="854"/>
      <c r="D25" s="574">
        <f>VWoGK!D24</f>
        <v>6</v>
      </c>
      <c r="E25" s="540"/>
      <c r="F25" s="541"/>
      <c r="G25" s="462"/>
      <c r="H25" s="700" t="s">
        <v>531</v>
      </c>
      <c r="I25" s="575" t="e">
        <f ca="1">F37*D7-I14-I15+(I8*VWoGK!J18)</f>
        <v>#DIV/0!</v>
      </c>
      <c r="J25" s="534" t="e">
        <f ca="1">I25/F11</f>
        <v>#DIV/0!</v>
      </c>
      <c r="K25" s="465"/>
      <c r="L25" s="465"/>
      <c r="M25" s="491" t="s">
        <v>33</v>
      </c>
      <c r="N25" s="557">
        <f t="shared" ca="1" si="1"/>
        <v>5785.7142857142844</v>
      </c>
      <c r="O25" s="557">
        <f t="shared" ca="1" si="2"/>
        <v>4821.4285714285716</v>
      </c>
      <c r="P25" s="557">
        <f t="shared" ca="1" si="3"/>
        <v>80999.999999999985</v>
      </c>
      <c r="Q25" s="557">
        <f t="shared" ca="1" si="4"/>
        <v>67500</v>
      </c>
      <c r="R25" s="552"/>
      <c r="S25" s="553"/>
      <c r="T25" s="463"/>
      <c r="U25" s="463"/>
      <c r="V25" s="576"/>
      <c r="W25" s="576"/>
      <c r="X25" s="561"/>
      <c r="Y25" s="505"/>
      <c r="Z25" s="505"/>
      <c r="AA25" s="464"/>
      <c r="AB25" s="464"/>
      <c r="AC25" s="464"/>
    </row>
    <row r="26" spans="1:29" ht="12.75" customHeight="1" x14ac:dyDescent="0.3">
      <c r="A26" s="844" t="s">
        <v>15</v>
      </c>
      <c r="B26" s="845"/>
      <c r="C26" s="845"/>
      <c r="D26" s="577">
        <f>SUM(D24,D25)</f>
        <v>20</v>
      </c>
      <c r="E26" s="578"/>
      <c r="F26" s="579"/>
      <c r="G26" s="505"/>
      <c r="H26" s="463"/>
      <c r="I26" s="463"/>
      <c r="J26" s="464"/>
      <c r="K26" s="465"/>
      <c r="L26" s="465"/>
      <c r="M26" s="491" t="s">
        <v>34</v>
      </c>
      <c r="N26" s="557">
        <f ca="1">$P$26/$D$24</f>
        <v>109120.53571428571</v>
      </c>
      <c r="O26" s="557">
        <f ca="1">$Q$26/$D$24</f>
        <v>79930.232142857145</v>
      </c>
      <c r="P26" s="557">
        <f ca="1">$S14+$AC14</f>
        <v>1527687.5</v>
      </c>
      <c r="Q26" s="557">
        <f ca="1">$T14+$AD14</f>
        <v>1119023.25</v>
      </c>
      <c r="R26" s="552"/>
      <c r="S26" s="553"/>
      <c r="T26" s="463"/>
      <c r="U26" s="463"/>
      <c r="V26" s="505"/>
      <c r="W26" s="561"/>
      <c r="X26" s="561"/>
      <c r="Y26" s="573"/>
      <c r="Z26" s="573"/>
      <c r="AA26" s="464"/>
      <c r="AB26" s="464"/>
      <c r="AC26" s="464"/>
    </row>
    <row r="27" spans="1:29" ht="12.75" customHeight="1" x14ac:dyDescent="0.3">
      <c r="A27" s="535"/>
      <c r="B27" s="535"/>
      <c r="C27" s="535"/>
      <c r="D27" s="580"/>
      <c r="E27" s="462"/>
      <c r="F27" s="462"/>
      <c r="G27" s="505"/>
      <c r="J27" s="464"/>
      <c r="K27" s="465"/>
      <c r="L27" s="465"/>
      <c r="M27" s="581" t="s">
        <v>37</v>
      </c>
      <c r="N27" s="582">
        <f ca="1">SUM(N18:N26)</f>
        <v>199770.53571428568</v>
      </c>
      <c r="O27" s="582">
        <f ca="1">SUM(O18:O26)</f>
        <v>144087.375</v>
      </c>
      <c r="P27" s="582">
        <f ca="1">$N27*$D$24</f>
        <v>2796787.4999999995</v>
      </c>
      <c r="Q27" s="582">
        <f ca="1">$O27*$D$24</f>
        <v>2017223.25</v>
      </c>
      <c r="R27" s="552"/>
      <c r="S27" s="553"/>
      <c r="T27" s="462"/>
      <c r="U27" s="462"/>
      <c r="V27" s="561"/>
      <c r="W27" s="561"/>
      <c r="X27" s="561"/>
      <c r="Y27" s="561"/>
      <c r="Z27" s="561"/>
      <c r="AA27" s="464"/>
      <c r="AB27" s="464"/>
      <c r="AC27" s="464"/>
    </row>
    <row r="28" spans="1:29" ht="12.75" customHeight="1" x14ac:dyDescent="0.3">
      <c r="A28" s="846" t="s">
        <v>45</v>
      </c>
      <c r="B28" s="847"/>
      <c r="C28" s="848"/>
      <c r="D28" s="583" t="str">
        <f>D4</f>
        <v>Remlingen</v>
      </c>
      <c r="E28" s="584"/>
      <c r="F28" s="585"/>
      <c r="G28" s="505"/>
      <c r="J28" s="464"/>
      <c r="K28" s="465"/>
      <c r="L28" s="465"/>
      <c r="M28" s="586"/>
      <c r="N28" s="587"/>
      <c r="O28" s="552"/>
      <c r="P28" s="464"/>
      <c r="Q28" s="553"/>
      <c r="R28" s="552"/>
      <c r="S28" s="553"/>
      <c r="T28" s="462"/>
      <c r="U28" s="462"/>
      <c r="V28" s="462"/>
      <c r="W28" s="462"/>
      <c r="X28" s="561"/>
      <c r="Y28" s="464"/>
      <c r="Z28" s="464"/>
      <c r="AA28" s="464"/>
      <c r="AB28" s="464"/>
      <c r="AC28" s="464"/>
    </row>
    <row r="29" spans="1:29" ht="12.75" customHeight="1" x14ac:dyDescent="0.3">
      <c r="A29" s="588" t="s">
        <v>39</v>
      </c>
      <c r="B29" s="589" t="s">
        <v>368</v>
      </c>
      <c r="C29" s="589" t="s">
        <v>369</v>
      </c>
      <c r="D29" s="590" t="s">
        <v>42</v>
      </c>
      <c r="E29" s="590" t="s">
        <v>43</v>
      </c>
      <c r="F29" s="591" t="s">
        <v>44</v>
      </c>
      <c r="G29" s="505"/>
      <c r="J29" s="464"/>
      <c r="K29" s="465"/>
      <c r="L29" s="465"/>
      <c r="M29" s="889" t="s">
        <v>35</v>
      </c>
      <c r="N29" s="890"/>
      <c r="O29" s="592"/>
      <c r="P29" s="464"/>
      <c r="Q29" s="553"/>
      <c r="R29" s="463"/>
      <c r="S29" s="463"/>
      <c r="T29" s="891"/>
      <c r="U29" s="891"/>
      <c r="V29" s="505"/>
      <c r="W29" s="464"/>
      <c r="X29" s="464"/>
      <c r="Y29" s="464"/>
      <c r="Z29" s="464"/>
      <c r="AA29" s="464"/>
      <c r="AB29" s="464"/>
      <c r="AC29" s="464"/>
    </row>
    <row r="30" spans="1:29" ht="12.75" customHeight="1" x14ac:dyDescent="0.3">
      <c r="A30" s="532" t="s">
        <v>250</v>
      </c>
      <c r="B30" s="728">
        <f>D25+1</f>
        <v>7</v>
      </c>
      <c r="C30" s="693"/>
      <c r="D30" s="593">
        <f t="shared" ref="D30:D35" si="5">IF(ISBLANK(C30),0,C30-B30+1)</f>
        <v>0</v>
      </c>
      <c r="E30" s="505"/>
      <c r="F30" s="470">
        <f t="shared" ref="F30:F35" si="6">D30*E30</f>
        <v>0</v>
      </c>
      <c r="G30" s="505"/>
      <c r="J30" s="464"/>
      <c r="K30" s="465"/>
      <c r="L30" s="465"/>
      <c r="M30" s="594"/>
      <c r="N30" s="595" t="s">
        <v>177</v>
      </c>
      <c r="O30" s="592" t="s">
        <v>170</v>
      </c>
      <c r="P30" s="464"/>
      <c r="Q30" s="553"/>
      <c r="R30" s="463"/>
      <c r="S30" s="463"/>
      <c r="T30" s="462"/>
      <c r="U30" s="462"/>
      <c r="V30" s="505"/>
      <c r="W30" s="464"/>
      <c r="X30" s="464"/>
      <c r="Y30" s="464"/>
      <c r="Z30" s="464"/>
      <c r="AA30" s="464"/>
      <c r="AB30" s="464"/>
      <c r="AC30" s="464"/>
    </row>
    <row r="31" spans="1:29" ht="12.75" customHeight="1" x14ac:dyDescent="0.3">
      <c r="A31" s="532" t="s">
        <v>250</v>
      </c>
      <c r="B31" s="694"/>
      <c r="C31" s="695"/>
      <c r="D31" s="593">
        <f t="shared" si="5"/>
        <v>0</v>
      </c>
      <c r="E31" s="505"/>
      <c r="F31" s="470">
        <f t="shared" si="6"/>
        <v>0</v>
      </c>
      <c r="G31" s="505"/>
      <c r="J31" s="464"/>
      <c r="K31" s="465"/>
      <c r="L31" s="465"/>
      <c r="M31" s="596" t="s">
        <v>36</v>
      </c>
      <c r="N31" s="723">
        <f>VWmGKmR!N31</f>
        <v>0.6</v>
      </c>
      <c r="O31" s="723">
        <f>VWmGKmR!O31</f>
        <v>0.6</v>
      </c>
      <c r="P31" s="464"/>
      <c r="Q31" s="553"/>
      <c r="R31" s="463"/>
      <c r="S31" s="463"/>
      <c r="T31" s="891"/>
      <c r="U31" s="891"/>
      <c r="V31" s="597"/>
      <c r="W31" s="561"/>
      <c r="X31" s="561"/>
      <c r="Y31" s="464"/>
      <c r="Z31" s="464"/>
      <c r="AA31" s="464"/>
      <c r="AB31" s="464"/>
      <c r="AC31" s="464"/>
    </row>
    <row r="32" spans="1:29" ht="12.75" customHeight="1" x14ac:dyDescent="0.3">
      <c r="A32" s="532" t="s">
        <v>250</v>
      </c>
      <c r="B32" s="694"/>
      <c r="C32" s="695"/>
      <c r="D32" s="593">
        <f t="shared" si="5"/>
        <v>0</v>
      </c>
      <c r="E32" s="505"/>
      <c r="F32" s="470">
        <f t="shared" si="6"/>
        <v>0</v>
      </c>
      <c r="G32" s="535"/>
      <c r="J32" s="464"/>
      <c r="K32" s="465"/>
      <c r="L32" s="465"/>
      <c r="M32" s="469" t="s">
        <v>49</v>
      </c>
      <c r="N32" s="598">
        <f>VWmGKmR!N32</f>
        <v>25000</v>
      </c>
      <c r="O32" s="598">
        <f>VWmGKmR!O32</f>
        <v>25000</v>
      </c>
      <c r="P32" s="464"/>
      <c r="Q32" s="553"/>
      <c r="R32" s="463"/>
      <c r="S32" s="463"/>
      <c r="T32" s="891"/>
      <c r="U32" s="891"/>
      <c r="V32" s="463"/>
      <c r="W32" s="537"/>
      <c r="X32" s="537"/>
      <c r="Y32" s="464"/>
      <c r="Z32" s="464"/>
      <c r="AA32" s="464"/>
      <c r="AB32" s="464"/>
      <c r="AC32" s="464"/>
    </row>
    <row r="33" spans="1:29" ht="12.75" customHeight="1" x14ac:dyDescent="0.3">
      <c r="A33" s="532" t="s">
        <v>250</v>
      </c>
      <c r="B33" s="694"/>
      <c r="C33" s="695"/>
      <c r="D33" s="593">
        <f t="shared" si="5"/>
        <v>0</v>
      </c>
      <c r="E33" s="505"/>
      <c r="F33" s="470">
        <f t="shared" si="6"/>
        <v>0</v>
      </c>
      <c r="G33" s="462"/>
      <c r="J33" s="464"/>
      <c r="K33" s="465"/>
      <c r="L33" s="465"/>
      <c r="M33" s="469" t="s">
        <v>16</v>
      </c>
      <c r="N33" s="599">
        <f ca="1">(P27-(SUM(Q6:Q13)*N32))/D24*N31</f>
        <v>108012.32142857141</v>
      </c>
      <c r="O33" s="599">
        <f ca="1">(Q27-(SUM(R6:R13)*O32))/D24*O31</f>
        <v>77645.282142857133</v>
      </c>
      <c r="P33" s="464"/>
      <c r="Q33" s="463"/>
      <c r="R33" s="463"/>
      <c r="S33" s="463"/>
      <c r="T33" s="461"/>
      <c r="U33" s="463"/>
      <c r="V33" s="463"/>
      <c r="W33" s="553"/>
      <c r="X33" s="553"/>
      <c r="Y33" s="464"/>
      <c r="Z33" s="464"/>
      <c r="AA33" s="464"/>
      <c r="AB33" s="464"/>
      <c r="AC33" s="464"/>
    </row>
    <row r="34" spans="1:29" ht="12.75" customHeight="1" x14ac:dyDescent="0.3">
      <c r="A34" s="532" t="s">
        <v>250</v>
      </c>
      <c r="B34" s="694"/>
      <c r="C34" s="695"/>
      <c r="D34" s="593">
        <f t="shared" si="5"/>
        <v>0</v>
      </c>
      <c r="E34" s="505"/>
      <c r="F34" s="470">
        <f t="shared" si="6"/>
        <v>0</v>
      </c>
      <c r="G34" s="462"/>
      <c r="J34" s="464"/>
      <c r="K34" s="465"/>
      <c r="L34" s="465"/>
      <c r="M34" s="521" t="s">
        <v>102</v>
      </c>
      <c r="N34" s="600">
        <f ca="1">N27-N33</f>
        <v>91758.214285714275</v>
      </c>
      <c r="O34" s="600">
        <f ca="1">O27-O33</f>
        <v>66442.092857142867</v>
      </c>
      <c r="P34" s="463"/>
      <c r="Q34" s="464"/>
      <c r="R34" s="463"/>
      <c r="S34" s="463"/>
      <c r="T34" s="463"/>
      <c r="U34" s="463"/>
      <c r="V34" s="464"/>
      <c r="W34" s="464"/>
      <c r="X34" s="464"/>
      <c r="Y34" s="464"/>
      <c r="Z34" s="464"/>
      <c r="AA34" s="464"/>
      <c r="AB34" s="464"/>
      <c r="AC34" s="464"/>
    </row>
    <row r="35" spans="1:29" ht="12.75" customHeight="1" x14ac:dyDescent="0.3">
      <c r="A35" s="532" t="s">
        <v>250</v>
      </c>
      <c r="B35" s="696"/>
      <c r="C35" s="697"/>
      <c r="D35" s="593">
        <f t="shared" si="5"/>
        <v>0</v>
      </c>
      <c r="E35" s="505"/>
      <c r="F35" s="470">
        <f t="shared" si="6"/>
        <v>0</v>
      </c>
      <c r="G35" s="462"/>
      <c r="J35" s="464"/>
      <c r="K35" s="465"/>
      <c r="L35" s="465"/>
      <c r="M35" s="601" t="s">
        <v>38</v>
      </c>
      <c r="N35" s="602">
        <f ca="1">N34/I14</f>
        <v>0.44132401843397756</v>
      </c>
      <c r="O35" s="602">
        <f ca="1">O34/I14</f>
        <v>0.31956257694351131</v>
      </c>
      <c r="P35" s="463"/>
      <c r="Q35" s="464"/>
      <c r="R35" s="464"/>
      <c r="S35" s="464"/>
      <c r="T35" s="464"/>
      <c r="U35" s="464"/>
      <c r="V35" s="464"/>
      <c r="W35" s="464"/>
      <c r="X35" s="464"/>
      <c r="Y35" s="464"/>
      <c r="Z35" s="464"/>
      <c r="AA35" s="464"/>
      <c r="AB35" s="464"/>
      <c r="AC35" s="464"/>
    </row>
    <row r="36" spans="1:29" ht="12.75" customHeight="1" x14ac:dyDescent="0.3">
      <c r="A36" s="532" t="s">
        <v>40</v>
      </c>
      <c r="B36" s="603"/>
      <c r="C36" s="603"/>
      <c r="D36" s="569">
        <f>SUM(D30:D35)</f>
        <v>0</v>
      </c>
      <c r="E36" s="604"/>
      <c r="F36" s="507">
        <f>SUM(F30:F35)</f>
        <v>0</v>
      </c>
      <c r="G36" s="462"/>
      <c r="H36" s="553"/>
      <c r="I36" s="553"/>
      <c r="J36" s="464"/>
      <c r="K36" s="465"/>
      <c r="L36" s="465"/>
      <c r="M36" s="463"/>
      <c r="N36" s="463"/>
      <c r="O36" s="463"/>
      <c r="P36" s="553"/>
      <c r="Q36" s="464"/>
      <c r="R36" s="464"/>
      <c r="S36" s="464"/>
      <c r="T36" s="464"/>
      <c r="U36" s="464"/>
      <c r="V36" s="464"/>
      <c r="W36" s="464"/>
      <c r="X36" s="464"/>
      <c r="Y36" s="464"/>
      <c r="Z36" s="464"/>
      <c r="AA36" s="464"/>
      <c r="AB36" s="464"/>
      <c r="AC36" s="464"/>
    </row>
    <row r="37" spans="1:29" ht="12.75" customHeight="1" x14ac:dyDescent="0.3">
      <c r="A37" s="532" t="s">
        <v>41</v>
      </c>
      <c r="B37" s="603"/>
      <c r="C37" s="603"/>
      <c r="D37" s="603"/>
      <c r="E37" s="603"/>
      <c r="F37" s="470" t="e">
        <f>F36/D36</f>
        <v>#DIV/0!</v>
      </c>
      <c r="G37" s="462"/>
      <c r="H37" s="882" t="s">
        <v>248</v>
      </c>
      <c r="I37" s="883"/>
      <c r="J37" s="464"/>
      <c r="K37" s="465"/>
      <c r="L37" s="465"/>
      <c r="M37" s="870" t="s">
        <v>221</v>
      </c>
      <c r="N37" s="872" t="s">
        <v>7</v>
      </c>
      <c r="O37" s="872"/>
      <c r="P37" s="872"/>
      <c r="Q37" s="896" t="s">
        <v>389</v>
      </c>
      <c r="R37" s="464"/>
      <c r="S37" s="464"/>
      <c r="T37" s="464"/>
      <c r="U37" s="464"/>
      <c r="V37" s="464"/>
      <c r="W37" s="464"/>
      <c r="X37" s="464"/>
      <c r="Y37" s="464"/>
      <c r="Z37" s="464"/>
      <c r="AA37" s="464"/>
      <c r="AB37" s="464"/>
      <c r="AC37" s="464"/>
    </row>
    <row r="38" spans="1:29" ht="12.75" customHeight="1" x14ac:dyDescent="0.3">
      <c r="A38" s="605"/>
      <c r="B38" s="606"/>
      <c r="C38" s="606"/>
      <c r="D38" s="607" t="s">
        <v>46</v>
      </c>
      <c r="E38" s="607" t="s">
        <v>47</v>
      </c>
      <c r="F38" s="608" t="s">
        <v>48</v>
      </c>
      <c r="G38" s="462"/>
      <c r="H38" s="609" t="str">
        <f t="shared" ref="H38:H43" si="7">IF(E39="","",E39*D$13*D$16)</f>
        <v/>
      </c>
      <c r="I38" s="599" t="str">
        <f t="shared" ref="I38:I43" si="8">IF(H38="","",H38*D30)</f>
        <v/>
      </c>
      <c r="J38" s="464"/>
      <c r="K38" s="465"/>
      <c r="L38" s="465"/>
      <c r="M38" s="871"/>
      <c r="N38" s="873"/>
      <c r="O38" s="873"/>
      <c r="P38" s="873"/>
      <c r="Q38" s="897"/>
      <c r="R38" s="464"/>
      <c r="S38" s="464"/>
      <c r="T38" s="464"/>
      <c r="U38" s="464"/>
      <c r="V38" s="464"/>
      <c r="W38" s="464"/>
      <c r="X38" s="464"/>
      <c r="Y38" s="464"/>
      <c r="Z38" s="464"/>
      <c r="AA38" s="464"/>
      <c r="AB38" s="464"/>
      <c r="AC38" s="464"/>
    </row>
    <row r="39" spans="1:29" ht="12.75" customHeight="1" x14ac:dyDescent="0.3">
      <c r="A39" s="532" t="str">
        <f>IF(ISBLANK(A30),"",A30)</f>
        <v>Betriebsjahr</v>
      </c>
      <c r="B39" s="729">
        <f>IF(ISBLANK(B30),"",B30)</f>
        <v>7</v>
      </c>
      <c r="C39" s="698" t="str">
        <f>IF(ISBLANK(C30),"",C30)</f>
        <v/>
      </c>
      <c r="D39" s="610" t="str">
        <f t="shared" ref="D39:D44" si="9">IF(ISBLANK(E30),"",ROUND(E30*0.85,-2))</f>
        <v/>
      </c>
      <c r="E39" s="611" t="str">
        <f t="shared" ref="E39:E44" si="10">IF(ISBLANK(E30),"",E30/($D$13*$D$16*F39))</f>
        <v/>
      </c>
      <c r="F39" s="612">
        <v>0.97</v>
      </c>
      <c r="G39" s="462"/>
      <c r="H39" s="609" t="str">
        <f t="shared" si="7"/>
        <v/>
      </c>
      <c r="I39" s="599" t="str">
        <f t="shared" si="8"/>
        <v/>
      </c>
      <c r="J39" s="464"/>
      <c r="K39" s="465"/>
      <c r="L39" s="465"/>
      <c r="M39" s="469" t="s">
        <v>216</v>
      </c>
      <c r="N39" s="874">
        <f>VLOOKUP(D10,Tabelle9[#All],2,FALSE)</f>
        <v>1075</v>
      </c>
      <c r="O39" s="874"/>
      <c r="P39" s="874"/>
      <c r="Q39" s="613">
        <v>1</v>
      </c>
      <c r="R39" s="464"/>
      <c r="S39" s="464"/>
      <c r="T39" s="464"/>
      <c r="U39" s="464"/>
      <c r="V39" s="464"/>
      <c r="W39" s="464"/>
      <c r="X39" s="464"/>
      <c r="Y39" s="464"/>
      <c r="Z39" s="464"/>
      <c r="AA39" s="464"/>
      <c r="AB39" s="464"/>
      <c r="AC39" s="464"/>
    </row>
    <row r="40" spans="1:29" ht="12.75" customHeight="1" x14ac:dyDescent="0.3">
      <c r="A40" s="532" t="str">
        <f t="shared" ref="A40:C44" si="11">IF(ISBLANK(A31),"",A31)</f>
        <v>Betriebsjahr</v>
      </c>
      <c r="B40" s="698" t="str">
        <f t="shared" si="11"/>
        <v/>
      </c>
      <c r="C40" s="698" t="str">
        <f t="shared" si="11"/>
        <v/>
      </c>
      <c r="D40" s="610" t="str">
        <f t="shared" si="9"/>
        <v/>
      </c>
      <c r="E40" s="611" t="str">
        <f t="shared" si="10"/>
        <v/>
      </c>
      <c r="F40" s="612">
        <v>0.97</v>
      </c>
      <c r="G40" s="562"/>
      <c r="H40" s="609" t="str">
        <f t="shared" si="7"/>
        <v/>
      </c>
      <c r="I40" s="599" t="str">
        <f t="shared" si="8"/>
        <v/>
      </c>
      <c r="J40" s="464"/>
      <c r="K40" s="465"/>
      <c r="L40" s="465"/>
      <c r="M40" s="469" t="s">
        <v>220</v>
      </c>
      <c r="N40" s="874">
        <f>VLOOKUP(D10,Tabelle9[#All],3,FALSE)</f>
        <v>1200</v>
      </c>
      <c r="O40" s="874"/>
      <c r="P40" s="874"/>
      <c r="Q40" s="613">
        <v>2</v>
      </c>
      <c r="R40" s="464"/>
      <c r="S40" s="464"/>
      <c r="T40" s="464"/>
      <c r="U40" s="464"/>
      <c r="V40" s="464"/>
      <c r="W40" s="464"/>
      <c r="X40" s="464"/>
      <c r="Y40" s="464"/>
      <c r="Z40" s="464"/>
      <c r="AA40" s="464"/>
      <c r="AB40" s="464"/>
      <c r="AC40" s="464"/>
    </row>
    <row r="41" spans="1:29" ht="12.75" customHeight="1" x14ac:dyDescent="0.3">
      <c r="A41" s="532" t="str">
        <f t="shared" si="11"/>
        <v>Betriebsjahr</v>
      </c>
      <c r="B41" s="698" t="str">
        <f t="shared" si="11"/>
        <v/>
      </c>
      <c r="C41" s="698" t="str">
        <f t="shared" si="11"/>
        <v/>
      </c>
      <c r="D41" s="610" t="str">
        <f t="shared" si="9"/>
        <v/>
      </c>
      <c r="E41" s="611" t="str">
        <f t="shared" si="10"/>
        <v/>
      </c>
      <c r="F41" s="612">
        <v>0.97</v>
      </c>
      <c r="G41" s="505"/>
      <c r="H41" s="609" t="str">
        <f t="shared" si="7"/>
        <v/>
      </c>
      <c r="I41" s="599" t="str">
        <f t="shared" si="8"/>
        <v/>
      </c>
      <c r="J41" s="464"/>
      <c r="K41" s="465"/>
      <c r="L41" s="465"/>
      <c r="M41" s="469" t="s">
        <v>215</v>
      </c>
      <c r="N41" s="875">
        <f>IF(D10="Gittermast",VLOOKUP(D10,'Externe Leistungen'!M5:N18,2,FALSE),0)</f>
        <v>0</v>
      </c>
      <c r="O41" s="874"/>
      <c r="P41" s="874"/>
      <c r="Q41" s="613">
        <v>1</v>
      </c>
      <c r="R41" s="464"/>
      <c r="S41" s="464"/>
      <c r="T41" s="464"/>
      <c r="U41" s="464"/>
      <c r="V41" s="464"/>
      <c r="W41" s="464"/>
      <c r="X41" s="464"/>
      <c r="Y41" s="464"/>
      <c r="Z41" s="464"/>
      <c r="AA41" s="464"/>
      <c r="AB41" s="464"/>
      <c r="AC41" s="464"/>
    </row>
    <row r="42" spans="1:29" ht="12.75" customHeight="1" x14ac:dyDescent="0.3">
      <c r="A42" s="532" t="str">
        <f t="shared" si="11"/>
        <v>Betriebsjahr</v>
      </c>
      <c r="B42" s="698" t="str">
        <f t="shared" si="11"/>
        <v/>
      </c>
      <c r="C42" s="698" t="str">
        <f>IF(ISBLANK(C33),"",C33)</f>
        <v/>
      </c>
      <c r="D42" s="610" t="str">
        <f t="shared" si="9"/>
        <v/>
      </c>
      <c r="E42" s="611" t="str">
        <f t="shared" si="10"/>
        <v/>
      </c>
      <c r="F42" s="612">
        <v>0.97</v>
      </c>
      <c r="G42" s="505"/>
      <c r="H42" s="609" t="str">
        <f t="shared" si="7"/>
        <v/>
      </c>
      <c r="I42" s="599" t="str">
        <f t="shared" si="8"/>
        <v/>
      </c>
      <c r="J42" s="464"/>
      <c r="K42" s="465"/>
      <c r="L42" s="465"/>
      <c r="M42" s="469" t="s">
        <v>422</v>
      </c>
      <c r="N42" s="874">
        <f>IF(R42=TRUE,VLOOKUP(D10,Tabelle4[#All],5,FALSE),0)</f>
        <v>0</v>
      </c>
      <c r="O42" s="874"/>
      <c r="P42" s="874"/>
      <c r="Q42" s="613">
        <v>1</v>
      </c>
      <c r="R42" s="464" t="b">
        <v>0</v>
      </c>
      <c r="S42" s="464"/>
      <c r="T42" s="464"/>
      <c r="U42" s="464"/>
      <c r="V42" s="464"/>
      <c r="W42" s="464"/>
      <c r="X42" s="464"/>
      <c r="Y42" s="464"/>
      <c r="Z42" s="464"/>
      <c r="AA42" s="464"/>
      <c r="AB42" s="464"/>
      <c r="AC42" s="464"/>
    </row>
    <row r="43" spans="1:29" ht="12.75" customHeight="1" x14ac:dyDescent="0.3">
      <c r="A43" s="532" t="str">
        <f t="shared" si="11"/>
        <v>Betriebsjahr</v>
      </c>
      <c r="B43" s="698" t="str">
        <f t="shared" si="11"/>
        <v/>
      </c>
      <c r="C43" s="698" t="str">
        <f t="shared" si="11"/>
        <v/>
      </c>
      <c r="D43" s="610" t="str">
        <f t="shared" si="9"/>
        <v/>
      </c>
      <c r="E43" s="611" t="str">
        <f t="shared" si="10"/>
        <v/>
      </c>
      <c r="F43" s="612">
        <v>0.97</v>
      </c>
      <c r="G43" s="505"/>
      <c r="H43" s="609" t="str">
        <f t="shared" si="7"/>
        <v/>
      </c>
      <c r="I43" s="599" t="str">
        <f t="shared" si="8"/>
        <v/>
      </c>
      <c r="J43" s="464"/>
      <c r="K43" s="465"/>
      <c r="L43" s="465"/>
      <c r="M43" s="469" t="s">
        <v>428</v>
      </c>
      <c r="N43" s="874">
        <f>IF(AND(R43=TRUE,S43=FALSE),VLOOKUP(D10,Tabelle9[#All],6,FALSE),IF(AND(S43=TRUE,R43=TRUE),VLOOKUP(D10,Tabelle9[#All],6,FALSE)+VLOOKUP(D10,Tabelle9[#All],7,FALSE),0))</f>
        <v>0</v>
      </c>
      <c r="O43" s="874"/>
      <c r="P43" s="874"/>
      <c r="Q43" s="613">
        <v>1</v>
      </c>
      <c r="R43" s="464" t="b">
        <v>0</v>
      </c>
      <c r="S43" s="464" t="b">
        <v>0</v>
      </c>
      <c r="T43" s="464"/>
      <c r="U43" s="464"/>
      <c r="V43" s="464"/>
      <c r="W43" s="464"/>
      <c r="X43" s="464"/>
      <c r="Y43" s="464"/>
      <c r="Z43" s="464"/>
      <c r="AA43" s="464"/>
      <c r="AB43" s="464"/>
      <c r="AC43" s="464"/>
    </row>
    <row r="44" spans="1:29" ht="12.75" customHeight="1" x14ac:dyDescent="0.3">
      <c r="A44" s="532" t="str">
        <f t="shared" si="11"/>
        <v>Betriebsjahr</v>
      </c>
      <c r="B44" s="698" t="str">
        <f t="shared" si="11"/>
        <v/>
      </c>
      <c r="C44" s="698" t="str">
        <f t="shared" si="11"/>
        <v/>
      </c>
      <c r="D44" s="610" t="str">
        <f t="shared" si="9"/>
        <v/>
      </c>
      <c r="E44" s="611" t="str">
        <f t="shared" si="10"/>
        <v/>
      </c>
      <c r="F44" s="612">
        <v>0.97</v>
      </c>
      <c r="G44" s="562"/>
      <c r="H44" s="614"/>
      <c r="I44" s="599">
        <f>SUM(I38:I43)</f>
        <v>0</v>
      </c>
      <c r="J44" s="464"/>
      <c r="K44" s="465"/>
      <c r="L44" s="465"/>
      <c r="M44" s="469" t="s">
        <v>429</v>
      </c>
      <c r="N44" s="874">
        <f>IF(R44=TRUE,VLOOKUP(D10,Tabelle9[#All],4,FALSE),0)</f>
        <v>0</v>
      </c>
      <c r="O44" s="874"/>
      <c r="P44" s="874"/>
      <c r="Q44" s="613">
        <v>1</v>
      </c>
      <c r="R44" s="464" t="b">
        <v>0</v>
      </c>
      <c r="S44" s="464"/>
      <c r="T44" s="464"/>
      <c r="U44" s="464"/>
      <c r="V44" s="464"/>
      <c r="W44" s="464"/>
      <c r="X44" s="464"/>
      <c r="Y44" s="464"/>
      <c r="Z44" s="464"/>
      <c r="AA44" s="464"/>
      <c r="AB44" s="464"/>
      <c r="AC44" s="464"/>
    </row>
    <row r="45" spans="1:29" ht="12.75" customHeight="1" x14ac:dyDescent="0.3">
      <c r="A45" s="615" t="s">
        <v>1</v>
      </c>
      <c r="B45" s="616"/>
      <c r="C45" s="616"/>
      <c r="D45" s="616"/>
      <c r="E45" s="616"/>
      <c r="F45" s="617"/>
      <c r="G45" s="462"/>
      <c r="H45" s="618" t="s">
        <v>249</v>
      </c>
      <c r="I45" s="619">
        <f>I44/D$24</f>
        <v>0</v>
      </c>
      <c r="J45" s="464"/>
      <c r="K45" s="465"/>
      <c r="L45" s="465"/>
      <c r="M45" s="469" t="s">
        <v>427</v>
      </c>
      <c r="N45" s="874">
        <f>IF(R45=TRUE,VLOOKUP(D10,Tabelle9[#All],9,FALSE),0)</f>
        <v>0</v>
      </c>
      <c r="O45" s="874"/>
      <c r="P45" s="874"/>
      <c r="Q45" s="613">
        <v>4</v>
      </c>
      <c r="R45" s="464" t="b">
        <v>0</v>
      </c>
      <c r="S45" s="464"/>
      <c r="T45" s="464"/>
      <c r="U45" s="464"/>
      <c r="V45" s="464"/>
      <c r="W45" s="464"/>
      <c r="X45" s="464"/>
      <c r="Y45" s="464"/>
      <c r="Z45" s="464"/>
      <c r="AA45" s="464"/>
      <c r="AB45" s="464"/>
      <c r="AC45" s="464"/>
    </row>
    <row r="46" spans="1:29" ht="12.75" customHeight="1" x14ac:dyDescent="0.3">
      <c r="A46" s="620"/>
      <c r="B46" s="621"/>
      <c r="C46" s="621"/>
      <c r="D46" s="621"/>
      <c r="E46" s="621"/>
      <c r="F46" s="622"/>
      <c r="G46" s="462"/>
      <c r="H46" s="463"/>
      <c r="I46" s="463"/>
      <c r="J46" s="464"/>
      <c r="K46" s="465"/>
      <c r="L46" s="465"/>
      <c r="M46" s="521" t="s">
        <v>430</v>
      </c>
      <c r="N46" s="895">
        <f>IF(R46=TRUE,VLOOKUP(D10,Tabelle9[#All],8,FALSE),0)</f>
        <v>0</v>
      </c>
      <c r="O46" s="895"/>
      <c r="P46" s="895"/>
      <c r="Q46" s="623">
        <v>4</v>
      </c>
      <c r="R46" s="464" t="b">
        <v>0</v>
      </c>
      <c r="S46" s="464"/>
      <c r="T46" s="464"/>
      <c r="U46" s="464"/>
      <c r="V46" s="464"/>
      <c r="W46" s="464"/>
      <c r="X46" s="464"/>
      <c r="Y46" s="464"/>
      <c r="Z46" s="464"/>
      <c r="AA46" s="464"/>
      <c r="AB46" s="464"/>
      <c r="AC46" s="464"/>
    </row>
    <row r="47" spans="1:29" ht="12.75" customHeight="1" x14ac:dyDescent="0.3">
      <c r="A47" s="624"/>
      <c r="B47" s="625"/>
      <c r="C47" s="625"/>
      <c r="D47" s="625"/>
      <c r="E47" s="625"/>
      <c r="F47" s="626"/>
      <c r="G47" s="462"/>
      <c r="H47" s="561" t="s">
        <v>114</v>
      </c>
      <c r="I47" s="627"/>
      <c r="J47" s="464"/>
      <c r="K47" s="465"/>
      <c r="L47" s="465"/>
      <c r="M47" s="561"/>
      <c r="N47" s="627"/>
      <c r="O47" s="463"/>
      <c r="P47" s="463"/>
      <c r="Q47" s="464"/>
      <c r="R47" s="464"/>
      <c r="S47" s="464"/>
      <c r="T47" s="464"/>
      <c r="U47" s="464"/>
      <c r="V47" s="464"/>
      <c r="W47" s="464"/>
      <c r="X47" s="464"/>
      <c r="Y47" s="464"/>
      <c r="Z47" s="464"/>
      <c r="AA47" s="464"/>
      <c r="AB47" s="464"/>
      <c r="AC47" s="464"/>
    </row>
    <row r="48" spans="1:29" ht="12.75" customHeight="1" x14ac:dyDescent="0.3">
      <c r="A48" s="628"/>
      <c r="B48" s="629"/>
      <c r="C48" s="629"/>
      <c r="D48" s="629"/>
      <c r="E48" s="629"/>
      <c r="F48" s="630"/>
      <c r="G48" s="462"/>
      <c r="H48" s="462"/>
      <c r="I48" s="627"/>
      <c r="J48" s="464"/>
      <c r="K48" s="465"/>
      <c r="L48" s="465"/>
      <c r="M48" s="876" t="s">
        <v>205</v>
      </c>
      <c r="N48" s="872" t="s">
        <v>200</v>
      </c>
      <c r="O48" s="878" t="s">
        <v>26</v>
      </c>
      <c r="P48" s="880" t="s">
        <v>18</v>
      </c>
      <c r="Q48" s="464"/>
      <c r="R48" s="464"/>
      <c r="S48" s="464"/>
      <c r="T48" s="464"/>
      <c r="U48" s="464"/>
      <c r="V48" s="464"/>
      <c r="W48" s="464"/>
      <c r="X48" s="464"/>
      <c r="Y48" s="464"/>
      <c r="Z48" s="464"/>
      <c r="AA48" s="464"/>
      <c r="AB48" s="464"/>
      <c r="AC48" s="464"/>
    </row>
    <row r="49" spans="1:29" ht="12.75" customHeight="1" x14ac:dyDescent="0.3">
      <c r="A49" s="628"/>
      <c r="B49" s="629"/>
      <c r="C49" s="629"/>
      <c r="D49" s="629"/>
      <c r="E49" s="629"/>
      <c r="F49" s="630"/>
      <c r="G49" s="462"/>
      <c r="H49" s="631"/>
      <c r="I49" s="884" t="s">
        <v>111</v>
      </c>
      <c r="J49" s="885"/>
      <c r="K49" s="465"/>
      <c r="L49" s="465"/>
      <c r="M49" s="877"/>
      <c r="N49" s="873"/>
      <c r="O49" s="879"/>
      <c r="P49" s="881"/>
      <c r="Q49" s="464"/>
      <c r="R49" s="463"/>
      <c r="S49" s="463"/>
      <c r="T49" s="463"/>
      <c r="U49" s="464"/>
      <c r="V49" s="464"/>
      <c r="W49" s="464"/>
      <c r="X49" s="464"/>
      <c r="Y49" s="464"/>
      <c r="Z49" s="464"/>
      <c r="AA49" s="464"/>
      <c r="AB49" s="464"/>
      <c r="AC49" s="464"/>
    </row>
    <row r="50" spans="1:29" ht="12.75" customHeight="1" x14ac:dyDescent="0.3">
      <c r="A50" s="628"/>
      <c r="B50" s="629"/>
      <c r="C50" s="629"/>
      <c r="D50" s="629"/>
      <c r="E50" s="629"/>
      <c r="F50" s="630"/>
      <c r="G50" s="462"/>
      <c r="H50" s="632"/>
      <c r="I50" s="886" t="s">
        <v>113</v>
      </c>
      <c r="J50" s="887"/>
      <c r="K50" s="465"/>
      <c r="L50" s="465"/>
      <c r="M50" s="469" t="s">
        <v>216</v>
      </c>
      <c r="N50" s="633">
        <f>N39/Q39</f>
        <v>1075</v>
      </c>
      <c r="O50" s="634">
        <v>0.2</v>
      </c>
      <c r="P50" s="635">
        <f>N50*(1+O50)</f>
        <v>1290</v>
      </c>
      <c r="Q50" s="464"/>
      <c r="R50" s="463"/>
      <c r="S50" s="463"/>
      <c r="T50" s="463"/>
      <c r="U50" s="464"/>
      <c r="V50" s="464"/>
      <c r="W50" s="464"/>
      <c r="X50" s="464"/>
      <c r="Y50" s="464"/>
      <c r="Z50" s="464"/>
      <c r="AA50" s="464"/>
      <c r="AB50" s="464"/>
      <c r="AC50" s="464"/>
    </row>
    <row r="51" spans="1:29" ht="12.75" customHeight="1" x14ac:dyDescent="0.3">
      <c r="A51" s="628"/>
      <c r="B51" s="629"/>
      <c r="C51" s="629"/>
      <c r="D51" s="629"/>
      <c r="E51" s="629"/>
      <c r="F51" s="630"/>
      <c r="G51" s="462"/>
      <c r="H51" s="636"/>
      <c r="I51" s="868" t="s">
        <v>112</v>
      </c>
      <c r="J51" s="869"/>
      <c r="K51" s="465"/>
      <c r="L51" s="465"/>
      <c r="M51" s="469" t="s">
        <v>390</v>
      </c>
      <c r="N51" s="633">
        <f>N40/Q40</f>
        <v>600</v>
      </c>
      <c r="O51" s="634">
        <v>0.2</v>
      </c>
      <c r="P51" s="635">
        <f>N51*(1+O51)</f>
        <v>720</v>
      </c>
      <c r="Q51" s="464"/>
      <c r="R51" s="463"/>
      <c r="S51" s="463"/>
      <c r="T51" s="463"/>
      <c r="U51" s="464"/>
      <c r="V51" s="464"/>
      <c r="W51" s="464"/>
      <c r="X51" s="464"/>
      <c r="Y51" s="463"/>
      <c r="Z51" s="463"/>
      <c r="AA51" s="463"/>
      <c r="AB51" s="463"/>
      <c r="AC51" s="463"/>
    </row>
    <row r="52" spans="1:29" x14ac:dyDescent="0.3">
      <c r="A52" s="637"/>
      <c r="B52" s="638"/>
      <c r="C52" s="638"/>
      <c r="D52" s="638"/>
      <c r="E52" s="638"/>
      <c r="F52" s="639"/>
      <c r="G52" s="462"/>
      <c r="K52" s="465"/>
      <c r="L52" s="465"/>
      <c r="M52" s="469" t="s">
        <v>215</v>
      </c>
      <c r="N52" s="633">
        <f>N41/Q41</f>
        <v>0</v>
      </c>
      <c r="O52" s="634">
        <v>0.2</v>
      </c>
      <c r="P52" s="635">
        <f>N52*(1+O52)</f>
        <v>0</v>
      </c>
      <c r="Q52" s="464"/>
      <c r="R52" s="627"/>
      <c r="S52" s="463"/>
      <c r="T52" s="463"/>
      <c r="U52" s="464"/>
      <c r="V52" s="464"/>
      <c r="W52" s="464"/>
      <c r="X52" s="464"/>
      <c r="Y52" s="463"/>
      <c r="Z52" s="463"/>
      <c r="AA52" s="463"/>
      <c r="AB52" s="463"/>
      <c r="AC52" s="463"/>
    </row>
    <row r="53" spans="1:29" x14ac:dyDescent="0.3">
      <c r="A53" s="640"/>
      <c r="B53" s="641"/>
      <c r="C53" s="641"/>
      <c r="D53" s="641"/>
      <c r="E53" s="641"/>
      <c r="F53" s="642"/>
      <c r="M53" s="469" t="s">
        <v>422</v>
      </c>
      <c r="N53" s="633">
        <f>N42/Q42</f>
        <v>0</v>
      </c>
      <c r="O53" s="634">
        <v>0</v>
      </c>
      <c r="P53" s="635">
        <f t="shared" ref="P53:P55" si="12">N53*(1+O53)</f>
        <v>0</v>
      </c>
      <c r="Q53" s="464"/>
    </row>
    <row r="54" spans="1:29" x14ac:dyDescent="0.3">
      <c r="A54" s="638"/>
      <c r="B54" s="638"/>
      <c r="C54" s="638"/>
      <c r="D54" s="638"/>
      <c r="E54" s="638"/>
      <c r="F54" s="638"/>
      <c r="M54" s="469" t="s">
        <v>431</v>
      </c>
      <c r="N54" s="633">
        <f>IF(AND(R43=TRUE,S43=FALSE,R44=FALSE,R45=FALSE),N43,IF(AND(R43=FALSE,S43=TRUE,R44=FALSE,R45=FALSE),N43,IF(AND(R43=FALSE,S43=FALSE,R44=TRUE,R45=FALSE),N44,IF(AND(R43=FALSE,S43=FALSE,R44=FALSE,R45=TRUE),N45,IF(AND(R43=TRUE,S43=TRUE,R44=FALSE,R45=FALSE),N43,IF(AND(R43=TRUE,S43=FALSE,R44=TRUE,R45=FALSE),1500,IF(AND(R43=TRUE,S43=TRUE,R44=TRUE,R45=FALSE),2400,IF(AND(R43=TRUE,S43=TRUE,R44=TRUE,R45=TRUE),2400+N45,IF(AND(R43=TRUE,S43=FALSE,R44=TRUE,R45=TRUE),1500+N45,IF(AND(R43=FALSE,S43=FALSE,R44=TRUE,R45=TRUE),N44+N45,IF(AND(R43=TRUE,S43=FALSE,R44=FALSE,R45=TRUE),N43+N45,IF(AND(R43=TRUE,S43=TRUE,R44=FALSE,R45=TRUE),N43+N45,0))))))))))))</f>
        <v>0</v>
      </c>
      <c r="O54" s="634">
        <v>0.1</v>
      </c>
      <c r="P54" s="635">
        <f>IF(AND(D7&lt;=2,N54&lt;&gt;0),N54*(1+O54)+D7*150,N54*(1+O54))</f>
        <v>0</v>
      </c>
      <c r="Q54" s="464"/>
    </row>
    <row r="55" spans="1:29" x14ac:dyDescent="0.3">
      <c r="A55" s="638"/>
      <c r="B55" s="638"/>
      <c r="C55" s="638"/>
      <c r="D55" s="505"/>
      <c r="E55" s="505"/>
      <c r="F55" s="638"/>
      <c r="M55" s="469" t="s">
        <v>430</v>
      </c>
      <c r="N55" s="633">
        <f>N46/Q46</f>
        <v>0</v>
      </c>
      <c r="O55" s="634">
        <v>0.1</v>
      </c>
      <c r="P55" s="635">
        <f t="shared" si="12"/>
        <v>0</v>
      </c>
      <c r="Q55" s="464"/>
    </row>
    <row r="56" spans="1:29" x14ac:dyDescent="0.3">
      <c r="M56" s="643" t="s">
        <v>44</v>
      </c>
      <c r="N56" s="644">
        <f>SUM(N50:N55)</f>
        <v>1675</v>
      </c>
      <c r="O56" s="645">
        <f>AVERAGE(O50:O52)</f>
        <v>0.20000000000000004</v>
      </c>
      <c r="P56" s="646">
        <f>SUM(P50:P55)</f>
        <v>2010</v>
      </c>
      <c r="Q56" s="587"/>
    </row>
    <row r="57" spans="1:29" x14ac:dyDescent="0.3">
      <c r="M57" s="647"/>
      <c r="N57" s="552"/>
      <c r="O57" s="464"/>
      <c r="P57" s="464"/>
    </row>
  </sheetData>
  <mergeCells count="62">
    <mergeCell ref="N46:P46"/>
    <mergeCell ref="Q37:Q38"/>
    <mergeCell ref="T32:U32"/>
    <mergeCell ref="Q3:Q5"/>
    <mergeCell ref="R3:R5"/>
    <mergeCell ref="S3:S5"/>
    <mergeCell ref="T3:T5"/>
    <mergeCell ref="N44:P44"/>
    <mergeCell ref="AC3:AC5"/>
    <mergeCell ref="AD3:AD5"/>
    <mergeCell ref="M29:N29"/>
    <mergeCell ref="T29:U29"/>
    <mergeCell ref="T31:U31"/>
    <mergeCell ref="M16:M17"/>
    <mergeCell ref="N16:N17"/>
    <mergeCell ref="O16:O17"/>
    <mergeCell ref="O3:O5"/>
    <mergeCell ref="P3:P5"/>
    <mergeCell ref="N3:N5"/>
    <mergeCell ref="I51:J51"/>
    <mergeCell ref="M37:M38"/>
    <mergeCell ref="N37:P38"/>
    <mergeCell ref="N39:P39"/>
    <mergeCell ref="N40:P40"/>
    <mergeCell ref="N41:P41"/>
    <mergeCell ref="M48:M49"/>
    <mergeCell ref="N48:N49"/>
    <mergeCell ref="O48:O49"/>
    <mergeCell ref="P48:P49"/>
    <mergeCell ref="H37:I37"/>
    <mergeCell ref="I49:J49"/>
    <mergeCell ref="I50:J50"/>
    <mergeCell ref="N42:P42"/>
    <mergeCell ref="N43:P43"/>
    <mergeCell ref="N45:P45"/>
    <mergeCell ref="A15:D15"/>
    <mergeCell ref="A3:D3"/>
    <mergeCell ref="E3:F3"/>
    <mergeCell ref="H3:J3"/>
    <mergeCell ref="M3:M5"/>
    <mergeCell ref="L3:L5"/>
    <mergeCell ref="A24:C24"/>
    <mergeCell ref="A25:C25"/>
    <mergeCell ref="P16:P17"/>
    <mergeCell ref="Q16:Q17"/>
    <mergeCell ref="A21:D21"/>
    <mergeCell ref="Q2:R2"/>
    <mergeCell ref="A26:C26"/>
    <mergeCell ref="A28:C28"/>
    <mergeCell ref="A4:C4"/>
    <mergeCell ref="A5:C5"/>
    <mergeCell ref="A6:C6"/>
    <mergeCell ref="A7:C7"/>
    <mergeCell ref="A8:C8"/>
    <mergeCell ref="A9:C9"/>
    <mergeCell ref="A16:C16"/>
    <mergeCell ref="A17:C17"/>
    <mergeCell ref="A18:C18"/>
    <mergeCell ref="A19:C19"/>
    <mergeCell ref="A20:C20"/>
    <mergeCell ref="A22:C22"/>
    <mergeCell ref="A23:C23"/>
  </mergeCells>
  <conditionalFormatting sqref="J24">
    <cfRule type="cellIs" dxfId="241" priority="9" operator="greaterThan">
      <formula>0.2</formula>
    </cfRule>
    <cfRule type="cellIs" dxfId="240" priority="10" operator="lessThan">
      <formula>0.2</formula>
    </cfRule>
  </conditionalFormatting>
  <conditionalFormatting sqref="J25">
    <cfRule type="cellIs" dxfId="239" priority="7" operator="greaterThan">
      <formula>0.01</formula>
    </cfRule>
    <cfRule type="cellIs" dxfId="238" priority="8" operator="lessThan">
      <formula>0.01</formula>
    </cfRule>
  </conditionalFormatting>
  <conditionalFormatting sqref="D12">
    <cfRule type="cellIs" dxfId="237" priority="6" operator="lessThan">
      <formula>50</formula>
    </cfRule>
  </conditionalFormatting>
  <conditionalFormatting sqref="D4:D11">
    <cfRule type="cellIs" dxfId="236" priority="5" operator="equal">
      <formula>0</formula>
    </cfRule>
  </conditionalFormatting>
  <conditionalFormatting sqref="D17">
    <cfRule type="cellIs" dxfId="235" priority="4" operator="equal">
      <formula>0</formula>
    </cfRule>
  </conditionalFormatting>
  <conditionalFormatting sqref="D13:D14">
    <cfRule type="expression" dxfId="234" priority="3">
      <formula>ISERROR(#N/A)</formula>
    </cfRule>
  </conditionalFormatting>
  <conditionalFormatting sqref="D18:D20">
    <cfRule type="expression" dxfId="233" priority="2">
      <formula>ISERROR(#N/A)</formula>
    </cfRule>
  </conditionalFormatting>
  <conditionalFormatting sqref="D13:D14 D18:D20">
    <cfRule type="cellIs" dxfId="232" priority="1" operator="greaterThan">
      <formula>800</formula>
    </cfRule>
  </conditionalFormatting>
  <dataValidations count="4">
    <dataValidation type="list" allowBlank="1" showInputMessage="1" showErrorMessage="1" sqref="D9" xr:uid="{00000000-0002-0000-0400-000000000000}">
      <formula1>Turm</formula1>
    </dataValidation>
    <dataValidation type="list" allowBlank="1" showInputMessage="1" showErrorMessage="1" sqref="D10" xr:uid="{00000000-0002-0000-0400-000001000000}">
      <formula1>INDIRECT(D6)</formula1>
    </dataValidation>
    <dataValidation type="decimal" allowBlank="1" showInputMessage="1" showErrorMessage="1" sqref="D12" xr:uid="{00000000-0002-0000-0400-000002000000}">
      <formula1>45</formula1>
      <formula2>160</formula2>
    </dataValidation>
    <dataValidation type="list" allowBlank="1" showInputMessage="1" showErrorMessage="1" sqref="D8" xr:uid="{00000000-0002-0000-0400-000003000000}">
      <formula1>BFA</formula1>
    </dataValidation>
  </dataValidations>
  <pageMargins left="0.7" right="0.7" top="0.78740157499999996" bottom="0.78740157499999996"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7416" r:id="rId4" name="Check Box 8">
              <controlPr defaultSize="0" autoFill="0" autoLine="0" autoPict="0">
                <anchor moveWithCells="1">
                  <from>
                    <xdr:col>12</xdr:col>
                    <xdr:colOff>1600200</xdr:colOff>
                    <xdr:row>41</xdr:row>
                    <xdr:rowOff>7620</xdr:rowOff>
                  </from>
                  <to>
                    <xdr:col>12</xdr:col>
                    <xdr:colOff>1965960</xdr:colOff>
                    <xdr:row>42</xdr:row>
                    <xdr:rowOff>76200</xdr:rowOff>
                  </to>
                </anchor>
              </controlPr>
            </control>
          </mc:Choice>
        </mc:AlternateContent>
        <mc:AlternateContent xmlns:mc="http://schemas.openxmlformats.org/markup-compatibility/2006">
          <mc:Choice Requires="x14">
            <control shapeId="17417" r:id="rId5" name="Check Box 9">
              <controlPr defaultSize="0" autoFill="0" autoLine="0" autoPict="0">
                <anchor moveWithCells="1">
                  <from>
                    <xdr:col>12</xdr:col>
                    <xdr:colOff>1417320</xdr:colOff>
                    <xdr:row>41</xdr:row>
                    <xdr:rowOff>160020</xdr:rowOff>
                  </from>
                  <to>
                    <xdr:col>12</xdr:col>
                    <xdr:colOff>1790700</xdr:colOff>
                    <xdr:row>43</xdr:row>
                    <xdr:rowOff>45720</xdr:rowOff>
                  </to>
                </anchor>
              </controlPr>
            </control>
          </mc:Choice>
        </mc:AlternateContent>
        <mc:AlternateContent xmlns:mc="http://schemas.openxmlformats.org/markup-compatibility/2006">
          <mc:Choice Requires="x14">
            <control shapeId="17418" r:id="rId6" name="Check Box 10">
              <controlPr defaultSize="0" autoFill="0" autoLine="0" autoPict="0">
                <anchor moveWithCells="1">
                  <from>
                    <xdr:col>12</xdr:col>
                    <xdr:colOff>1607820</xdr:colOff>
                    <xdr:row>41</xdr:row>
                    <xdr:rowOff>160020</xdr:rowOff>
                  </from>
                  <to>
                    <xdr:col>12</xdr:col>
                    <xdr:colOff>1981200</xdr:colOff>
                    <xdr:row>43</xdr:row>
                    <xdr:rowOff>76200</xdr:rowOff>
                  </to>
                </anchor>
              </controlPr>
            </control>
          </mc:Choice>
        </mc:AlternateContent>
        <mc:AlternateContent xmlns:mc="http://schemas.openxmlformats.org/markup-compatibility/2006">
          <mc:Choice Requires="x14">
            <control shapeId="17419" r:id="rId7" name="Check Box 11">
              <controlPr defaultSize="0" autoFill="0" autoLine="0" autoPict="0">
                <anchor moveWithCells="1">
                  <from>
                    <xdr:col>12</xdr:col>
                    <xdr:colOff>1607820</xdr:colOff>
                    <xdr:row>42</xdr:row>
                    <xdr:rowOff>152400</xdr:rowOff>
                  </from>
                  <to>
                    <xdr:col>12</xdr:col>
                    <xdr:colOff>1981200</xdr:colOff>
                    <xdr:row>44</xdr:row>
                    <xdr:rowOff>45720</xdr:rowOff>
                  </to>
                </anchor>
              </controlPr>
            </control>
          </mc:Choice>
        </mc:AlternateContent>
        <mc:AlternateContent xmlns:mc="http://schemas.openxmlformats.org/markup-compatibility/2006">
          <mc:Choice Requires="x14">
            <control shapeId="17420" r:id="rId8" name="Check Box 12">
              <controlPr defaultSize="0" autoFill="0" autoLine="0" autoPict="0">
                <anchor moveWithCells="1">
                  <from>
                    <xdr:col>12</xdr:col>
                    <xdr:colOff>1607820</xdr:colOff>
                    <xdr:row>43</xdr:row>
                    <xdr:rowOff>160020</xdr:rowOff>
                  </from>
                  <to>
                    <xdr:col>12</xdr:col>
                    <xdr:colOff>1981200</xdr:colOff>
                    <xdr:row>45</xdr:row>
                    <xdr:rowOff>45720</xdr:rowOff>
                  </to>
                </anchor>
              </controlPr>
            </control>
          </mc:Choice>
        </mc:AlternateContent>
        <mc:AlternateContent xmlns:mc="http://schemas.openxmlformats.org/markup-compatibility/2006">
          <mc:Choice Requires="x14">
            <control shapeId="17421" r:id="rId9" name="Check Box 13">
              <controlPr defaultSize="0" autoFill="0" autoLine="0" autoPict="0">
                <anchor moveWithCells="1">
                  <from>
                    <xdr:col>12</xdr:col>
                    <xdr:colOff>1607820</xdr:colOff>
                    <xdr:row>44</xdr:row>
                    <xdr:rowOff>160020</xdr:rowOff>
                  </from>
                  <to>
                    <xdr:col>12</xdr:col>
                    <xdr:colOff>1981200</xdr:colOff>
                    <xdr:row>46</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4000000}">
          <x14:formula1>
            <xm:f>Anlageninfo!$B$3:$D$3</xm:f>
          </x14:formula1>
          <xm:sqref>D6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F438A-3E2E-488D-A762-A1F5A0DA3E9F}">
  <sheetPr codeName="Tabelle17"/>
  <dimension ref="A1:K65"/>
  <sheetViews>
    <sheetView view="pageLayout" topLeftCell="A7" zoomScale="140" zoomScaleNormal="100" zoomScalePageLayoutView="140" workbookViewId="0">
      <selection activeCell="D32" sqref="D32:D33"/>
    </sheetView>
  </sheetViews>
  <sheetFormatPr baseColWidth="10" defaultColWidth="11.44140625" defaultRowHeight="14.4" x14ac:dyDescent="0.3"/>
  <cols>
    <col min="1" max="1" width="4.6640625" style="331" customWidth="1"/>
    <col min="2" max="2" width="19.5546875" style="331" customWidth="1"/>
    <col min="3" max="3" width="52.88671875" style="331" customWidth="1"/>
    <col min="4" max="4" width="10" style="331" customWidth="1"/>
    <col min="5" max="5" width="12.88671875" style="331" customWidth="1"/>
    <col min="6" max="6" width="12.6640625" style="331" customWidth="1"/>
    <col min="7" max="16384" width="11.44140625" style="331"/>
  </cols>
  <sheetData>
    <row r="1" spans="1:11" ht="34.5" customHeight="1" x14ac:dyDescent="0.3">
      <c r="A1" s="926"/>
      <c r="B1" s="927"/>
      <c r="C1" s="664" t="str">
        <f ca="1">IF(F4="Deutsch","Stand: "&amp;TEXT(TODAY(),"TT.MM.JJJJ"),"State: "&amp;TEXT(TODAY(),"TT.MM.JJJJ"))</f>
        <v>Stand: 12.04.2018</v>
      </c>
      <c r="D1" s="665"/>
    </row>
    <row r="2" spans="1:11" ht="4.5" customHeight="1" thickBot="1" x14ac:dyDescent="0.35">
      <c r="D2" s="332"/>
    </row>
    <row r="3" spans="1:11" ht="18.75" customHeight="1" x14ac:dyDescent="0.3">
      <c r="A3" s="937" t="str">
        <f>IF(F4="Deutsch","Vollwartungsvertrag WP "&amp;Basisdaten!C13&amp;" ( "&amp;Basisdaten!C17&amp;" x "&amp;Basisdaten!C31&amp;" "&amp;Basisdaten!C32&amp;" "&amp;Basisdaten!C35&amp;" m)","Maintenance contract WF "&amp;Basisdaten!C13&amp;" ("&amp;Basisdaten!C17&amp;" x "&amp;Basisdaten!C31&amp;" "&amp;Basisdaten!C32&amp;" HH "&amp;Basisdaten!C35&amp;" m)")</f>
        <v>Vollwartungsvertrag WP Remlingen ( 6 x Nordex N117/2400 140 m)</v>
      </c>
      <c r="B3" s="938"/>
      <c r="C3" s="939"/>
      <c r="D3" s="940"/>
      <c r="K3" s="331" t="s">
        <v>380</v>
      </c>
    </row>
    <row r="4" spans="1:11" ht="15.75" customHeight="1" thickBot="1" x14ac:dyDescent="0.35">
      <c r="A4" s="942" t="str">
        <f>IF(F4="Deutsch","Laufzeit  "&amp;VWoGK!D23&amp;" Jahre - feste Vergütung","Contract period  "&amp;VWoGK!D23&amp;" years - fixed remuneration")</f>
        <v>Laufzeit  14 Jahre - feste Vergütung</v>
      </c>
      <c r="B4" s="943"/>
      <c r="C4" s="944"/>
      <c r="D4" s="941"/>
      <c r="E4" s="331" t="s">
        <v>382</v>
      </c>
      <c r="F4" s="13" t="s">
        <v>380</v>
      </c>
      <c r="K4" s="331" t="s">
        <v>381</v>
      </c>
    </row>
    <row r="5" spans="1:11" ht="8.25" customHeight="1" thickBot="1" x14ac:dyDescent="0.35">
      <c r="D5" s="332"/>
      <c r="K5" s="375">
        <v>0.95</v>
      </c>
    </row>
    <row r="6" spans="1:11" x14ac:dyDescent="0.3">
      <c r="A6" s="930" t="str">
        <f>IF(F4="Deutsch", "Preise", "Prices")</f>
        <v>Preise</v>
      </c>
      <c r="B6" s="934" t="str">
        <f>IF(F4="Deutsch","Preise für den weiter unten beschriebenen Leistungsumfang pro WEA und Jahr","Prices for the scope of service as described below for WEC/a")</f>
        <v>Preise für den weiter unten beschriebenen Leistungsumfang pro WEA und Jahr</v>
      </c>
      <c r="C6" s="333" t="str">
        <f>IF(F4="Deutsch","Betriebsjahr "&amp;VWmGKmR!B30&amp;"-"&amp;VWmGKmR!C30, "Years of operation "&amp;VWmGKmR!B30&amp;"-"&amp;VWmGKmR!C30)</f>
        <v>Betriebsjahr 7-9</v>
      </c>
      <c r="D6" s="334">
        <f>VWoGK!E29</f>
        <v>0</v>
      </c>
      <c r="E6" s="13" t="s">
        <v>48</v>
      </c>
      <c r="F6" s="331">
        <v>0.97</v>
      </c>
      <c r="K6" s="375">
        <v>0.96</v>
      </c>
    </row>
    <row r="7" spans="1:11" x14ac:dyDescent="0.3">
      <c r="A7" s="931"/>
      <c r="B7" s="906"/>
      <c r="C7" s="335" t="str">
        <f>IF(F4="Deutsch","Betriebsjahr "&amp;VWmGKmR!B31&amp;"-"&amp;VWmGKmR!C31, "Years of operation "&amp;VWmGKmR!B31&amp;"-"&amp;VWmGKmR!C31)</f>
        <v>Betriebsjahr 10-12</v>
      </c>
      <c r="D7" s="336">
        <f>VWoGK!E30</f>
        <v>0</v>
      </c>
      <c r="K7" s="375">
        <v>0.97</v>
      </c>
    </row>
    <row r="8" spans="1:11" x14ac:dyDescent="0.3">
      <c r="A8" s="931"/>
      <c r="B8" s="906"/>
      <c r="C8" s="335" t="str">
        <f>IF(F4="Deutsch","Betriebsjahr "&amp;VWmGKmR!B32&amp;"-"&amp;VWmGKmR!C32,"Years of operation "&amp;VWmGKmR!B32&amp;"-"&amp;VWmGKmR!C32)</f>
        <v>Betriebsjahr 13-15</v>
      </c>
      <c r="D8" s="336">
        <f>VWoGK!E31</f>
        <v>0</v>
      </c>
      <c r="E8" s="125" t="s">
        <v>419</v>
      </c>
      <c r="F8" s="386"/>
      <c r="G8" s="386"/>
      <c r="H8" s="386"/>
      <c r="I8" s="386"/>
      <c r="K8" s="375">
        <v>0.98</v>
      </c>
    </row>
    <row r="9" spans="1:11" x14ac:dyDescent="0.3">
      <c r="A9" s="931"/>
      <c r="B9" s="906"/>
      <c r="C9" s="335" t="str">
        <f>IF(F4="Deutsch","Betriebsjahr "&amp;VWmGKmR!B33&amp;"-"&amp;VWmGKmR!C33,"Years of operation "&amp;VWmGKmR!B33&amp;"-"&amp;VWmGKmR!C33)</f>
        <v>Betriebsjahr 16-18</v>
      </c>
      <c r="D9" s="336">
        <f>VWoGK!E32</f>
        <v>0</v>
      </c>
      <c r="E9" s="929" t="s">
        <v>420</v>
      </c>
      <c r="F9" s="929"/>
      <c r="G9" s="929"/>
      <c r="H9" s="929"/>
      <c r="I9" s="929"/>
    </row>
    <row r="10" spans="1:11" x14ac:dyDescent="0.3">
      <c r="A10" s="932"/>
      <c r="B10" s="945"/>
      <c r="C10" s="335" t="str">
        <f>IF(F4="Deutsch","Betriebsjahr "&amp;VWmGKmR!B34&amp;"-"&amp;VWmGKmR!C34,"Years of operation "&amp;VWmGKmR!B34&amp;"-"&amp;VWmGKmR!C34)</f>
        <v>Betriebsjahr 19-20</v>
      </c>
      <c r="D10" s="336">
        <f>VWoGK!E33</f>
        <v>0</v>
      </c>
      <c r="E10" s="929"/>
      <c r="F10" s="929"/>
      <c r="G10" s="929"/>
      <c r="H10" s="929"/>
      <c r="I10" s="929"/>
    </row>
    <row r="11" spans="1:11" ht="15" thickBot="1" x14ac:dyDescent="0.35">
      <c r="A11" s="933"/>
      <c r="B11" s="945"/>
      <c r="C11" s="335" t="str">
        <f>IF(F4="Deutsch","Betriebsjahr "&amp;VWmGKmR!B35&amp;"-"&amp;VWmGKmR!C35,"Years of operation "&amp;VWmGKmR!B35&amp;"-"&amp;VWmGKmR!C35)</f>
        <v>Betriebsjahr -</v>
      </c>
      <c r="D11" s="394">
        <f>VWoGK!E34</f>
        <v>0</v>
      </c>
      <c r="E11" s="929"/>
      <c r="F11" s="929"/>
      <c r="G11" s="929"/>
      <c r="H11" s="929"/>
      <c r="I11" s="929"/>
    </row>
    <row r="12" spans="1:11" ht="7.5" customHeight="1" thickBot="1" x14ac:dyDescent="0.35">
      <c r="A12" s="338"/>
      <c r="B12" s="339"/>
      <c r="C12" s="339"/>
      <c r="D12" s="340"/>
      <c r="E12" s="929"/>
      <c r="F12" s="929"/>
      <c r="G12" s="929"/>
      <c r="H12" s="929"/>
      <c r="I12" s="929"/>
      <c r="K12" s="13" t="s">
        <v>409</v>
      </c>
    </row>
    <row r="13" spans="1:11" ht="12.75" customHeight="1" x14ac:dyDescent="0.3">
      <c r="A13" s="930" t="str">
        <f>IF(F4="Deutsch","Service &amp; Instandsetzung","Service &amp; Maintenance")</f>
        <v>Service &amp; Instandsetzung</v>
      </c>
      <c r="B13" s="934" t="str">
        <f>IF(F4="Deutsch","Wartung","Maintenance")</f>
        <v>Wartung</v>
      </c>
      <c r="C13" s="356" t="str">
        <f>IF(AND(VWmGKmR!D11="3.XM",F4="Deutsch"),"Jahres- und Halbjahreswartung, 2-, 3-, 4-, 5-, 6- und 10-Jahreswartung sowie Umrichterwartung",IF(AND(VWmGKmR!D11="3.XM",F4="Englisch"),"Yearly, half-yearly, 2-,3-, 4-, 5-, 6- and 10-yearly maintenance including converter maintenance",IF(AND(VWmGKmR!D11&lt;&gt;"3.XM",F4="Deutsch",Basisdaten!C37="Gittermast"),"Jahres- und Halbjahreswartung sowie Umrichterwartung und Gittermastwartung",IF(AND(VWmGKmR!D11&lt;&gt;"3.XM",F4="Deutsch",Basisdaten!C37&lt;&gt;"Gittermast"),"Jahres- und Halbjahreswartung sowie Umrichterwartung",IF(AND(VWmGKmR!D11&lt;&gt;"3.XM",F4="Englisch",Basisdaten!C37="Gittermast"),"Yearly, half-yearly maintenance including converter maintenance and lattice tower maintenance","Yearly, half-yearly maintenance including converter maintenance")))))</f>
        <v>Jahres- und Halbjahreswartung sowie Umrichterwartung</v>
      </c>
      <c r="D13" s="935" t="str">
        <f>IF(F$4="Deutsch","Inkl.","Inclusive")</f>
        <v>Inkl.</v>
      </c>
      <c r="E13" s="929"/>
      <c r="F13" s="929"/>
      <c r="G13" s="929"/>
      <c r="H13" s="929"/>
      <c r="I13" s="929"/>
      <c r="K13" s="13" t="s">
        <v>410</v>
      </c>
    </row>
    <row r="14" spans="1:11" ht="12.75" customHeight="1" x14ac:dyDescent="0.3">
      <c r="A14" s="931"/>
      <c r="B14" s="906"/>
      <c r="C14" s="343" t="str">
        <f>IF(F4="Deutsch","Serviceberichte und Wartungsprotokolle","Service and maintenance reports")</f>
        <v>Serviceberichte und Wartungsprotokolle</v>
      </c>
      <c r="D14" s="936"/>
      <c r="E14" s="929"/>
      <c r="F14" s="929"/>
      <c r="G14" s="929"/>
      <c r="H14" s="929"/>
      <c r="I14" s="929"/>
    </row>
    <row r="15" spans="1:11" ht="12.75" customHeight="1" x14ac:dyDescent="0.3">
      <c r="A15" s="931"/>
      <c r="B15" s="659" t="str">
        <f>IF(F4="Deutsch","Verbrauchsmaterialien","Expendable materials")</f>
        <v>Verbrauchsmaterialien</v>
      </c>
      <c r="C15" s="343" t="str">
        <f>IF(F4="Deutsch","Filter, Fette, Öle Schmierstoffanalysen","Filter, lubricants, oil, lubricant analysis")</f>
        <v>Filter, Fette, Öle Schmierstoffanalysen</v>
      </c>
      <c r="D15" s="663" t="str">
        <f t="shared" ref="D15:D21" si="0">IF(F$4="Deutsch","Inkl.","Inclusive")</f>
        <v>Inkl.</v>
      </c>
      <c r="E15" s="929"/>
      <c r="F15" s="929"/>
      <c r="G15" s="929"/>
      <c r="H15" s="929"/>
      <c r="I15" s="929"/>
    </row>
    <row r="16" spans="1:11" ht="12.75" customHeight="1" x14ac:dyDescent="0.3">
      <c r="A16" s="931"/>
      <c r="B16" s="659" t="str">
        <f>IF(F4="Deutsch","24/7 Fernüberwachung","24/7 remote monitoring")</f>
        <v>24/7 Fernüberwachung</v>
      </c>
      <c r="C16" s="343" t="str">
        <f>IF(F4="Deutsch","24/7 Fernüberwachung inkl. Fehlerdiagnose und Behebung aus der Ferne (wenn möglich)","24/7 remote monitoring incl. diagnostics &amp; correction of defects via remote control (if possible)")</f>
        <v>24/7 Fernüberwachung inkl. Fehlerdiagnose und Behebung aus der Ferne (wenn möglich)</v>
      </c>
      <c r="D16" s="663" t="str">
        <f t="shared" si="0"/>
        <v>Inkl.</v>
      </c>
      <c r="E16" s="929"/>
      <c r="F16" s="929"/>
      <c r="G16" s="929"/>
      <c r="H16" s="929"/>
      <c r="I16" s="929"/>
    </row>
    <row r="17" spans="1:9" ht="12" customHeight="1" x14ac:dyDescent="0.3">
      <c r="A17" s="931"/>
      <c r="B17" s="659" t="str">
        <f>IF(F4="Deutsch","Instandsetzung - Arbeitsleistung","Repairs - work performance")</f>
        <v>Instandsetzung - Arbeitsleistung</v>
      </c>
      <c r="C17" s="343" t="str">
        <f>IF(F4="Deutsch","Instandsetzung vor Ort, wenn Behebung aus der Ferne nicht möglich","Any repairs and services on the turbine if fault clearance is not possible by remote control")</f>
        <v>Instandsetzung vor Ort, wenn Behebung aus der Ferne nicht möglich</v>
      </c>
      <c r="D17" s="663" t="str">
        <f t="shared" si="0"/>
        <v>Inkl.</v>
      </c>
      <c r="E17" s="929"/>
      <c r="F17" s="929"/>
      <c r="G17" s="929"/>
      <c r="H17" s="929"/>
      <c r="I17" s="929"/>
    </row>
    <row r="18" spans="1:9" ht="12.75" customHeight="1" x14ac:dyDescent="0.3">
      <c r="A18" s="931"/>
      <c r="B18" s="659" t="str">
        <f>IF(F4="Deutsch","Instandsetzung - Arbeitsleistung","Repairs - spare parts")</f>
        <v>Instandsetzung - Arbeitsleistung</v>
      </c>
      <c r="C18" s="343" t="str">
        <f>IF(F4="Deutsch","Lieferung von allen Ersatzteilen","Supply of spare parts")</f>
        <v>Lieferung von allen Ersatzteilen</v>
      </c>
      <c r="D18" s="663" t="str">
        <f t="shared" si="0"/>
        <v>Inkl.</v>
      </c>
      <c r="E18" s="929"/>
      <c r="F18" s="929"/>
      <c r="G18" s="929"/>
      <c r="H18" s="929"/>
      <c r="I18" s="929"/>
    </row>
    <row r="19" spans="1:9" ht="12.75" customHeight="1" x14ac:dyDescent="0.3">
      <c r="A19" s="931"/>
      <c r="B19" s="659" t="str">
        <f>IF(F4="Deutsch","Verfügbarkeitsgarantie","Guarantee of availability")</f>
        <v>Verfügbarkeitsgarantie</v>
      </c>
      <c r="C19" s="343" t="str">
        <f>IF(F4="Deutsch","Garantierte technische Parkverfügbarkeit ab Vertragsbeginn bis Vertragsende","Guaranteed technical farm availability upon commencement until the end of the contract")</f>
        <v>Garantierte technische Parkverfügbarkeit ab Vertragsbeginn bis Vertragsende</v>
      </c>
      <c r="D19" s="376">
        <f>F6</f>
        <v>0.97</v>
      </c>
    </row>
    <row r="20" spans="1:9" x14ac:dyDescent="0.3">
      <c r="A20" s="931"/>
      <c r="B20" s="906" t="str">
        <f>IF(F4="Deutsch","Zusätzlliche vorbeugende Wartung","Additional preventing maintenance")</f>
        <v>Zusätzlliche vorbeugende Wartung</v>
      </c>
      <c r="C20" s="343" t="str">
        <f>IF(F4="Deutsch","Wartung der Trafostationen (jährlich)","Maintenance of a transformer station (annual)")</f>
        <v>Wartung der Trafostationen (jährlich)</v>
      </c>
      <c r="D20" s="663" t="str">
        <f t="shared" si="0"/>
        <v>Inkl.</v>
      </c>
    </row>
    <row r="21" spans="1:9" ht="12.75" hidden="1" customHeight="1" x14ac:dyDescent="0.3">
      <c r="A21" s="931"/>
      <c r="B21" s="906"/>
      <c r="C21" s="343" t="str">
        <f>IF(F4="Deutsch","Zweijahreswartung und Fünfjahreswartung (Zusatzwartung alle 2 bzw. 5 Jahre)","Two-year and five-year maintenance (additional maintenance every 2/5 years)")</f>
        <v>Zweijahreswartung und Fünfjahreswartung (Zusatzwartung alle 2 bzw. 5 Jahre)</v>
      </c>
      <c r="D21" s="663" t="str">
        <f t="shared" si="0"/>
        <v>Inkl.</v>
      </c>
    </row>
    <row r="22" spans="1:9" ht="11.25" customHeight="1" x14ac:dyDescent="0.3">
      <c r="A22" s="931"/>
      <c r="B22" s="945" t="str">
        <f>IF(F4="Deutsch","Optionen","Options")</f>
        <v>Optionen</v>
      </c>
      <c r="C22" s="917" t="str">
        <f>IF(F4="Deutsch","Behebung von Schäden von Außen (z.B. durch Blitzeinschlag)","Repair of external damages (e.g. by lightning strike)")</f>
        <v>Behebung von Schäden von Außen (z.B. durch Blitzeinschlag)</v>
      </c>
      <c r="D22" s="924" t="str">
        <f>IF(AND(VWmGKmR!R42=TRUE,F4="Deutsch"),"Inkl.",IF(AND(VWmGKmR!R42=TRUE,F4="Englisch"),"Inclusive","Option"&amp;CHAR(10)&amp;
"€ "&amp;TEXT(ROUND(VLOOKUP(Basisdaten!C32,Anlageninfo!G3:K35,5,FALSE),0),"#")))</f>
        <v>Option
€ 3400</v>
      </c>
    </row>
    <row r="23" spans="1:9" ht="11.25" customHeight="1" x14ac:dyDescent="0.3">
      <c r="A23" s="931"/>
      <c r="B23" s="948"/>
      <c r="C23" s="918"/>
      <c r="D23" s="920"/>
    </row>
    <row r="24" spans="1:9" ht="11.25" customHeight="1" x14ac:dyDescent="0.3">
      <c r="A24" s="931"/>
      <c r="B24" s="948"/>
      <c r="C24" s="917" t="str">
        <f>IF(F4="Deutsch","Getriebevideoendoskopie (jährlich)","Annual video endoscopic inspection of the gearbox")</f>
        <v>Getriebevideoendoskopie (jährlich)</v>
      </c>
      <c r="D24" s="924" t="str">
        <f>"Option"&amp;CHAR(10)&amp;
"€ "&amp;TEXT(VWmGKmR!P50,"#")</f>
        <v>Option
€ 1290</v>
      </c>
    </row>
    <row r="25" spans="1:9" ht="11.25" customHeight="1" x14ac:dyDescent="0.3">
      <c r="A25" s="931"/>
      <c r="B25" s="948"/>
      <c r="C25" s="918"/>
      <c r="D25" s="920"/>
    </row>
    <row r="26" spans="1:9" ht="11.25" customHeight="1" x14ac:dyDescent="0.3">
      <c r="A26" s="931"/>
      <c r="B26" s="948"/>
      <c r="C26" s="917" t="str">
        <f>IF(F4="Deutsch","Getriebeölwechsel","Oil exchange for gear box")</f>
        <v>Getriebeölwechsel</v>
      </c>
      <c r="D26" s="924" t="str">
        <f>IF(VWmGKmR!D11="3.XM","Option"&amp;CHAR(10)&amp;"auf Anfrage","Option"&amp;CHAR(10)&amp;
"€ "&amp;TEXT(VWoGK!M33,"#"))</f>
        <v>Option
€ 4900</v>
      </c>
    </row>
    <row r="27" spans="1:9" ht="11.25" customHeight="1" x14ac:dyDescent="0.3">
      <c r="A27" s="931"/>
      <c r="B27" s="948"/>
      <c r="C27" s="918"/>
      <c r="D27" s="920"/>
    </row>
    <row r="28" spans="1:9" ht="11.25" customHeight="1" x14ac:dyDescent="0.3">
      <c r="A28" s="931"/>
      <c r="B28" s="948"/>
      <c r="C28" s="917" t="str">
        <f>IF(F4="Deutsch","Rotorblattinspektion (innen und außen) inkl. Erdungsmessung mit Seiltechnik (alle zwei Jahre)","Inspection of rotor blades (internal- and external) incl. earth measurement, by rope access, every 2 years")</f>
        <v>Rotorblattinspektion (innen und außen) inkl. Erdungsmessung mit Seiltechnik (alle zwei Jahre)</v>
      </c>
      <c r="D28" s="924" t="str">
        <f>"Option"&amp;CHAR(10)&amp;
"€ "&amp;TEXT(VWmGKmR!P51,"#")</f>
        <v>Option
€ 720</v>
      </c>
    </row>
    <row r="29" spans="1:9" ht="11.25" customHeight="1" x14ac:dyDescent="0.3">
      <c r="A29" s="931"/>
      <c r="B29" s="948"/>
      <c r="C29" s="918"/>
      <c r="D29" s="920"/>
    </row>
    <row r="30" spans="1:9" ht="11.25" customHeight="1" x14ac:dyDescent="0.3">
      <c r="A30" s="931"/>
      <c r="B30" s="948"/>
      <c r="C30" s="917" t="str">
        <f>IF(F4="Deutsch","Wiederkehrende Prüfungen Maschine und Turm","Periodic inspection of machine and tower")</f>
        <v>Wiederkehrende Prüfungen Maschine und Turm</v>
      </c>
      <c r="D30" s="924" t="str">
        <f>IF(AND(VWmGKmR!R46=TRUE,F4="Deutsch"),"Inkl.",IF(AND(VWmGKmR!R46=TRUE,F4="Englisch"),"Inclusive","Option"&amp;CHAR(10)&amp;
"€ "&amp;TEXT(ROUND(VLOOKUP(Basisdaten!C32,'Externe Leistungen'!C5:K38,8,FALSE)/4*1.2+12,0),"#")))</f>
        <v>Option
€ 350</v>
      </c>
    </row>
    <row r="31" spans="1:9" ht="11.25" customHeight="1" x14ac:dyDescent="0.3">
      <c r="A31" s="931"/>
      <c r="B31" s="948"/>
      <c r="C31" s="918"/>
      <c r="D31" s="920"/>
    </row>
    <row r="32" spans="1:9" ht="11.25" customHeight="1" x14ac:dyDescent="0.3">
      <c r="A32" s="931"/>
      <c r="B32" s="948"/>
      <c r="C32" s="917" t="str">
        <f>IF(F4="Deutsch","Wartung Befahranlage (großer Wartungstyp nach Herstellervorgaben)","Full maintenance of service lift according to the manufacturer's specification")</f>
        <v>Wartung Befahranlage (großer Wartungstyp nach Herstellervorgaben)</v>
      </c>
      <c r="D32" s="924" t="str">
        <f>IF(AND(VWmGKmR!R44=TRUE,F4="Deutsch"),"Inkl.",IF(AND(VWmGKmR!R44=TRUE,F4="Englisch"),"Inclusive","Option"&amp;CHAR(10)&amp;
"€ "&amp;TEXT(ROUND(VLOOKUP(Basisdaten!C32,'Externe Leistungen'!C5:K38,4,FALSE)*1.2,0),"#")))</f>
        <v>Option
€ 1260</v>
      </c>
    </row>
    <row r="33" spans="1:4" ht="11.25" customHeight="1" x14ac:dyDescent="0.3">
      <c r="A33" s="931"/>
      <c r="B33" s="948"/>
      <c r="C33" s="918"/>
      <c r="D33" s="920"/>
    </row>
    <row r="34" spans="1:4" ht="11.25" customHeight="1" x14ac:dyDescent="0.3">
      <c r="A34" s="931"/>
      <c r="B34" s="948"/>
      <c r="C34" s="922" t="str">
        <f>IF(F4="Deutsch","Prüfung der elektrischen Betriebsmittel nach DIN IEC 60364/DGUV V3 (jährliche Kosten)","Inspection of electrical equipment according to DIN IEC 60364/DGUV V3 (yearly costs)")</f>
        <v>Prüfung der elektrischen Betriebsmittel nach DIN IEC 60364/DGUV V3 (jährliche Kosten)</v>
      </c>
      <c r="D34" s="924" t="s">
        <v>479</v>
      </c>
    </row>
    <row r="35" spans="1:4" ht="11.25" customHeight="1" x14ac:dyDescent="0.3">
      <c r="A35" s="931"/>
      <c r="B35" s="948"/>
      <c r="C35" s="923"/>
      <c r="D35" s="925"/>
    </row>
    <row r="36" spans="1:4" ht="11.25" customHeight="1" x14ac:dyDescent="0.3">
      <c r="A36" s="931"/>
      <c r="B36" s="948"/>
      <c r="C36" s="917" t="str">
        <f>IF(F4="Deutsch","Sachkundigenprüfung der Sicherheitseinrichtungen (Aufstieg, Feuerlöscher, PSA etc.) ohne Austausch &amp; Instandsetzung","Expert inspection of safety devices (ascent, fire extinguisher, PSA, etc.) without exchange &amp; maintenance")</f>
        <v>Sachkundigenprüfung der Sicherheitseinrichtungen (Aufstieg, Feuerlöscher, PSA etc.) ohne Austausch &amp; Instandsetzung</v>
      </c>
      <c r="D36" s="924" t="str">
        <f>IF(AND(VWmGKmR!R43=TRUE,F4="Deutsch"),"Inkl.",IF(AND(VWmGKmR!R43=TRUE,F4="Englisch"),"Inclusive","Option"&amp;CHAR(10)&amp;
"€ "&amp;TEXT(ROUND(VLOOKUP(Basisdaten!C32,'Externe Leistungen'!C5:K38,6,FALSE)*1.2,0),"#")))</f>
        <v>Option
€ 720</v>
      </c>
    </row>
    <row r="37" spans="1:4" ht="11.25" customHeight="1" x14ac:dyDescent="0.3">
      <c r="A37" s="931"/>
      <c r="B37" s="948"/>
      <c r="C37" s="918"/>
      <c r="D37" s="920"/>
    </row>
    <row r="38" spans="1:4" ht="11.25" customHeight="1" x14ac:dyDescent="0.3">
      <c r="A38" s="931"/>
      <c r="B38" s="948"/>
      <c r="C38" s="917" t="str">
        <f>IF(F4="Deutsch","Sachkundigenprüfung der Sicherheitseinrichtungen (Aufstieg, Feuerlöscher, PSA etc.) ohne Austausch &amp; Instandsetzung mit Wartung Befahranlage","Expert inspection of safety devices (ascent, fire extinguisher, PSA, etc.) without exchange &amp; maintenance with maintenance of service lift")</f>
        <v>Sachkundigenprüfung der Sicherheitseinrichtungen (Aufstieg, Feuerlöscher, PSA etc.) ohne Austausch &amp; Instandsetzung mit Wartung Befahranlage</v>
      </c>
      <c r="D38" s="924" t="str">
        <f>IF(AND(VWmGKmR!R43=TRUE,VWmGKmR!R44=TRUE,F4="Deutsch"),"Inkl.",IF(AND(VWmGKmR!R43=TRUE,VWmGKmR!R44=TRUE,F4="Englisch"),"Inclusive","Option"&amp;CHAR(10)&amp;
"€ "&amp;TEXT(ROUND(1600,0),"#")))</f>
        <v>Option
€ 1600</v>
      </c>
    </row>
    <row r="39" spans="1:4" ht="11.25" customHeight="1" x14ac:dyDescent="0.3">
      <c r="A39" s="931"/>
      <c r="B39" s="948"/>
      <c r="C39" s="918"/>
      <c r="D39" s="920"/>
    </row>
    <row r="40" spans="1:4" ht="11.25" customHeight="1" x14ac:dyDescent="0.3">
      <c r="A40" s="931"/>
      <c r="B40" s="948"/>
      <c r="C40" s="917" t="str">
        <f>IF(F4="Deutsch","Sachkundigenprüfung der Sicherheitseinrichtungen (Aufstieg, Feuerlöscher, PSA etc.) mit Austausch &amp; Instandsetzung und Wartung Befahranlage","Expert inspection of safety devices (ascent, fire extinguisher, PSA, etc.) with exchange &amp; maintenance and maintenance of service lift")</f>
        <v>Sachkundigenprüfung der Sicherheitseinrichtungen (Aufstieg, Feuerlöscher, PSA etc.) mit Austausch &amp; Instandsetzung und Wartung Befahranlage</v>
      </c>
      <c r="D40" s="919" t="str">
        <f>IF(AND(VWmGKmR!R43=TRUE,VWmGKmR!S43=TRUE,VWmGKmR!R44=TRUE,F4="Deutsch"),"Inkl.",IF(AND(VWmGKmR!R43=TRUE,VWmGKmR!S43=TRUE,VWmGKmR!R44=TRUE,F4="Englisch"),"Inclusive","Option"&amp;CHAR(10)&amp;
"€ "&amp;TEXT(ROUND(2500,0),"#")))</f>
        <v>Option
€ 2500</v>
      </c>
    </row>
    <row r="41" spans="1:4" ht="11.25" customHeight="1" x14ac:dyDescent="0.3">
      <c r="A41" s="932"/>
      <c r="B41" s="948"/>
      <c r="C41" s="918"/>
      <c r="D41" s="920"/>
    </row>
    <row r="42" spans="1:4" ht="11.25" customHeight="1" x14ac:dyDescent="0.3">
      <c r="A42" s="932"/>
      <c r="B42" s="948"/>
      <c r="C42" s="917" t="str">
        <f>IF(F4="Deutsch","Sachkundigenprüfung der Sicherheitseinrichtungen (Aufstieg, Feuerlöscher, PSA etc.) und DGUV V3 Prüfung mit Austausch &amp; Instandsetzung und Wartung Befahranlage","Expert inspection of safety devices (ascent, fire extinguisher, PSA, etc.) and DGUV V3 inspection with exchange &amp; maintenance and maintenance of service lift")</f>
        <v>Sachkundigenprüfung der Sicherheitseinrichtungen (Aufstieg, Feuerlöscher, PSA etc.) und DGUV V3 Prüfung mit Austausch &amp; Instandsetzung und Wartung Befahranlage</v>
      </c>
      <c r="D42" s="919" t="str">
        <f>IF(AND(VWmGKmR!R43=TRUE,VWmGKmR!R44=TRUE,VWmGKmR!R45=TRUE,F4="Deutsch"),"Inkl.",IF(AND(VWmGKmR!R43=TRUE,VWmGKmR!R44=TRUE,VWmGKmR!R45=TRUE,F4="Englisch"),"Inclusive","Option"&amp;CHAR(10)&amp;
"€ "&amp;TEXT(ROUND(2860,0),"#")))</f>
        <v>Option
€ 2860</v>
      </c>
    </row>
    <row r="43" spans="1:4" ht="9.75" customHeight="1" thickBot="1" x14ac:dyDescent="0.35">
      <c r="A43" s="933"/>
      <c r="B43" s="949"/>
      <c r="C43" s="946"/>
      <c r="D43" s="947"/>
    </row>
    <row r="44" spans="1:4" ht="7.5" customHeight="1" thickBot="1" x14ac:dyDescent="0.35">
      <c r="A44" s="344"/>
      <c r="B44" s="344"/>
      <c r="C44" s="344"/>
      <c r="D44" s="344"/>
    </row>
    <row r="45" spans="1:4" ht="40.5" customHeight="1" x14ac:dyDescent="0.3">
      <c r="A45" s="901" t="str">
        <f>IF(F4="Deutsch","Ertragsoptimierung","Yield optimisation")</f>
        <v>Ertragsoptimierung</v>
      </c>
      <c r="B45" s="661" t="str">
        <f>IF(F4="Deutsch","Online Zugang","Online access")</f>
        <v>Online Zugang</v>
      </c>
      <c r="C45" s="356" t="str">
        <f>IF(F4="Deutsch","Nachrüstung einer für einen Online Zugang notwendigen Hardware (falls noch nicht vorhanden) um die Reaktionszeiten auf Störungen zu reduzieren."&amp;" Gleichzeitig Aufbau einer redundanten Kommunikation zum Windpark um Kommunikationsausfälle zu verhindern. Voraussetzung ist ein DSL, DSL light oder vergleichbare Mobilfunkanbindung seitens des Kunden.","Installation of hardware for online access and monitoring (if not yet provided) in order to reduce the reaction time in case of malfunction."&amp;" Concurrent connection set-up within the wind farm to prevent communications failure. DSL, DSL light or similar mobile comunication required and to be provided by the Client.")</f>
        <v>Nachrüstung einer für einen Online Zugang notwendigen Hardware (falls noch nicht vorhanden) um die Reaktionszeiten auf Störungen zu reduzieren. Gleichzeitig Aufbau einer redundanten Kommunikation zum Windpark um Kommunikationsausfälle zu verhindern. Voraussetzung ist ein DSL, DSL light oder vergleichbare Mobilfunkanbindung seitens des Kunden.</v>
      </c>
      <c r="D45" s="662" t="str">
        <f>IF(F$4="Deutsch","Inkl.","Inclusive")</f>
        <v>Inkl.</v>
      </c>
    </row>
    <row r="46" spans="1:4" ht="31.5" customHeight="1" thickBot="1" x14ac:dyDescent="0.35">
      <c r="A46" s="902"/>
      <c r="B46" s="660" t="str">
        <f>IF(F4="Deutsch","Systemcheck &amp; Standortoptimierung","System check &amp; site optimisation")</f>
        <v>Systemcheck &amp; Standortoptimierung</v>
      </c>
      <c r="C46" s="357" t="str">
        <f>IF(F4="Deutsch","Überprüfung der Parameter und der historischen Daten, um Fehleinstellungen, die zu Ertragseinbußen führen, zu detektiern und diese zu beseitigen. Im zweiten Schritt Anpassung der Parameter an den Standort, die zur Ertragssteigerung führen können.","Detection and correction of inappropriate settings, which cause yield losses, according to local site specific conditions.")</f>
        <v>Überprüfung der Parameter und der historischen Daten, um Fehleinstellungen, die zu Ertragseinbußen führen, zu detektiern und diese zu beseitigen. Im zweiten Schritt Anpassung der Parameter an den Standort, die zur Ertragssteigerung führen können.</v>
      </c>
      <c r="D46" s="348" t="str">
        <f>IF(F$4="Deutsch","Inkl.","Inclusive")</f>
        <v>Inkl.</v>
      </c>
    </row>
    <row r="47" spans="1:4" ht="7.5" customHeight="1" thickBot="1" x14ac:dyDescent="0.35">
      <c r="A47" s="344"/>
      <c r="B47" s="344"/>
      <c r="C47" s="344"/>
      <c r="D47" s="344"/>
    </row>
    <row r="48" spans="1:4" ht="12.75" customHeight="1" x14ac:dyDescent="0.3">
      <c r="A48" s="903" t="str">
        <f>IF(F4="Deutsch","Vertragsdetails","Contract details")</f>
        <v>Vertragsdetails</v>
      </c>
      <c r="B48" s="661" t="str">
        <f>IF(F4="Deutsch","Vorzeitige Kündigung/Ausstieg","Early termination/withdrawal")</f>
        <v>Vorzeitige Kündigung/Ausstieg</v>
      </c>
      <c r="C48" s="356" t="str">
        <f>IF(F4="Deutsch","Individuell zu klären","To be negotiated individually")</f>
        <v>Individuell zu klären</v>
      </c>
      <c r="D48" s="662" t="str">
        <f>IF(F$4="Deutsch","Inkl.","Inclusive")</f>
        <v>Inkl.</v>
      </c>
    </row>
    <row r="49" spans="1:4" ht="12.75" customHeight="1" x14ac:dyDescent="0.3">
      <c r="A49" s="904"/>
      <c r="B49" s="659" t="str">
        <f>IF(F4="Deutsch","Gewährleistung","Warranty")</f>
        <v>Gewährleistung</v>
      </c>
      <c r="C49" s="343" t="str">
        <f>IF(F4="Deutsch","24 Monate, maximal 3 Monate nach Beendigung des Vertrags","24 month, max. 3 month after termination of contract")</f>
        <v>24 Monate, maximal 3 Monate nach Beendigung des Vertrags</v>
      </c>
      <c r="D49" s="663" t="str">
        <f>IF(F$4="Deutsch","Inkl.","Inclusive")</f>
        <v>Inkl.</v>
      </c>
    </row>
    <row r="50" spans="1:4" ht="12.75" customHeight="1" x14ac:dyDescent="0.3">
      <c r="A50" s="904"/>
      <c r="B50" s="659" t="str">
        <f>IF(F4="Deutsch","Malus gem. Verfügbarkeitsgarantie","Malus according to availability")</f>
        <v>Malus gem. Verfügbarkeitsgarantie</v>
      </c>
      <c r="C50" s="343" t="str">
        <f>IF(F4="Deutsch","Ja","Yes")</f>
        <v>Ja</v>
      </c>
      <c r="D50" s="663" t="str">
        <f>IF(F$4="Deutsch","Inkl.","Inclusive")</f>
        <v>Inkl.</v>
      </c>
    </row>
    <row r="51" spans="1:4" ht="12.75" customHeight="1" x14ac:dyDescent="0.3">
      <c r="A51" s="904"/>
      <c r="B51" s="906" t="str">
        <f>IF(F4="Deutsch","Haftung","Liability")</f>
        <v>Haftung</v>
      </c>
      <c r="C51" s="343" t="str">
        <f>IF(F4="Deutsch","Maximal pro Jahr (exkl. Verfügbarkeitspönale), wenn nicht über Betriebshaftpflicht abgedeckt","Max. per year (excl. contractual penalty for the availabilty), if not covered by public liability")</f>
        <v>Maximal pro Jahr (exkl. Verfügbarkeitspönale), wenn nicht über Betriebshaftpflicht abgedeckt</v>
      </c>
      <c r="D51" s="663" t="str">
        <f>IF(F4="Deutsch","unbegrenzt","unlimited")</f>
        <v>unbegrenzt</v>
      </c>
    </row>
    <row r="52" spans="1:4" ht="12.75" customHeight="1" thickBot="1" x14ac:dyDescent="0.35">
      <c r="A52" s="905"/>
      <c r="B52" s="907"/>
      <c r="C52" s="357" t="str">
        <f>IF(F4="Deutsch","Verfügbarkeitsgarantie, maximal pro Jahr","Contractual penalty for the availability, max. for a year")</f>
        <v>Verfügbarkeitsgarantie, maximal pro Jahr</v>
      </c>
      <c r="D52" s="348" t="str">
        <f>IF(F4="Deutsch","unbegrenzt","unlimited")</f>
        <v>unbegrenzt</v>
      </c>
    </row>
    <row r="53" spans="1:4" ht="7.5" customHeight="1" thickBot="1" x14ac:dyDescent="0.35">
      <c r="D53" s="332"/>
    </row>
    <row r="54" spans="1:4" ht="12" customHeight="1" x14ac:dyDescent="0.3">
      <c r="A54" s="908" t="str">
        <f>IF(F4="Deutsch","Bedingungen:","Conditions:")</f>
        <v>Bedingungen:</v>
      </c>
      <c r="B54" s="909"/>
      <c r="C54" s="909"/>
      <c r="D54" s="910"/>
    </row>
    <row r="55" spans="1:4" ht="12.75" customHeight="1" x14ac:dyDescent="0.3">
      <c r="A55" s="911"/>
      <c r="B55" s="912"/>
      <c r="C55" s="912"/>
      <c r="D55" s="913"/>
    </row>
    <row r="56" spans="1:4" ht="12.75" customHeight="1" x14ac:dyDescent="0.3">
      <c r="A56" s="914" t="s">
        <v>480</v>
      </c>
      <c r="B56" s="915"/>
      <c r="C56" s="915"/>
      <c r="D56" s="916"/>
    </row>
    <row r="57" spans="1:4" ht="12.75" customHeight="1" x14ac:dyDescent="0.3">
      <c r="A57" s="921"/>
      <c r="B57" s="915"/>
      <c r="C57" s="915"/>
      <c r="D57" s="916"/>
    </row>
    <row r="58" spans="1:4" ht="12.75" customHeight="1" x14ac:dyDescent="0.3">
      <c r="A58" s="921"/>
      <c r="B58" s="915"/>
      <c r="C58" s="915"/>
      <c r="D58" s="916"/>
    </row>
    <row r="59" spans="1:4" ht="12.75" customHeight="1" x14ac:dyDescent="0.3">
      <c r="A59" s="921"/>
      <c r="B59" s="915"/>
      <c r="C59" s="915"/>
      <c r="D59" s="916"/>
    </row>
    <row r="60" spans="1:4" ht="12.75" customHeight="1" thickBot="1" x14ac:dyDescent="0.35">
      <c r="A60" s="898"/>
      <c r="B60" s="899"/>
      <c r="C60" s="899"/>
      <c r="D60" s="900"/>
    </row>
    <row r="61" spans="1:4" ht="3.75" customHeight="1" x14ac:dyDescent="0.3">
      <c r="A61" s="355"/>
      <c r="B61" s="355"/>
      <c r="C61" s="355"/>
      <c r="D61" s="355"/>
    </row>
    <row r="62" spans="1:4" x14ac:dyDescent="0.3">
      <c r="D62" s="332"/>
    </row>
    <row r="63" spans="1:4" ht="5.25" customHeight="1" x14ac:dyDescent="0.3"/>
    <row r="65" spans="1:4" ht="31.8" x14ac:dyDescent="0.3">
      <c r="A65" s="928" t="str">
        <f>IF(F4="Deutsch","Gültig bis: 31.06.2018","Valid until: 31.06.2018")</f>
        <v>Gültig bis: 31.06.2018</v>
      </c>
      <c r="B65" s="928"/>
      <c r="C65" s="666" t="str">
        <f>IF(F4="Deutsch","Erstellt durch Jörg Fuchs"&amp;CHAR(10)&amp;"Tel. 0541-380538-401 oder 0175-5695604"&amp;CHAR(10)&amp;"j.fuchs@deutsche-windtechnik.com","Prepared by Jörg Fuchs"&amp;CHAR(10)&amp;"Tel. 0541-380538-401 or 0175-5695604"&amp;CHAR(10)&amp;"j.fuchs@deutsche-windtechnik.com")</f>
        <v>Erstellt durch Jörg Fuchs
Tel. 0541-380538-401 oder 0175-5695604
j.fuchs@deutsche-windtechnik.com</v>
      </c>
      <c r="D65" s="667" t="str">
        <f>IF(F4="Deutsch","Seite 1","Page 1")</f>
        <v>Seite 1</v>
      </c>
    </row>
  </sheetData>
  <mergeCells count="45">
    <mergeCell ref="A1:B1"/>
    <mergeCell ref="A65:B65"/>
    <mergeCell ref="E9:I18"/>
    <mergeCell ref="A13:A43"/>
    <mergeCell ref="B13:B14"/>
    <mergeCell ref="D13:D14"/>
    <mergeCell ref="B20:B21"/>
    <mergeCell ref="A3:C3"/>
    <mergeCell ref="D3:D4"/>
    <mergeCell ref="A4:C4"/>
    <mergeCell ref="A6:A11"/>
    <mergeCell ref="B6:B11"/>
    <mergeCell ref="C42:C43"/>
    <mergeCell ref="D42:D43"/>
    <mergeCell ref="B22:B43"/>
    <mergeCell ref="C22:C23"/>
    <mergeCell ref="D22:D23"/>
    <mergeCell ref="C30:C31"/>
    <mergeCell ref="D30:D31"/>
    <mergeCell ref="C32:C33"/>
    <mergeCell ref="D32:D33"/>
    <mergeCell ref="C24:C25"/>
    <mergeCell ref="C26:C27"/>
    <mergeCell ref="C28:C29"/>
    <mergeCell ref="D24:D25"/>
    <mergeCell ref="D26:D27"/>
    <mergeCell ref="D28:D29"/>
    <mergeCell ref="C34:C35"/>
    <mergeCell ref="D34:D35"/>
    <mergeCell ref="C36:C37"/>
    <mergeCell ref="D36:D37"/>
    <mergeCell ref="C38:C39"/>
    <mergeCell ref="D38:D39"/>
    <mergeCell ref="C40:C41"/>
    <mergeCell ref="D40:D41"/>
    <mergeCell ref="A57:D57"/>
    <mergeCell ref="A58:D58"/>
    <mergeCell ref="A59:D59"/>
    <mergeCell ref="A60:D60"/>
    <mergeCell ref="A45:A46"/>
    <mergeCell ref="A48:A52"/>
    <mergeCell ref="B51:B52"/>
    <mergeCell ref="A54:D54"/>
    <mergeCell ref="A55:D55"/>
    <mergeCell ref="A56:D56"/>
  </mergeCells>
  <dataValidations count="2">
    <dataValidation type="list" showInputMessage="1" showErrorMessage="1" sqref="F4" xr:uid="{1C9DB099-8D80-4CC9-B6EA-AEAC5B69CF27}">
      <formula1>$K$3:$K$4</formula1>
    </dataValidation>
    <dataValidation type="list" allowBlank="1" showInputMessage="1" showErrorMessage="1" sqref="F6" xr:uid="{1F755578-086E-4298-8F91-5EFECF5BDBB0}">
      <formula1>$K$5:$K$13</formula1>
    </dataValidation>
  </dataValidations>
  <pageMargins left="0.51181102362204722" right="0.51181102362204722" top="0.19685039370078741" bottom="0.19685039370078741"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DieseArbeitsmappe.Zeilen_ausblenden">
                <anchor moveWithCells="1">
                  <from>
                    <xdr:col>4</xdr:col>
                    <xdr:colOff>45720</xdr:colOff>
                    <xdr:row>1</xdr:row>
                    <xdr:rowOff>38100</xdr:rowOff>
                  </from>
                  <to>
                    <xdr:col>6</xdr:col>
                    <xdr:colOff>30480</xdr:colOff>
                    <xdr:row>3</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82434-D525-4CC5-9B23-391753D0CD0C}">
  <sheetPr codeName="Tabelle16"/>
  <dimension ref="A1:K64"/>
  <sheetViews>
    <sheetView view="pageLayout" topLeftCell="A7" zoomScale="140" zoomScaleNormal="100" zoomScalePageLayoutView="140" workbookViewId="0">
      <selection activeCell="D32" sqref="D32:D33"/>
    </sheetView>
  </sheetViews>
  <sheetFormatPr baseColWidth="10" defaultColWidth="11.44140625" defaultRowHeight="14.4" x14ac:dyDescent="0.3"/>
  <cols>
    <col min="1" max="1" width="4.6640625" style="331" customWidth="1"/>
    <col min="2" max="2" width="19.5546875" style="331" customWidth="1"/>
    <col min="3" max="3" width="52.88671875" style="331" customWidth="1"/>
    <col min="4" max="4" width="10" style="331" customWidth="1"/>
    <col min="5" max="5" width="12.88671875" style="331" customWidth="1"/>
    <col min="6" max="6" width="12.6640625" style="331" customWidth="1"/>
    <col min="7" max="16384" width="11.44140625" style="331"/>
  </cols>
  <sheetData>
    <row r="1" spans="1:11" ht="33.75" customHeight="1" x14ac:dyDescent="0.3">
      <c r="A1" s="926"/>
      <c r="B1" s="927"/>
      <c r="C1" s="664" t="str">
        <f ca="1">IF(F4="Deutsch","Stand: "&amp;TEXT(TODAY(),"TT.MM.JJJJ"),"State: "&amp;TEXT(TODAY(),"TT.MM.JJJJ"))</f>
        <v>Stand: 12.04.2018</v>
      </c>
      <c r="D1" s="665"/>
    </row>
    <row r="2" spans="1:11" ht="4.5" customHeight="1" thickBot="1" x14ac:dyDescent="0.35">
      <c r="D2" s="332"/>
    </row>
    <row r="3" spans="1:11" ht="18.75" customHeight="1" x14ac:dyDescent="0.3">
      <c r="A3" s="937" t="str">
        <f>IF(F4="Deutsch","Vollwartungsvertrag WP "&amp;Basisdaten!C13&amp;" ( "&amp;Basisdaten!C17&amp;" x "&amp;Basisdaten!C31&amp;" "&amp;Basisdaten!C32&amp;" "&amp;Basisdaten!C35&amp;" m)","Maintenance contract WF "&amp;Basisdaten!C13&amp;" ("&amp;Basisdaten!C17&amp;" x "&amp;Basisdaten!C31&amp;" "&amp;Basisdaten!C32&amp;" HH "&amp;Basisdaten!C35&amp;" m)")</f>
        <v>Vollwartungsvertrag WP Remlingen ( 6 x Nordex N117/2400 140 m)</v>
      </c>
      <c r="B3" s="938"/>
      <c r="C3" s="939"/>
      <c r="D3" s="940"/>
      <c r="K3" s="331" t="s">
        <v>380</v>
      </c>
    </row>
    <row r="4" spans="1:11" ht="15.75" customHeight="1" thickBot="1" x14ac:dyDescent="0.35">
      <c r="A4" s="942" t="str">
        <f>IF(F4="Deutsch","inkl. Großkomponentenreparatur auf der WEA - Laufzeit  "&amp;VWoGK!D23&amp;" Jahre - feste Vergütung","incl. Main components repair on the WEC - contract period  "&amp;VWoGK!D23&amp;" years - fixed remuneration")</f>
        <v>inkl. Großkomponentenreparatur auf der WEA - Laufzeit  14 Jahre - feste Vergütung</v>
      </c>
      <c r="B4" s="943"/>
      <c r="C4" s="944"/>
      <c r="D4" s="941"/>
      <c r="E4" s="331" t="s">
        <v>382</v>
      </c>
      <c r="F4" s="13" t="s">
        <v>380</v>
      </c>
      <c r="K4" s="331" t="s">
        <v>381</v>
      </c>
    </row>
    <row r="5" spans="1:11" ht="8.25" customHeight="1" thickBot="1" x14ac:dyDescent="0.35">
      <c r="D5" s="332"/>
      <c r="K5" s="375">
        <v>0.95</v>
      </c>
    </row>
    <row r="6" spans="1:11" x14ac:dyDescent="0.3">
      <c r="A6" s="930" t="str">
        <f>IF(F4="Deutsch", "Preise", "Prices")</f>
        <v>Preise</v>
      </c>
      <c r="B6" s="934" t="str">
        <f>IF(F4="Deutsch","Preise für den weiter unten beschriebenen Leistungsumfang pro WEA und Jahr","Prices for the scope of service as described below for WEC/a")</f>
        <v>Preise für den weiter unten beschriebenen Leistungsumfang pro WEA und Jahr</v>
      </c>
      <c r="C6" s="333" t="str">
        <f>IF(F4="Deutsch","Betriebsjahr "&amp;VWoGK!B29&amp;"-"&amp;VWoGK!C29, "Years of operation "&amp;VWoGK!B29&amp;"-"&amp;VWoGK!C29)</f>
        <v>Betriebsjahr 7-</v>
      </c>
      <c r="D6" s="334">
        <f>VWoGK!E29</f>
        <v>0</v>
      </c>
      <c r="E6" s="13" t="s">
        <v>48</v>
      </c>
      <c r="F6" s="331">
        <v>0.97</v>
      </c>
      <c r="K6" s="375">
        <v>0.96</v>
      </c>
    </row>
    <row r="7" spans="1:11" x14ac:dyDescent="0.3">
      <c r="A7" s="931"/>
      <c r="B7" s="906"/>
      <c r="C7" s="335" t="str">
        <f>IF(F4="Deutsch","Betriebsjahr "&amp;VWoGK!B30&amp;"-"&amp;VWoGK!C30, "Years of operation "&amp;VWoGK!B30&amp;"-"&amp;VWoGK!C30)</f>
        <v>Betriebsjahr -</v>
      </c>
      <c r="D7" s="336">
        <f>VWoGK!E30</f>
        <v>0</v>
      </c>
      <c r="K7" s="375">
        <v>0.97</v>
      </c>
    </row>
    <row r="8" spans="1:11" x14ac:dyDescent="0.3">
      <c r="A8" s="931"/>
      <c r="B8" s="906"/>
      <c r="C8" s="335" t="str">
        <f>IF(F4="Deutsch","Betriebsjahr "&amp;VWoGK!B31&amp;"-"&amp;VWoGK!C31,"Years of operation "&amp;VWoGK!B31&amp;"-"&amp;VWoGK!C31)</f>
        <v>Betriebsjahr -</v>
      </c>
      <c r="D8" s="336">
        <f>VWoGK!E31</f>
        <v>0</v>
      </c>
      <c r="E8" s="125" t="s">
        <v>419</v>
      </c>
      <c r="F8" s="386"/>
      <c r="G8" s="386"/>
      <c r="H8" s="386"/>
      <c r="I8" s="386"/>
      <c r="K8" s="375">
        <v>0.98</v>
      </c>
    </row>
    <row r="9" spans="1:11" x14ac:dyDescent="0.3">
      <c r="A9" s="931"/>
      <c r="B9" s="906"/>
      <c r="C9" s="335" t="str">
        <f>IF(F4="Deutsch","Betriebsjahr "&amp;VWoGK!B32&amp;"-"&amp;VWoGK!C32,"Years of operation "&amp;VWoGK!B32&amp;"-"&amp;VWoGK!C32)</f>
        <v>Betriebsjahr -</v>
      </c>
      <c r="D9" s="336">
        <f>VWoGK!E32</f>
        <v>0</v>
      </c>
      <c r="E9" s="929" t="s">
        <v>420</v>
      </c>
      <c r="F9" s="929"/>
      <c r="G9" s="929"/>
      <c r="H9" s="929"/>
      <c r="I9" s="929"/>
    </row>
    <row r="10" spans="1:11" x14ac:dyDescent="0.3">
      <c r="A10" s="932"/>
      <c r="B10" s="945"/>
      <c r="C10" s="335" t="str">
        <f>IF(F4="Deutsch","Betriebsjahr "&amp;VWoGK!B33&amp;"-"&amp;VWoGK!C33,"Years of operation "&amp;VWoGK!B33&amp;"-"&amp;VWoGK!C33)</f>
        <v>Betriebsjahr -</v>
      </c>
      <c r="D10" s="336">
        <f>VWoGK!E33</f>
        <v>0</v>
      </c>
      <c r="E10" s="929"/>
      <c r="F10" s="929"/>
      <c r="G10" s="929"/>
      <c r="H10" s="929"/>
      <c r="I10" s="929"/>
    </row>
    <row r="11" spans="1:11" ht="15" thickBot="1" x14ac:dyDescent="0.35">
      <c r="A11" s="933"/>
      <c r="B11" s="945"/>
      <c r="C11" s="335" t="str">
        <f>IF(F4="Deutsch","Betriebsjahr "&amp;VWoGK!B34&amp;"-"&amp;VWoGK!C34,"Years of operation "&amp;VWoGK!B34&amp;"-"&amp;VWoGK!C34)</f>
        <v>Betriebsjahr -</v>
      </c>
      <c r="D11" s="394">
        <f>VWoGK!E34</f>
        <v>0</v>
      </c>
      <c r="E11" s="929"/>
      <c r="F11" s="929"/>
      <c r="G11" s="929"/>
      <c r="H11" s="929"/>
      <c r="I11" s="929"/>
    </row>
    <row r="12" spans="1:11" ht="7.5" customHeight="1" thickBot="1" x14ac:dyDescent="0.35">
      <c r="A12" s="338"/>
      <c r="B12" s="339"/>
      <c r="C12" s="339"/>
      <c r="D12" s="340"/>
      <c r="E12" s="929"/>
      <c r="F12" s="929"/>
      <c r="G12" s="929"/>
      <c r="H12" s="929"/>
      <c r="I12" s="929"/>
      <c r="K12" s="13" t="s">
        <v>409</v>
      </c>
    </row>
    <row r="13" spans="1:11" ht="12.75" customHeight="1" x14ac:dyDescent="0.3">
      <c r="A13" s="930" t="str">
        <f>IF(F4="Deutsch","Service &amp; Instandsetzung","Service &amp; Maintenance")</f>
        <v>Service &amp; Instandsetzung</v>
      </c>
      <c r="B13" s="934" t="str">
        <f>IF(F4="Deutsch","Wartung","Maintenance")</f>
        <v>Wartung</v>
      </c>
      <c r="C13" s="356" t="str">
        <f>IF(AND(VWmGKmR!D11="3.XM",F4="Deutsch"),"Jahres- und Halbjahreswartung, 2-, 3-, 4-, 5-, 6- und 10-Jahreswartung sowie Umrichterwartung",IF(AND(VWmGKmR!D11="3.XM",F4="Englisch"),"Yearly, half-yearly, 2-,3-, 4-, 5-, 6- and 10-yearly maintenance including converter maintenance",IF(AND(VWmGKmR!D11&lt;&gt;"3.XM",F4="Deutsch",Basisdaten!C37="Gittermast"),"Jahres- und Halbjahreswartung sowie Umrichterwartung und Gittermastwartung",IF(AND(VWmGKmR!D11&lt;&gt;"3.XM",F4="Deutsch",Basisdaten!C37&lt;&gt;"Gittermast"),"Jahres- und Halbjahreswartung sowie Umrichterwartung",IF(AND(VWmGKmR!D11&lt;&gt;"3.XM",F4="Englisch",Basisdaten!C37="Gittermast"),"Yearly, half-yearly maintenance including converter maintenance and lattice tower maintenance","Yearly, half-yearly maintenance including converter maintenance")))))</f>
        <v>Jahres- und Halbjahreswartung sowie Umrichterwartung</v>
      </c>
      <c r="D13" s="935" t="str">
        <f>IF(F$4="Deutsch","Inkl.","Inclusive")</f>
        <v>Inkl.</v>
      </c>
      <c r="E13" s="929"/>
      <c r="F13" s="929"/>
      <c r="G13" s="929"/>
      <c r="H13" s="929"/>
      <c r="I13" s="929"/>
      <c r="K13" s="13" t="s">
        <v>410</v>
      </c>
    </row>
    <row r="14" spans="1:11" ht="12.75" customHeight="1" x14ac:dyDescent="0.3">
      <c r="A14" s="931"/>
      <c r="B14" s="906"/>
      <c r="C14" s="343" t="str">
        <f>IF(F4="Deutsch","Serviceberichte und Wartungsprotokolle","Service and maintenance reports")</f>
        <v>Serviceberichte und Wartungsprotokolle</v>
      </c>
      <c r="D14" s="936"/>
      <c r="E14" s="929"/>
      <c r="F14" s="929"/>
      <c r="G14" s="929"/>
      <c r="H14" s="929"/>
      <c r="I14" s="929"/>
    </row>
    <row r="15" spans="1:11" ht="12.75" customHeight="1" x14ac:dyDescent="0.3">
      <c r="A15" s="931"/>
      <c r="B15" s="659" t="str">
        <f>IF(F4="Deutsch","Verbrauchsmaterialien","Expendable materials")</f>
        <v>Verbrauchsmaterialien</v>
      </c>
      <c r="C15" s="343" t="str">
        <f>IF(F4="Deutsch","Filter, Fette, Öle Schmierstoffanalysen","Filter, lubricants, oil, lubricant analysis")</f>
        <v>Filter, Fette, Öle Schmierstoffanalysen</v>
      </c>
      <c r="D15" s="663" t="str">
        <f t="shared" ref="D15:D23" si="0">IF(F$4="Deutsch","Inkl.","Inclusive")</f>
        <v>Inkl.</v>
      </c>
      <c r="E15" s="929"/>
      <c r="F15" s="929"/>
      <c r="G15" s="929"/>
      <c r="H15" s="929"/>
      <c r="I15" s="929"/>
    </row>
    <row r="16" spans="1:11" ht="12.75" customHeight="1" x14ac:dyDescent="0.3">
      <c r="A16" s="931"/>
      <c r="B16" s="659" t="str">
        <f>IF(F4="Deutsch","24/7 Fernüberwachung","24/7 remote monitoring")</f>
        <v>24/7 Fernüberwachung</v>
      </c>
      <c r="C16" s="343" t="str">
        <f>IF(F4="Deutsch","24/7 Fernüberwachung inkl. Fehlerdiagnose und Behebung aus der Ferne (wenn möglich)","24/7 remote monitoring incl. diagnostics &amp; correction of defects via remote control (if possible)")</f>
        <v>24/7 Fernüberwachung inkl. Fehlerdiagnose und Behebung aus der Ferne (wenn möglich)</v>
      </c>
      <c r="D16" s="663" t="str">
        <f t="shared" si="0"/>
        <v>Inkl.</v>
      </c>
      <c r="E16" s="929"/>
      <c r="F16" s="929"/>
      <c r="G16" s="929"/>
      <c r="H16" s="929"/>
      <c r="I16" s="929"/>
    </row>
    <row r="17" spans="1:9" ht="12" customHeight="1" x14ac:dyDescent="0.3">
      <c r="A17" s="931"/>
      <c r="B17" s="659" t="str">
        <f>IF(F4="Deutsch","Instandsetzung - Arbeitsleistung","Repairs - work performance")</f>
        <v>Instandsetzung - Arbeitsleistung</v>
      </c>
      <c r="C17" s="343" t="str">
        <f>IF(F4="Deutsch","Instandsetzung vor Ort, wenn Behebung aus der Ferne nicht möglich","Any repairs and services on the turbine if fault clearance is not possible by remote control")</f>
        <v>Instandsetzung vor Ort, wenn Behebung aus der Ferne nicht möglich</v>
      </c>
      <c r="D17" s="663" t="str">
        <f t="shared" si="0"/>
        <v>Inkl.</v>
      </c>
      <c r="E17" s="929"/>
      <c r="F17" s="929"/>
      <c r="G17" s="929"/>
      <c r="H17" s="929"/>
      <c r="I17" s="929"/>
    </row>
    <row r="18" spans="1:9" ht="12.75" customHeight="1" x14ac:dyDescent="0.3">
      <c r="A18" s="931"/>
      <c r="B18" s="659" t="str">
        <f>IF(F4="Deutsch","Instandsetzung - Arbeitsleistung","Repairs - spare parts")</f>
        <v>Instandsetzung - Arbeitsleistung</v>
      </c>
      <c r="C18" s="343" t="str">
        <f>IF(F4="Deutsch","Lieferung von allen Ersatzteilen","Supply of spare parts")</f>
        <v>Lieferung von allen Ersatzteilen</v>
      </c>
      <c r="D18" s="663" t="str">
        <f t="shared" si="0"/>
        <v>Inkl.</v>
      </c>
      <c r="E18" s="929"/>
      <c r="F18" s="929"/>
      <c r="G18" s="929"/>
      <c r="H18" s="929"/>
      <c r="I18" s="929"/>
    </row>
    <row r="19" spans="1:9" ht="12.75" customHeight="1" x14ac:dyDescent="0.3">
      <c r="A19" s="931"/>
      <c r="B19" s="659" t="str">
        <f>IF(F4="Deutsch","Hauptkomponenten","Large components")</f>
        <v>Hauptkomponenten</v>
      </c>
      <c r="C19" s="343" t="str">
        <f>IF(F4="Deutsch","Reparaturen von Hauptkomponenten auf der WEA.","Repairs of main components on the WEC.")</f>
        <v>Reparaturen von Hauptkomponenten auf der WEA.</v>
      </c>
      <c r="D19" s="663" t="str">
        <f t="shared" si="0"/>
        <v>Inkl.</v>
      </c>
      <c r="E19" s="929"/>
      <c r="F19" s="929"/>
      <c r="G19" s="929"/>
      <c r="H19" s="929"/>
      <c r="I19" s="929"/>
    </row>
    <row r="20" spans="1:9" ht="20.25" customHeight="1" x14ac:dyDescent="0.3">
      <c r="A20" s="931"/>
      <c r="B20" s="659" t="str">
        <f>IF(F4="Deutsch","Spezialwerkzeug", "Special tools")</f>
        <v>Spezialwerkzeug</v>
      </c>
      <c r="C20" s="343" t="str">
        <f>IF(F4="Deutsch","Spezialwerkzeug zum Instandsetzung von Hauptkomponenten auf der WEA","Special tools for main components uptower repairs")</f>
        <v>Spezialwerkzeug zum Instandsetzung von Hauptkomponenten auf der WEA</v>
      </c>
      <c r="D20" s="663" t="str">
        <f t="shared" si="0"/>
        <v>Inkl.</v>
      </c>
    </row>
    <row r="21" spans="1:9" ht="12.75" customHeight="1" x14ac:dyDescent="0.3">
      <c r="A21" s="931"/>
      <c r="B21" s="659" t="str">
        <f>IF(F4="Deutsch","Verfügbarkeitsgarantie","Guarantee of availability")</f>
        <v>Verfügbarkeitsgarantie</v>
      </c>
      <c r="C21" s="343" t="str">
        <f>IF(F4="Deutsch","Garantierte technische Parkverfügbarkeit ab Vertragsbeginn bis Vertragsende","Guaranteed technical farm availability upon commencement until the end of the contract")</f>
        <v>Garantierte technische Parkverfügbarkeit ab Vertragsbeginn bis Vertragsende</v>
      </c>
      <c r="D21" s="376">
        <f>F6</f>
        <v>0.97</v>
      </c>
    </row>
    <row r="22" spans="1:9" ht="12.75" customHeight="1" x14ac:dyDescent="0.3">
      <c r="A22" s="931"/>
      <c r="B22" s="906" t="str">
        <f>IF(F4="Deutsch","Zusätzlliche vorbeugende Wartung","Additional preventing maintenance")</f>
        <v>Zusätzlliche vorbeugende Wartung</v>
      </c>
      <c r="C22" s="343" t="str">
        <f>IF(F4="Deutsch","Wartung der Trafostationen (jährlich)","Maintenance of a transformer station (annual)")</f>
        <v>Wartung der Trafostationen (jährlich)</v>
      </c>
      <c r="D22" s="663" t="str">
        <f t="shared" si="0"/>
        <v>Inkl.</v>
      </c>
    </row>
    <row r="23" spans="1:9" ht="12.75" hidden="1" customHeight="1" x14ac:dyDescent="0.3">
      <c r="A23" s="931"/>
      <c r="B23" s="906"/>
      <c r="C23" s="343" t="str">
        <f>IF(F4="Deutsch","Zweijahreswartung und Fünfjahreswartung (Zusatzwartung alle 2 bzw. 5 Jahre)","Two-year and five-year maintenance (additional maintenance every 2/5 years)")</f>
        <v>Zweijahreswartung und Fünfjahreswartung (Zusatzwartung alle 2 bzw. 5 Jahre)</v>
      </c>
      <c r="D23" s="663" t="str">
        <f t="shared" si="0"/>
        <v>Inkl.</v>
      </c>
    </row>
    <row r="24" spans="1:9" ht="11.25" customHeight="1" x14ac:dyDescent="0.3">
      <c r="A24" s="931"/>
      <c r="B24" s="950" t="s">
        <v>532</v>
      </c>
      <c r="C24" s="917" t="str">
        <f>IF(F4="Deutsch","Getriebevideoendoskopie (jährlich)","Annual video endoscopic inspection of the gearbox")</f>
        <v>Getriebevideoendoskopie (jährlich)</v>
      </c>
      <c r="D24" s="924" t="str">
        <f>"Option"&amp;CHAR(10)&amp;
"€ "&amp;TEXT(VWmGKmR!P50,"#")</f>
        <v>Option
€ 1290</v>
      </c>
    </row>
    <row r="25" spans="1:9" ht="12.75" customHeight="1" x14ac:dyDescent="0.3">
      <c r="A25" s="931"/>
      <c r="B25" s="948"/>
      <c r="C25" s="918"/>
      <c r="D25" s="920"/>
    </row>
    <row r="26" spans="1:9" ht="12.75" customHeight="1" x14ac:dyDescent="0.3">
      <c r="A26" s="931"/>
      <c r="B26" s="948"/>
      <c r="C26" s="917" t="str">
        <f>IF(F4="Deutsch","Getriebeölwechsel","Oil exchange for gear box")</f>
        <v>Getriebeölwechsel</v>
      </c>
      <c r="D26" s="924" t="str">
        <f>IF(VWmGKmR!D11="3.XM","Option"&amp;CHAR(10)&amp;"auf Anfrage","Option"&amp;CHAR(10)&amp;
"€ "&amp;TEXT(VWoGK!M33*1.2,"#"))</f>
        <v>Option
€ 5880</v>
      </c>
    </row>
    <row r="27" spans="1:9" ht="12.75" customHeight="1" x14ac:dyDescent="0.3">
      <c r="A27" s="931"/>
      <c r="B27" s="948"/>
      <c r="C27" s="918"/>
      <c r="D27" s="920"/>
    </row>
    <row r="28" spans="1:9" ht="12.75" customHeight="1" x14ac:dyDescent="0.3">
      <c r="A28" s="931"/>
      <c r="B28" s="948"/>
      <c r="C28" s="917" t="str">
        <f>IF(F4="Deutsch","Rotorblattinspektion (innen und außen) inkl. Erdungsmessung mit Seiltechnik (alle zwei Jahre)","Inspection of rotor blades (internal- and external) incl. earth measurement, by rope access, every 2 years")</f>
        <v>Rotorblattinspektion (innen und außen) inkl. Erdungsmessung mit Seiltechnik (alle zwei Jahre)</v>
      </c>
      <c r="D28" s="924" t="str">
        <f>"Option"&amp;CHAR(10)&amp;
"€ "&amp;TEXT(VWmGKmR!P51,"#")</f>
        <v>Option
€ 720</v>
      </c>
    </row>
    <row r="29" spans="1:9" ht="11.4" customHeight="1" x14ac:dyDescent="0.3">
      <c r="A29" s="931"/>
      <c r="B29" s="948"/>
      <c r="C29" s="918"/>
      <c r="D29" s="920"/>
    </row>
    <row r="30" spans="1:9" ht="11.25" customHeight="1" x14ac:dyDescent="0.3">
      <c r="A30" s="931"/>
      <c r="B30" s="948"/>
      <c r="C30" s="917" t="str">
        <f>IF(F4="Deutsch","Wiederkehrende Prüfungen Maschine und Turm","Periodic inspection of machine and tower")</f>
        <v>Wiederkehrende Prüfungen Maschine und Turm</v>
      </c>
      <c r="D30" s="924" t="str">
        <f>IF(AND(VWmGKmR!R46=TRUE,F4="Deutsch"),"Inkl.",IF(AND(VWmGKmR!R46=TRUE,F4="Englisch"),"Inclusive","Option"&amp;CHAR(10)&amp;
"€ "&amp;TEXT(ROUND(VLOOKUP(Basisdaten!C32,'Externe Leistungen'!C5:K38,8,FALSE)/4*1.2+12,0),"#.###")))</f>
        <v>Option
€ 350</v>
      </c>
    </row>
    <row r="31" spans="1:9" ht="11.25" customHeight="1" x14ac:dyDescent="0.3">
      <c r="A31" s="931"/>
      <c r="B31" s="948"/>
      <c r="C31" s="918"/>
      <c r="D31" s="920"/>
    </row>
    <row r="32" spans="1:9" ht="11.25" customHeight="1" x14ac:dyDescent="0.3">
      <c r="A32" s="931"/>
      <c r="B32" s="948"/>
      <c r="C32" s="917" t="str">
        <f>IF(F4="Deutsch","Wartung Befahranlage (großer Wartungstyp nach Herstellervorgaben)","Full maintenance of service lift according to the manufacturer's specification")</f>
        <v>Wartung Befahranlage (großer Wartungstyp nach Herstellervorgaben)</v>
      </c>
      <c r="D32" s="924" t="str">
        <f>IF(AND(VWmGKmR!R44=TRUE,F4="Deutsch"),"Inkl.",IF(AND(VWmGKmR!R44=TRUE,F4="Englisch"),"Inclusive","Option"&amp;CHAR(10)&amp;
"€ "&amp;TEXT(ROUND(VLOOKUP(Basisdaten!C32,'Externe Leistungen'!C5:K38,4,FALSE)*1.2,0),"#.###")))</f>
        <v>Option
€ 1.260</v>
      </c>
    </row>
    <row r="33" spans="1:4" ht="11.25" customHeight="1" x14ac:dyDescent="0.3">
      <c r="A33" s="931"/>
      <c r="B33" s="948"/>
      <c r="C33" s="918"/>
      <c r="D33" s="920"/>
    </row>
    <row r="34" spans="1:4" ht="11.25" customHeight="1" x14ac:dyDescent="0.3">
      <c r="A34" s="931"/>
      <c r="B34" s="948"/>
      <c r="C34" s="922" t="str">
        <f>IF(F4="Deutsch","Prüfung der elektrischen Betriebsmittel nach DIN IEC 60364/DGUV V3 (jährliche Kosten)","Inspection of electrical equipment according to DIN IEC 60364/DGUV V3 (yearly costs)")</f>
        <v>Prüfung der elektrischen Betriebsmittel nach DIN IEC 60364/DGUV V3 (jährliche Kosten)</v>
      </c>
      <c r="D34" s="924" t="s">
        <v>479</v>
      </c>
    </row>
    <row r="35" spans="1:4" ht="11.25" customHeight="1" x14ac:dyDescent="0.3">
      <c r="A35" s="931"/>
      <c r="B35" s="948"/>
      <c r="C35" s="923"/>
      <c r="D35" s="925"/>
    </row>
    <row r="36" spans="1:4" ht="11.25" customHeight="1" x14ac:dyDescent="0.3">
      <c r="A36" s="931"/>
      <c r="B36" s="948"/>
      <c r="C36" s="917" t="str">
        <f>IF(F4="Deutsch","Sachkundigenprüfung der Sicherheitseinrichtungen (Aufstieg, Feuerlöscher, PSA etc.) ohne Austausch &amp; Instandsetzung","Expert inspection of safety devices (ascent, fire extinguisher, PSA, etc.) without exchange &amp; maintenance")</f>
        <v>Sachkundigenprüfung der Sicherheitseinrichtungen (Aufstieg, Feuerlöscher, PSA etc.) ohne Austausch &amp; Instandsetzung</v>
      </c>
      <c r="D36" s="924" t="str">
        <f>IF(AND(VWmGKmR!R43=TRUE,F4="Deutsch"),"Inkl.",IF(AND(VWmGKmR!R43=TRUE,F4="Englisch"),"Inclusive","Option"&amp;CHAR(10)&amp;
"€ "&amp;TEXT(ROUND(VLOOKUP(Basisdaten!C32,'Externe Leistungen'!C5:K38,6,FALSE)*1.2,0),"#.###")))</f>
        <v>Option
€ 720</v>
      </c>
    </row>
    <row r="37" spans="1:4" ht="11.25" customHeight="1" x14ac:dyDescent="0.3">
      <c r="A37" s="931"/>
      <c r="B37" s="948"/>
      <c r="C37" s="918"/>
      <c r="D37" s="920"/>
    </row>
    <row r="38" spans="1:4" ht="11.25" customHeight="1" x14ac:dyDescent="0.3">
      <c r="A38" s="931"/>
      <c r="B38" s="948"/>
      <c r="C38" s="917" t="str">
        <f>IF(F4="Deutsch","Sachkundigenprüfung der Sicherheitseinrichtungen (Aufstieg, Feuerlöscher, PSA etc.) ohne Austausch &amp; Instandsetzung mit Wartung Befahranlage","Expert inspection of safety devices (ascent, fire extinguisher, PSA, etc.) without exchange &amp; maintenance with maintenance of service lift")</f>
        <v>Sachkundigenprüfung der Sicherheitseinrichtungen (Aufstieg, Feuerlöscher, PSA etc.) ohne Austausch &amp; Instandsetzung mit Wartung Befahranlage</v>
      </c>
      <c r="D38" s="924" t="str">
        <f>IF(AND(VWmGKmR!R43=TRUE,VWmGKmR!R44=TRUE,F4="Deutsch"),"Inkl.",IF(AND(VWmGKmR!R43=TRUE,VWmGKmR!R44=TRUE,F4="Englisch"),"Inclusive","Option"&amp;CHAR(10)&amp;
"€ "&amp;TEXT(ROUND(1600,0),"#.###")))</f>
        <v>Option
€ 1.600</v>
      </c>
    </row>
    <row r="39" spans="1:4" ht="11.25" customHeight="1" x14ac:dyDescent="0.3">
      <c r="A39" s="931"/>
      <c r="B39" s="948"/>
      <c r="C39" s="918"/>
      <c r="D39" s="920"/>
    </row>
    <row r="40" spans="1:4" ht="11.25" customHeight="1" x14ac:dyDescent="0.3">
      <c r="A40" s="931"/>
      <c r="B40" s="948"/>
      <c r="C40" s="917" t="str">
        <f>IF(F4="Deutsch","Sachkundigenprüfung der Sicherheitseinrichtungen (Aufstieg, Feuerlöscher, PSA etc.) mit Austausch &amp; Instandsetzung und Wartung Befahranlage","Expert inspection of safety devices (ascent, fire extinguisher, PSA, etc.) with exchange &amp; maintenance and maintenance of service lift")</f>
        <v>Sachkundigenprüfung der Sicherheitseinrichtungen (Aufstieg, Feuerlöscher, PSA etc.) mit Austausch &amp; Instandsetzung und Wartung Befahranlage</v>
      </c>
      <c r="D40" s="919" t="str">
        <f>IF(AND(VWmGKmR!R43=TRUE,VWmGKmR!S43=TRUE,VWmGKmR!R44=TRUE,F4="Deutsch"),"Inkl.",IF(AND(VWmGKmR!R43=TRUE,VWmGKmR!S43=TRUE,VWmGKmR!R44=TRUE,F4="Englisch"),"Inclusive","Option"&amp;CHAR(10)&amp;
"€ "&amp;TEXT(ROUND(2500,0),"#.###")))</f>
        <v>Option
€ 2.500</v>
      </c>
    </row>
    <row r="41" spans="1:4" ht="11.25" customHeight="1" x14ac:dyDescent="0.3">
      <c r="A41" s="932"/>
      <c r="B41" s="948"/>
      <c r="C41" s="918"/>
      <c r="D41" s="920"/>
    </row>
    <row r="42" spans="1:4" ht="11.25" customHeight="1" x14ac:dyDescent="0.3">
      <c r="A42" s="932"/>
      <c r="B42" s="948"/>
      <c r="C42" s="917" t="str">
        <f>IF(F4="Deutsch","Sachkundigenprüfung der Sicherheitseinrichtungen (Aufstieg, Feuerlöscher, PSA etc.) und DGUV V3 Prüfung mit Austausch &amp; Instandsetzung und Wartung Befahranlage","Expert inspection of safety devices (ascent, fire extinguisher, PSA, etc.) and DGUV V3 inspection with exchange &amp; maintenance and maintenance of service lift")</f>
        <v>Sachkundigenprüfung der Sicherheitseinrichtungen (Aufstieg, Feuerlöscher, PSA etc.) und DGUV V3 Prüfung mit Austausch &amp; Instandsetzung und Wartung Befahranlage</v>
      </c>
      <c r="D42" s="919" t="str">
        <f>IF(AND(VWmGKmR!R43=TRUE,VWmGKmR!R44=TRUE,VWmGKmR!R45=TRUE,F4="Deutsch"),"Inkl.",IF(AND(VWmGKmR!R43=TRUE,VWmGKmR!R44=TRUE,VWmGKmR!R45=TRUE,F4="Englisch"),"Inclusive","Option"&amp;CHAR(10)&amp;
"€ "&amp;TEXT(ROUND(2860,0),"#.###")))</f>
        <v>Option
€ 2.860</v>
      </c>
    </row>
    <row r="43" spans="1:4" ht="9.75" customHeight="1" thickBot="1" x14ac:dyDescent="0.35">
      <c r="A43" s="933"/>
      <c r="B43" s="949"/>
      <c r="C43" s="946"/>
      <c r="D43" s="947"/>
    </row>
    <row r="44" spans="1:4" ht="7.5" customHeight="1" thickBot="1" x14ac:dyDescent="0.35">
      <c r="A44" s="344"/>
      <c r="B44" s="344"/>
      <c r="C44" s="344"/>
      <c r="D44" s="344"/>
    </row>
    <row r="45" spans="1:4" ht="48.75" customHeight="1" x14ac:dyDescent="0.3">
      <c r="A45" s="678" t="s">
        <v>503</v>
      </c>
      <c r="B45" s="661" t="str">
        <f>IF(F4="Deutsch","Online Zugang","Online access")</f>
        <v>Online Zugang</v>
      </c>
      <c r="C45" s="356" t="str">
        <f>IF(F4="Deutsch","Nachrüstung der für einen Online Zugang notwendigen Hardware (falls noch nicht vorhanden) um die Reaktionszeiten auf Störungen zu reduzieren."&amp;" Gleichzeitig Aufbau einer redundanten Kommunikation zum Windpark um Kommunikationsausfälle zu verhindern. Voraussetzung ist ein DSL, DSL light oder vergleichbare Mobilfunkanbindung seitens des Kunden.","Installation of hardware for online access and monitoring (if not yet provided) in order to reduce the reaction time in case of malfunction."&amp;" Concurrent connection set-up within the wind farm to prevent communications failure. DSL, DSL light or similar mobile comunication required and to be provided by the Client.")</f>
        <v>Nachrüstung der für einen Online Zugang notwendigen Hardware (falls noch nicht vorhanden) um die Reaktionszeiten auf Störungen zu reduzieren. Gleichzeitig Aufbau einer redundanten Kommunikation zum Windpark um Kommunikationsausfälle zu verhindern. Voraussetzung ist ein DSL, DSL light oder vergleichbare Mobilfunkanbindung seitens des Kunden.</v>
      </c>
      <c r="D45" s="662" t="str">
        <f>IF(F$4="Deutsch","Inkl.","Inclusive")</f>
        <v>Inkl.</v>
      </c>
    </row>
    <row r="46" spans="1:4" ht="7.5" customHeight="1" thickBot="1" x14ac:dyDescent="0.35">
      <c r="A46" s="344"/>
      <c r="B46" s="344"/>
      <c r="C46" s="344"/>
      <c r="D46" s="344"/>
    </row>
    <row r="47" spans="1:4" ht="12.75" customHeight="1" x14ac:dyDescent="0.3">
      <c r="A47" s="903" t="str">
        <f>IF(F4="Deutsch","Vertragsdetails","Contract details")</f>
        <v>Vertragsdetails</v>
      </c>
      <c r="B47" s="661" t="str">
        <f>IF(F4="Deutsch","Vorzeitige Kündigung/Ausstieg","Early termination/withdrawal")</f>
        <v>Vorzeitige Kündigung/Ausstieg</v>
      </c>
      <c r="C47" s="356" t="str">
        <f>IF(F4="Deutsch","Individuell zu klären","To be negotiated individually")</f>
        <v>Individuell zu klären</v>
      </c>
      <c r="D47" s="662" t="str">
        <f>IF(F$4="Deutsch","Inkl.","Inclusive")</f>
        <v>Inkl.</v>
      </c>
    </row>
    <row r="48" spans="1:4" ht="12.75" customHeight="1" x14ac:dyDescent="0.3">
      <c r="A48" s="904"/>
      <c r="B48" s="659" t="str">
        <f>IF(F4="Deutsch","Gewährleistung","Warranty")</f>
        <v>Gewährleistung</v>
      </c>
      <c r="C48" s="343" t="str">
        <f>IF(F4="Deutsch","24 Monate, maximal 3 Monate nach Beendigung des Vertrags","24 month, max. 3 month after termination of contract")</f>
        <v>24 Monate, maximal 3 Monate nach Beendigung des Vertrags</v>
      </c>
      <c r="D48" s="663" t="str">
        <f>IF(F$4="Deutsch","Inkl.","Inclusive")</f>
        <v>Inkl.</v>
      </c>
    </row>
    <row r="49" spans="1:4" ht="12.75" customHeight="1" x14ac:dyDescent="0.3">
      <c r="A49" s="904"/>
      <c r="B49" s="659" t="str">
        <f>IF(F4="Deutsch","Malus gem. Verfügbarkeitsgarantie","Malus according to availability")</f>
        <v>Malus gem. Verfügbarkeitsgarantie</v>
      </c>
      <c r="C49" s="343" t="str">
        <f>IF(F4="Deutsch","Ja","Yes")</f>
        <v>Ja</v>
      </c>
      <c r="D49" s="663" t="str">
        <f>IF(F$4="Deutsch","Inkl.","Inclusive")</f>
        <v>Inkl.</v>
      </c>
    </row>
    <row r="50" spans="1:4" ht="12.75" customHeight="1" x14ac:dyDescent="0.3">
      <c r="A50" s="904"/>
      <c r="B50" s="906" t="str">
        <f>IF(F4="Deutsch","Haftung","Liability")</f>
        <v>Haftung</v>
      </c>
      <c r="C50" s="343" t="str">
        <f>IF(F4="Deutsch","Maximal pro Jahr (exkl. Verfügbarkeitspönale), wenn nicht über Betriebshaftpflicht abgedeckt","Max. per year (excl. contractual penalty for the availabilty), if not covered by public liability")</f>
        <v>Maximal pro Jahr (exkl. Verfügbarkeitspönale), wenn nicht über Betriebshaftpflicht abgedeckt</v>
      </c>
      <c r="D50" s="663" t="str">
        <f>IF(F4="Deutsch","unbegrenzt","unlimited")</f>
        <v>unbegrenzt</v>
      </c>
    </row>
    <row r="51" spans="1:4" ht="12.75" customHeight="1" thickBot="1" x14ac:dyDescent="0.35">
      <c r="A51" s="905"/>
      <c r="B51" s="907"/>
      <c r="C51" s="357" t="str">
        <f>IF(F4="Deutsch","Verfügbarkeitsgarantie, maximal pro Jahr","Contractual penalty for the availability, max. for a year")</f>
        <v>Verfügbarkeitsgarantie, maximal pro Jahr</v>
      </c>
      <c r="D51" s="348" t="str">
        <f>IF(F4="Deutsch","unbegrenzt","unlimited")</f>
        <v>unbegrenzt</v>
      </c>
    </row>
    <row r="52" spans="1:4" ht="7.5" customHeight="1" thickBot="1" x14ac:dyDescent="0.35">
      <c r="D52" s="332"/>
    </row>
    <row r="53" spans="1:4" ht="12" customHeight="1" x14ac:dyDescent="0.3">
      <c r="A53" s="908" t="str">
        <f>IF(F4="Deutsch","Bedingungen:","Conditions:")</f>
        <v>Bedingungen:</v>
      </c>
      <c r="B53" s="909"/>
      <c r="C53" s="909"/>
      <c r="D53" s="910"/>
    </row>
    <row r="54" spans="1:4" ht="12.75" customHeight="1" x14ac:dyDescent="0.3">
      <c r="A54" s="911"/>
      <c r="B54" s="912"/>
      <c r="C54" s="912"/>
      <c r="D54" s="913"/>
    </row>
    <row r="55" spans="1:4" ht="12.75" customHeight="1" x14ac:dyDescent="0.3">
      <c r="A55" s="914" t="s">
        <v>480</v>
      </c>
      <c r="B55" s="915"/>
      <c r="C55" s="915"/>
      <c r="D55" s="916"/>
    </row>
    <row r="56" spans="1:4" ht="12.75" customHeight="1" x14ac:dyDescent="0.3">
      <c r="A56" s="921"/>
      <c r="B56" s="915"/>
      <c r="C56" s="915"/>
      <c r="D56" s="916"/>
    </row>
    <row r="57" spans="1:4" ht="12.75" customHeight="1" x14ac:dyDescent="0.3">
      <c r="A57" s="921"/>
      <c r="B57" s="915"/>
      <c r="C57" s="915"/>
      <c r="D57" s="916"/>
    </row>
    <row r="58" spans="1:4" ht="12.75" customHeight="1" x14ac:dyDescent="0.3">
      <c r="A58" s="921"/>
      <c r="B58" s="915"/>
      <c r="C58" s="915"/>
      <c r="D58" s="916"/>
    </row>
    <row r="59" spans="1:4" ht="12.75" customHeight="1" thickBot="1" x14ac:dyDescent="0.35">
      <c r="A59" s="898"/>
      <c r="B59" s="899"/>
      <c r="C59" s="899"/>
      <c r="D59" s="900"/>
    </row>
    <row r="60" spans="1:4" ht="3.75" customHeight="1" x14ac:dyDescent="0.3">
      <c r="A60" s="355"/>
      <c r="B60" s="355"/>
      <c r="C60" s="355"/>
      <c r="D60" s="355"/>
    </row>
    <row r="61" spans="1:4" ht="8.25" customHeight="1" x14ac:dyDescent="0.3">
      <c r="D61" s="332"/>
    </row>
    <row r="62" spans="1:4" ht="5.25" customHeight="1" x14ac:dyDescent="0.3"/>
    <row r="64" spans="1:4" ht="31.8" x14ac:dyDescent="0.3">
      <c r="A64" s="928" t="str">
        <f>IF(F4="Deutsch","Gültig bis: 31.06.2018","Valid until: 31.06.2018")</f>
        <v>Gültig bis: 31.06.2018</v>
      </c>
      <c r="B64" s="928"/>
      <c r="C64" s="666" t="str">
        <f>IF(F4="Deutsch","Erstellt durch Jörg Fuchs"&amp;CHAR(10)&amp;"Tel. 0541-380538-401 oder 0175-5695604"&amp;CHAR(10)&amp;"j.fuchs@deutsche-windtechnik.com","Prepared by Jörg Fuchs"&amp;CHAR(10)&amp;"Tel. 0541-380538-401 or 0175-5695604"&amp;CHAR(10)&amp;"j.fuchs@deutsche-windtechnik.com")</f>
        <v>Erstellt durch Jörg Fuchs
Tel. 0541-380538-401 oder 0175-5695604
j.fuchs@deutsche-windtechnik.com</v>
      </c>
      <c r="D64" s="667" t="str">
        <f>IF(F4="Deutsch","Seite 1","Page 1")</f>
        <v>Seite 1</v>
      </c>
    </row>
  </sheetData>
  <mergeCells count="42">
    <mergeCell ref="A1:B1"/>
    <mergeCell ref="A64:B64"/>
    <mergeCell ref="E9:I19"/>
    <mergeCell ref="A13:A43"/>
    <mergeCell ref="B13:B14"/>
    <mergeCell ref="D13:D14"/>
    <mergeCell ref="B22:B23"/>
    <mergeCell ref="A3:C3"/>
    <mergeCell ref="D3:D4"/>
    <mergeCell ref="A4:C4"/>
    <mergeCell ref="A6:A11"/>
    <mergeCell ref="B6:B11"/>
    <mergeCell ref="C42:C43"/>
    <mergeCell ref="D42:D43"/>
    <mergeCell ref="B24:B43"/>
    <mergeCell ref="C30:C31"/>
    <mergeCell ref="D30:D31"/>
    <mergeCell ref="C32:C33"/>
    <mergeCell ref="D32:D33"/>
    <mergeCell ref="C24:C25"/>
    <mergeCell ref="D24:D25"/>
    <mergeCell ref="C26:C27"/>
    <mergeCell ref="D26:D27"/>
    <mergeCell ref="C28:C29"/>
    <mergeCell ref="D28:D29"/>
    <mergeCell ref="C34:C35"/>
    <mergeCell ref="D34:D35"/>
    <mergeCell ref="C36:C37"/>
    <mergeCell ref="D36:D37"/>
    <mergeCell ref="C38:C39"/>
    <mergeCell ref="D38:D39"/>
    <mergeCell ref="C40:C41"/>
    <mergeCell ref="D40:D41"/>
    <mergeCell ref="A56:D56"/>
    <mergeCell ref="A57:D57"/>
    <mergeCell ref="A58:D58"/>
    <mergeCell ref="A59:D59"/>
    <mergeCell ref="A47:A51"/>
    <mergeCell ref="B50:B51"/>
    <mergeCell ref="A53:D53"/>
    <mergeCell ref="A54:D54"/>
    <mergeCell ref="A55:D55"/>
  </mergeCells>
  <dataValidations count="2">
    <dataValidation type="list" allowBlank="1" showInputMessage="1" showErrorMessage="1" sqref="F6" xr:uid="{33A7BB9C-2C4A-4B9D-9D16-839E92BB70AB}">
      <formula1>$K$5:$K$13</formula1>
    </dataValidation>
    <dataValidation type="list" showInputMessage="1" showErrorMessage="1" sqref="F4" xr:uid="{6505E54D-E83C-43D4-BD75-62145E005C3E}">
      <formula1>$K$3:$K$4</formula1>
    </dataValidation>
  </dataValidations>
  <pageMargins left="0.51181102362204722" right="0.51181102362204722" top="0.19685039370078741" bottom="0.19685039370078741"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DieseArbeitsmappe.Zeilen_ausblenden">
                <anchor moveWithCells="1">
                  <from>
                    <xdr:col>4</xdr:col>
                    <xdr:colOff>45720</xdr:colOff>
                    <xdr:row>1</xdr:row>
                    <xdr:rowOff>38100</xdr:rowOff>
                  </from>
                  <to>
                    <xdr:col>6</xdr:col>
                    <xdr:colOff>30480</xdr:colOff>
                    <xdr:row>3</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1"/>
  <dimension ref="A1:K63"/>
  <sheetViews>
    <sheetView view="pageLayout" zoomScale="140" zoomScaleNormal="100" zoomScalePageLayoutView="140" workbookViewId="0">
      <selection activeCell="A63" sqref="A63:B63"/>
    </sheetView>
  </sheetViews>
  <sheetFormatPr baseColWidth="10" defaultColWidth="11.44140625" defaultRowHeight="14.4" x14ac:dyDescent="0.3"/>
  <cols>
    <col min="1" max="1" width="4.6640625" style="331" customWidth="1"/>
    <col min="2" max="2" width="19.5546875" style="331" customWidth="1"/>
    <col min="3" max="3" width="52.88671875" style="331" customWidth="1"/>
    <col min="4" max="4" width="10" style="331" customWidth="1"/>
    <col min="5" max="5" width="12.88671875" style="331" customWidth="1"/>
    <col min="6" max="6" width="12.6640625" style="331" customWidth="1"/>
    <col min="7" max="16384" width="11.44140625" style="331"/>
  </cols>
  <sheetData>
    <row r="1" spans="1:11" ht="33.75" customHeight="1" x14ac:dyDescent="0.3">
      <c r="A1" s="926" t="s">
        <v>536</v>
      </c>
      <c r="B1" s="927"/>
      <c r="C1" s="664" t="str">
        <f ca="1">IF(F4="Deutsch","Stand: "&amp;TEXT(TODAY(),"TT.MM.JJJJ"),"State: "&amp;TEXT(TODAY(),"TT.MM.JJJJ"))</f>
        <v>Stand: 12.04.2018</v>
      </c>
      <c r="D1" s="665"/>
    </row>
    <row r="2" spans="1:11" ht="4.5" customHeight="1" thickBot="1" x14ac:dyDescent="0.35">
      <c r="D2" s="332"/>
    </row>
    <row r="3" spans="1:11" ht="18.75" customHeight="1" x14ac:dyDescent="0.3">
      <c r="A3" s="937" t="str">
        <f>IF(F4="Deutsch","Vollwartungsvertrag WP "&amp;Basisdaten!C13&amp;" ( "&amp;Basisdaten!C17&amp;" x "&amp;Basisdaten!C31&amp;" "&amp;Basisdaten!C32&amp;" "&amp;Basisdaten!C35&amp;" m)","Maintenance contract WF "&amp;Basisdaten!C13&amp;" ("&amp;Basisdaten!C17&amp;" x "&amp;Basisdaten!C31&amp;" "&amp;Basisdaten!C32&amp;" HH "&amp;Basisdaten!C35&amp;" m)")</f>
        <v>Vollwartungsvertrag WP Remlingen ( 6 x Nordex N117/2400 140 m)</v>
      </c>
      <c r="B3" s="938"/>
      <c r="C3" s="939"/>
      <c r="D3" s="940"/>
      <c r="K3" s="331" t="s">
        <v>380</v>
      </c>
    </row>
    <row r="4" spans="1:11" ht="15.75" customHeight="1" thickBot="1" x14ac:dyDescent="0.35">
      <c r="A4" s="942" t="str">
        <f>IF(F4="Deutsch","mit Großkomponenten und mit Rotor - Laufzeit  "&amp;VWoGK!D23&amp;" Jahre - feste Vergütung","Main components and rotor included - contract period  "&amp;VWoGK!D23&amp;" years - fixed remuneration")</f>
        <v>mit Großkomponenten und mit Rotor - Laufzeit  14 Jahre - feste Vergütung</v>
      </c>
      <c r="B4" s="943"/>
      <c r="C4" s="944"/>
      <c r="D4" s="941"/>
      <c r="E4" s="331" t="s">
        <v>382</v>
      </c>
      <c r="F4" s="13" t="s">
        <v>380</v>
      </c>
      <c r="K4" s="331" t="s">
        <v>381</v>
      </c>
    </row>
    <row r="5" spans="1:11" ht="15" thickBot="1" x14ac:dyDescent="0.35">
      <c r="D5" s="332"/>
      <c r="K5" s="375">
        <v>0.95</v>
      </c>
    </row>
    <row r="6" spans="1:11" x14ac:dyDescent="0.3">
      <c r="A6" s="930" t="str">
        <f>IF(F4="Deutsch", "Preise", "Prices")</f>
        <v>Preise</v>
      </c>
      <c r="B6" s="934" t="str">
        <f>IF(F4="Deutsch","Preise für den weiter unten beschriebenen Leistungsumfang pro WEA und Jahr","Prices for the scope of service as described below for WEC/a")</f>
        <v>Preise für den weiter unten beschriebenen Leistungsumfang pro WEA und Jahr</v>
      </c>
      <c r="C6" s="333" t="str">
        <f>IF(F4="Deutsch","Betriebsjahr "&amp;VWmGKmR!B30&amp;"-"&amp;VWmGKmR!C30, "Years of operation "&amp;VWmGKmR!B30&amp;"-"&amp;VWmGKmR!C30)</f>
        <v>Betriebsjahr 7-9</v>
      </c>
      <c r="D6" s="334">
        <f>VWmGKmR!E30</f>
        <v>43500</v>
      </c>
      <c r="E6" s="13" t="s">
        <v>48</v>
      </c>
      <c r="F6" s="331">
        <v>0.97</v>
      </c>
      <c r="K6" s="375">
        <v>0.96</v>
      </c>
    </row>
    <row r="7" spans="1:11" x14ac:dyDescent="0.3">
      <c r="A7" s="931"/>
      <c r="B7" s="906"/>
      <c r="C7" s="335" t="str">
        <f>IF(F4="Deutsch","Betriebsjahr "&amp;VWmGKmR!B31&amp;"-"&amp;VWmGKmR!C31, "Years of operation "&amp;VWmGKmR!B31&amp;"-"&amp;VWmGKmR!C31)</f>
        <v>Betriebsjahr 10-12</v>
      </c>
      <c r="D7" s="336">
        <f>VWmGKmR!E31</f>
        <v>47500</v>
      </c>
      <c r="K7" s="375">
        <v>0.97</v>
      </c>
    </row>
    <row r="8" spans="1:11" x14ac:dyDescent="0.3">
      <c r="A8" s="931"/>
      <c r="B8" s="906"/>
      <c r="C8" s="335" t="str">
        <f>IF(F4="Deutsch","Betriebsjahr "&amp;VWmGKmR!B32&amp;"-"&amp;VWmGKmR!C32,"Years of operation "&amp;VWmGKmR!B32&amp;"-"&amp;VWmGKmR!C32)</f>
        <v>Betriebsjahr 13-15</v>
      </c>
      <c r="D8" s="336">
        <f>VWmGKmR!E32</f>
        <v>52000</v>
      </c>
      <c r="E8" s="125" t="s">
        <v>419</v>
      </c>
      <c r="F8" s="386"/>
      <c r="G8" s="386"/>
      <c r="H8" s="386"/>
      <c r="I8" s="386"/>
      <c r="K8" s="375">
        <v>0.98</v>
      </c>
    </row>
    <row r="9" spans="1:11" x14ac:dyDescent="0.3">
      <c r="A9" s="931"/>
      <c r="B9" s="906"/>
      <c r="C9" s="335" t="str">
        <f>IF(F4="Deutsch","Betriebsjahr "&amp;VWmGKmR!B33&amp;"-"&amp;VWmGKmR!C33,"Years of operation "&amp;VWmGKmR!B33&amp;"-"&amp;VWmGKmR!C33)</f>
        <v>Betriebsjahr 16-18</v>
      </c>
      <c r="D9" s="336">
        <f>VWmGKmR!E33</f>
        <v>56000</v>
      </c>
      <c r="E9" s="929" t="s">
        <v>420</v>
      </c>
      <c r="F9" s="929"/>
      <c r="G9" s="929"/>
      <c r="H9" s="929"/>
      <c r="I9" s="929"/>
    </row>
    <row r="10" spans="1:11" ht="15" thickBot="1" x14ac:dyDescent="0.35">
      <c r="A10" s="932"/>
      <c r="B10" s="945"/>
      <c r="C10" s="335" t="str">
        <f>IF(F4="Deutsch","Betriebsjahr "&amp;VWmGKmR!B34&amp;"-"&amp;VWmGKmR!C34,"Years of operation "&amp;VWmGKmR!B34&amp;"-"&amp;VWmGKmR!C34)</f>
        <v>Betriebsjahr 19-20</v>
      </c>
      <c r="D10" s="336">
        <f>VWmGKmR!E34</f>
        <v>57500</v>
      </c>
      <c r="E10" s="929"/>
      <c r="F10" s="929"/>
      <c r="G10" s="929"/>
      <c r="H10" s="929"/>
      <c r="I10" s="929"/>
    </row>
    <row r="11" spans="1:11" ht="15" hidden="1" thickBot="1" x14ac:dyDescent="0.35">
      <c r="A11" s="933"/>
      <c r="B11" s="945"/>
      <c r="C11" s="335" t="str">
        <f>IF(F4="Deutsch","Betriebsjahr "&amp;VWmGKmR!B35&amp;"-"&amp;VWmGKmR!C35,"Years of operation "&amp;VWmGKmR!B35&amp;"-"&amp;VWmGKmR!C35)</f>
        <v>Betriebsjahr -</v>
      </c>
      <c r="D11" s="337">
        <f>VWmGKmR!E35</f>
        <v>0</v>
      </c>
      <c r="E11" s="929"/>
      <c r="F11" s="929"/>
      <c r="G11" s="929"/>
      <c r="H11" s="929"/>
      <c r="I11" s="929"/>
    </row>
    <row r="12" spans="1:11" ht="7.5" customHeight="1" thickBot="1" x14ac:dyDescent="0.35">
      <c r="A12" s="338"/>
      <c r="B12" s="339"/>
      <c r="C12" s="339"/>
      <c r="D12" s="340"/>
      <c r="E12" s="929"/>
      <c r="F12" s="929"/>
      <c r="G12" s="929"/>
      <c r="H12" s="929"/>
      <c r="I12" s="929"/>
      <c r="K12" s="13" t="s">
        <v>409</v>
      </c>
    </row>
    <row r="13" spans="1:11" ht="12.75" customHeight="1" x14ac:dyDescent="0.3">
      <c r="A13" s="930" t="str">
        <f>IF(F4="Deutsch","Service &amp; Instandsetzung","Service &amp; Maintenance")</f>
        <v>Service &amp; Instandsetzung</v>
      </c>
      <c r="B13" s="934" t="str">
        <f>IF(F4="Deutsch","Wartung","Maintenance")</f>
        <v>Wartung</v>
      </c>
      <c r="C13" s="356" t="str">
        <f>IF(AND(VWmGKmR!D11="3.XM",F4="Deutsch"),"Jahres- und Halbjahreswartung, 2-, 3-, 4-, 5-, 6- und 10-Jahreswartung sowie Umrichterwartung",IF(AND(VWmGKmR!D11="3.XM",F4="Englisch"),"Yearly, half-yearly, 2-,3-, 4-, 5-, 6- and 10-yearly maintenance including converter maintenance",IF(AND(VWmGKmR!D11&lt;&gt;"3.XM",F4="Deutsch",Basisdaten!C37="Gittermast"),"Jahres- und Halbjahreswartung sowie Umrichterwartung und Gittermastwartung",IF(AND(VWmGKmR!D11&lt;&gt;"3.XM",F4="Deutsch",Basisdaten!C37&lt;&gt;"Gittermast"),"Jahres- und Halbjahreswartung sowie Umrichterwartung",IF(AND(VWmGKmR!D11&lt;&gt;"3.XM",F4="Englisch",Basisdaten!C37="Gittermast"),"Yearly, half-yearly maintenance including converter maintenance and lattice tower maintenance","Yearly, half-yearly maintenance including converter maintenance")))))</f>
        <v>Jahres- und Halbjahreswartung sowie Umrichterwartung</v>
      </c>
      <c r="D13" s="935" t="str">
        <f>IF(F$4="Deutsch","Inkl.","Inclusive")</f>
        <v>Inkl.</v>
      </c>
      <c r="E13" s="929"/>
      <c r="F13" s="929"/>
      <c r="G13" s="929"/>
      <c r="H13" s="929"/>
      <c r="I13" s="929"/>
      <c r="K13" s="13" t="s">
        <v>410</v>
      </c>
    </row>
    <row r="14" spans="1:11" ht="12.75" customHeight="1" x14ac:dyDescent="0.3">
      <c r="A14" s="931"/>
      <c r="B14" s="906"/>
      <c r="C14" s="343" t="str">
        <f>IF(F4="Deutsch","Serviceberichte und Wartungsprotokolle","Service and maintenance reports")</f>
        <v>Serviceberichte und Wartungsprotokolle</v>
      </c>
      <c r="D14" s="936"/>
      <c r="E14" s="929"/>
      <c r="F14" s="929"/>
      <c r="G14" s="929"/>
      <c r="H14" s="929"/>
      <c r="I14" s="929"/>
    </row>
    <row r="15" spans="1:11" ht="12.75" customHeight="1" x14ac:dyDescent="0.3">
      <c r="A15" s="931"/>
      <c r="B15" s="341" t="str">
        <f>IF(F4="Deutsch","Verbrauchsmaterialien","Expendable materials")</f>
        <v>Verbrauchsmaterialien</v>
      </c>
      <c r="C15" s="343" t="str">
        <f>IF(F4="Deutsch","Filter, Fette, Öle Schmierstoffanalysen","Filter, lubricants, oil, lubricant analysis")</f>
        <v>Filter, Fette, Öle Schmierstoffanalysen</v>
      </c>
      <c r="D15" s="342" t="str">
        <f t="shared" ref="D15:D26" si="0">IF(F$4="Deutsch","Inkl.","Inclusive")</f>
        <v>Inkl.</v>
      </c>
      <c r="E15" s="929"/>
      <c r="F15" s="929"/>
      <c r="G15" s="929"/>
      <c r="H15" s="929"/>
      <c r="I15" s="929"/>
    </row>
    <row r="16" spans="1:11" ht="12.75" customHeight="1" x14ac:dyDescent="0.3">
      <c r="A16" s="931"/>
      <c r="B16" s="341" t="str">
        <f>IF(F4="Deutsch","24/7 Fernüberwachung","24/7 remote monitoring")</f>
        <v>24/7 Fernüberwachung</v>
      </c>
      <c r="C16" s="343" t="str">
        <f>IF(F4="Deutsch","24/7 Fernüberwachung inkl. Fehlerdiagnose und Behebung aus der Ferne (wenn möglich)","24/7 remote monitoring incl. diagnostics &amp; correction of defects via remote control (if possible)")</f>
        <v>24/7 Fernüberwachung inkl. Fehlerdiagnose und Behebung aus der Ferne (wenn möglich)</v>
      </c>
      <c r="D16" s="342" t="str">
        <f t="shared" si="0"/>
        <v>Inkl.</v>
      </c>
      <c r="E16" s="929"/>
      <c r="F16" s="929"/>
      <c r="G16" s="929"/>
      <c r="H16" s="929"/>
      <c r="I16" s="929"/>
    </row>
    <row r="17" spans="1:9" ht="12" customHeight="1" x14ac:dyDescent="0.3">
      <c r="A17" s="931"/>
      <c r="B17" s="341" t="str">
        <f>IF(F4="Deutsch","Instandsetzung - Arbeitsleistung","Repairs - work performance")</f>
        <v>Instandsetzung - Arbeitsleistung</v>
      </c>
      <c r="C17" s="343" t="str">
        <f>IF(F4="Deutsch","Instandsetzung vor Ort, wenn Behebung aus der Ferne nicht möglich","Any repairs and services on the turbine if fault clearance is not possible by remote control")</f>
        <v>Instandsetzung vor Ort, wenn Behebung aus der Ferne nicht möglich</v>
      </c>
      <c r="D17" s="342" t="str">
        <f t="shared" si="0"/>
        <v>Inkl.</v>
      </c>
      <c r="E17" s="929"/>
      <c r="F17" s="929"/>
      <c r="G17" s="929"/>
      <c r="H17" s="929"/>
      <c r="I17" s="929"/>
    </row>
    <row r="18" spans="1:9" ht="12.75" customHeight="1" x14ac:dyDescent="0.3">
      <c r="A18" s="931"/>
      <c r="B18" s="341" t="str">
        <f>IF(F4="Deutsch","Instandsetzung - Arbeitsleistung","Repairs - spare parts")</f>
        <v>Instandsetzung - Arbeitsleistung</v>
      </c>
      <c r="C18" s="343" t="str">
        <f>IF(F4="Deutsch","Lieferung von allen Ersatzteilen inkl. Hauptkomponenten","Supply of spare parts, including main components")</f>
        <v>Lieferung von allen Ersatzteilen inkl. Hauptkomponenten</v>
      </c>
      <c r="D18" s="342" t="str">
        <f t="shared" si="0"/>
        <v>Inkl.</v>
      </c>
      <c r="E18" s="929"/>
      <c r="F18" s="929"/>
      <c r="G18" s="929"/>
      <c r="H18" s="929"/>
      <c r="I18" s="929"/>
    </row>
    <row r="19" spans="1:9" ht="20.25" customHeight="1" x14ac:dyDescent="0.3">
      <c r="A19" s="931"/>
      <c r="B19" s="341" t="str">
        <f>IF(F4="Deutsch","Hauptkomponenten","Large components")</f>
        <v>Hauptkomponenten</v>
      </c>
      <c r="C19" s="343" t="str">
        <f>IF(F4="Deutsch","Maschinenbruch und Verschleiß von allen Hauptkomponenten inkl. Kran, Transport und Dienstleistung","Mechanical breakdown and wear of all main components, incl. crane, transport and service")</f>
        <v>Maschinenbruch und Verschleiß von allen Hauptkomponenten inkl. Kran, Transport und Dienstleistung</v>
      </c>
      <c r="D19" s="342" t="str">
        <f t="shared" si="0"/>
        <v>Inkl.</v>
      </c>
      <c r="E19" s="929"/>
      <c r="F19" s="929"/>
      <c r="G19" s="929"/>
      <c r="H19" s="929"/>
      <c r="I19" s="929"/>
    </row>
    <row r="20" spans="1:9" ht="20.25" customHeight="1" x14ac:dyDescent="0.3">
      <c r="A20" s="931"/>
      <c r="B20" s="341" t="str">
        <f>IF(F4="Deutsch","Spezialwerkzeug", "Special tools")</f>
        <v>Spezialwerkzeug</v>
      </c>
      <c r="C20" s="343" t="str">
        <f>IF(F4="Deutsch","Spezialwerkzeug zum Austausch von Hauptkomponenten (z.B. Traverse zum Tauschen von Getrieben ohne Rotordemontage)","Special tools for exchanging main componentes for example traverse for exchanging a gearbox without dismantling of the rotor")</f>
        <v>Spezialwerkzeug zum Austausch von Hauptkomponenten (z.B. Traverse zum Tauschen von Getrieben ohne Rotordemontage)</v>
      </c>
      <c r="D20" s="342" t="str">
        <f t="shared" si="0"/>
        <v>Inkl.</v>
      </c>
    </row>
    <row r="21" spans="1:9" ht="12.75" customHeight="1" x14ac:dyDescent="0.3">
      <c r="A21" s="931"/>
      <c r="B21" s="341" t="str">
        <f>IF(F4="Deutsch","Verfügbarkeitsgarantie","Guarantee of availability")</f>
        <v>Verfügbarkeitsgarantie</v>
      </c>
      <c r="C21" s="343" t="str">
        <f>IF(F4="Deutsch","Garantierte technische Parkverfügbarkeit ab Vertragsbeginn bis Vertragsende","Guaranteed technical farm availability upon commencement until the end of the contract")</f>
        <v>Garantierte technische Parkverfügbarkeit ab Vertragsbeginn bis Vertragsende</v>
      </c>
      <c r="D21" s="376">
        <f>F6</f>
        <v>0.97</v>
      </c>
    </row>
    <row r="22" spans="1:9" ht="12.75" customHeight="1" x14ac:dyDescent="0.3">
      <c r="A22" s="931"/>
      <c r="B22" s="906" t="str">
        <f>IF(F4="Deutsch","Zusätzlliche vorbeugende Wartung","Additional preventing maintenance")</f>
        <v>Zusätzlliche vorbeugende Wartung</v>
      </c>
      <c r="C22" s="343" t="str">
        <f>IF(F4="Deutsch","Wartung der Trafostationen (jährlich)","Maintenance of a transformer station (annual)")</f>
        <v>Wartung der Trafostationen (jährlich)</v>
      </c>
      <c r="D22" s="342" t="str">
        <f t="shared" si="0"/>
        <v>Inkl.</v>
      </c>
    </row>
    <row r="23" spans="1:9" ht="12.75" hidden="1" customHeight="1" x14ac:dyDescent="0.3">
      <c r="A23" s="931"/>
      <c r="B23" s="906"/>
      <c r="C23" s="343" t="str">
        <f>IF(F4="Deutsch","Zweijahreswartung und Fünfjahreswartung (Zusatzwartung alle 2 bzw. 5 Jahre)","Two-year and five-year maintenance (additional maintenance every 2/5 years)")</f>
        <v>Zweijahreswartung und Fünfjahreswartung (Zusatzwartung alle 2 bzw. 5 Jahre)</v>
      </c>
      <c r="D23" s="342" t="str">
        <f t="shared" si="0"/>
        <v>Inkl.</v>
      </c>
    </row>
    <row r="24" spans="1:9" ht="12.75" customHeight="1" x14ac:dyDescent="0.3">
      <c r="A24" s="931"/>
      <c r="B24" s="906"/>
      <c r="C24" s="343" t="str">
        <f>IF(F4="Deutsch","Getriebeölwechsel, zustandsorientiert","Oil exchange for gear box , condition based")</f>
        <v>Getriebeölwechsel, zustandsorientiert</v>
      </c>
      <c r="D24" s="342" t="str">
        <f t="shared" si="0"/>
        <v>Inkl.</v>
      </c>
    </row>
    <row r="25" spans="1:9" ht="12.75" customHeight="1" x14ac:dyDescent="0.3">
      <c r="A25" s="931"/>
      <c r="B25" s="906"/>
      <c r="C25" s="343" t="str">
        <f>IF(F4="Deutsch","Getriebevideoendoskopie (jährlich)","Annual video endoscopic inspection of the gearbox")</f>
        <v>Getriebevideoendoskopie (jährlich)</v>
      </c>
      <c r="D25" s="342" t="str">
        <f t="shared" si="0"/>
        <v>Inkl.</v>
      </c>
    </row>
    <row r="26" spans="1:9" ht="11.4" customHeight="1" x14ac:dyDescent="0.3">
      <c r="A26" s="931"/>
      <c r="B26" s="906"/>
      <c r="C26" s="343" t="str">
        <f>IF(F4="Deutsch","Rotorblattinspektion (innen und außen) inkl. Erdungsmessung mit Seiltechnik (alle zwei Jahre)","Inspection of rotor blades (internal- and external) incl. earth measurement, by rope access, every 2 years")</f>
        <v>Rotorblattinspektion (innen und außen) inkl. Erdungsmessung mit Seiltechnik (alle zwei Jahre)</v>
      </c>
      <c r="D26" s="342" t="str">
        <f t="shared" si="0"/>
        <v>Inkl.</v>
      </c>
    </row>
    <row r="27" spans="1:9" ht="11.25" customHeight="1" x14ac:dyDescent="0.3">
      <c r="A27" s="931"/>
      <c r="B27" s="945" t="str">
        <f>IF(F4="Deutsch","Optionen","Options")</f>
        <v>Optionen</v>
      </c>
      <c r="C27" s="917" t="str">
        <f>IF(F4="Deutsch","Behebung von Schäden von Außen (z.B. durch Blitzeinschlag)","Repair of external damages (e.g. by lightning strike)")</f>
        <v>Behebung von Schäden von Außen (z.B. durch Blitzeinschlag)</v>
      </c>
      <c r="D27" s="924" t="str">
        <f>IF(AND(VWmGKmR!R42=TRUE,F4="Deutsch"),"Inkl.",IF(AND(VWmGKmR!R42=TRUE,F4="Englisch"),"Inclusive","Option"&amp;CHAR(10)&amp;
"€ "&amp;TEXT(ROUND(VLOOKUP(Basisdaten!C32,Anlageninfo!G3:K35,5,FALSE),0),"#.###")))</f>
        <v>Option
€ 3.400</v>
      </c>
    </row>
    <row r="28" spans="1:9" ht="11.25" customHeight="1" x14ac:dyDescent="0.3">
      <c r="A28" s="931"/>
      <c r="B28" s="948"/>
      <c r="C28" s="918"/>
      <c r="D28" s="920"/>
    </row>
    <row r="29" spans="1:9" ht="11.25" customHeight="1" x14ac:dyDescent="0.3">
      <c r="A29" s="931"/>
      <c r="B29" s="948"/>
      <c r="C29" s="917" t="str">
        <f>IF(F4="Deutsch","Wiederkehrende Prüfungen Maschine und Turm","Periodic inspection of machine and tower")</f>
        <v>Wiederkehrende Prüfungen Maschine und Turm</v>
      </c>
      <c r="D29" s="924" t="str">
        <f>IF(AND(VWmGKmR!R46=TRUE,F4="Deutsch"),"Inkl.",IF(AND(VWmGKmR!R46=TRUE,F4="Englisch"),"Inclusive","Option"&amp;CHAR(10)&amp;
"€ "&amp;TEXT(ROUND(VLOOKUP(Basisdaten!C32,'Externe Leistungen'!C5:K38,8,FALSE)/4*1.2+12,0),"#.###")))</f>
        <v>Option
€ 350</v>
      </c>
    </row>
    <row r="30" spans="1:9" ht="11.25" customHeight="1" x14ac:dyDescent="0.3">
      <c r="A30" s="931"/>
      <c r="B30" s="948"/>
      <c r="C30" s="918"/>
      <c r="D30" s="920"/>
    </row>
    <row r="31" spans="1:9" ht="11.25" customHeight="1" x14ac:dyDescent="0.3">
      <c r="A31" s="931"/>
      <c r="B31" s="948"/>
      <c r="C31" s="917" t="str">
        <f>IF(F4="Deutsch","Wartung Befahranlage (großer Wartungstyp nach Herstellervorgaben)","Full maintenance of service lift according to the manufacturer's specification")</f>
        <v>Wartung Befahranlage (großer Wartungstyp nach Herstellervorgaben)</v>
      </c>
      <c r="D31" s="924" t="str">
        <f>IF(AND(VWmGKmR!R44=TRUE,F4="Deutsch"),"Inkl.",IF(AND(VWmGKmR!R44=TRUE,F4="Englisch"),"Inclusive","Option"&amp;CHAR(10)&amp;
"€ "&amp;TEXT(ROUND(VLOOKUP(Basisdaten!C32,'Externe Leistungen'!C5:K38,4,FALSE)*1.2,0),"#.###")))</f>
        <v>Option
€ 1.260</v>
      </c>
    </row>
    <row r="32" spans="1:9" ht="11.25" customHeight="1" x14ac:dyDescent="0.3">
      <c r="A32" s="931"/>
      <c r="B32" s="948"/>
      <c r="C32" s="918"/>
      <c r="D32" s="920"/>
    </row>
    <row r="33" spans="1:4" ht="11.25" customHeight="1" x14ac:dyDescent="0.3">
      <c r="A33" s="931"/>
      <c r="B33" s="948"/>
      <c r="C33" s="922" t="str">
        <f>IF(F4="Deutsch","Prüfung der elektrischen Betriebsmittel nach DIN IEC 60364/DGUV V3 (jährliche Kosten)","Inspection of electrical equipment according to DIN IEC 60364/DGUV V3 (yearly costs)")</f>
        <v>Prüfung der elektrischen Betriebsmittel nach DIN IEC 60364/DGUV V3 (jährliche Kosten)</v>
      </c>
      <c r="D33" s="924" t="s">
        <v>479</v>
      </c>
    </row>
    <row r="34" spans="1:4" ht="11.25" customHeight="1" x14ac:dyDescent="0.3">
      <c r="A34" s="931"/>
      <c r="B34" s="948"/>
      <c r="C34" s="923"/>
      <c r="D34" s="925"/>
    </row>
    <row r="35" spans="1:4" ht="11.25" customHeight="1" x14ac:dyDescent="0.3">
      <c r="A35" s="931"/>
      <c r="B35" s="948"/>
      <c r="C35" s="917" t="str">
        <f>IF(F4="Deutsch","Sachkundigenprüfung der Sicherheitseinrichtungen (Aufstieg, Feuerlöscher, PSA etc.) ohne Austausch &amp; Instandsetzung","Expert inspection of safety devices (ascent, fire extinguisher, PSA, etc.) without exchange &amp; maintenance")</f>
        <v>Sachkundigenprüfung der Sicherheitseinrichtungen (Aufstieg, Feuerlöscher, PSA etc.) ohne Austausch &amp; Instandsetzung</v>
      </c>
      <c r="D35" s="924" t="str">
        <f>IF(AND(VWmGKmR!R43=TRUE,F4="Deutsch"),"Inkl.",IF(AND(VWmGKmR!R43=TRUE,F4="Englisch"),"Inclusive","Option"&amp;CHAR(10)&amp;
"€ "&amp;TEXT(ROUND(VLOOKUP(Basisdaten!C32,'Externe Leistungen'!C5:K38,6,FALSE)*1.2,0),"#.###")))</f>
        <v>Option
€ 720</v>
      </c>
    </row>
    <row r="36" spans="1:4" ht="11.25" customHeight="1" x14ac:dyDescent="0.3">
      <c r="A36" s="931"/>
      <c r="B36" s="948"/>
      <c r="C36" s="918"/>
      <c r="D36" s="920"/>
    </row>
    <row r="37" spans="1:4" ht="11.25" customHeight="1" x14ac:dyDescent="0.3">
      <c r="A37" s="931"/>
      <c r="B37" s="948"/>
      <c r="C37" s="917" t="str">
        <f>IF(F4="Deutsch","Sachkundigenprüfung der Sicherheitseinrichtungen (Aufstieg, Feuerlöscher, PSA etc.) ohne Austausch &amp; Instandsetzung mit Wartung Befahranlage","Expert inspection of safety devices (ascent, fire extinguisher, PSA, etc.) without exchange &amp; maintenance with maintenance of service lift")</f>
        <v>Sachkundigenprüfung der Sicherheitseinrichtungen (Aufstieg, Feuerlöscher, PSA etc.) ohne Austausch &amp; Instandsetzung mit Wartung Befahranlage</v>
      </c>
      <c r="D37" s="924" t="str">
        <f>IF(AND(VWmGKmR!R43=TRUE,VWmGKmR!R44=TRUE,F4="Deutsch"),"Inkl.",IF(AND(VWmGKmR!R43=TRUE,VWmGKmR!R44=TRUE,F4="Englisch"),"Inclusive","Option"&amp;CHAR(10)&amp;
"€ "&amp;TEXT(ROUND(1600,0),"#")))</f>
        <v>Option
€ 1600</v>
      </c>
    </row>
    <row r="38" spans="1:4" ht="11.25" customHeight="1" x14ac:dyDescent="0.3">
      <c r="A38" s="931"/>
      <c r="B38" s="948"/>
      <c r="C38" s="918"/>
      <c r="D38" s="920"/>
    </row>
    <row r="39" spans="1:4" ht="11.25" customHeight="1" x14ac:dyDescent="0.3">
      <c r="A39" s="931"/>
      <c r="B39" s="948"/>
      <c r="C39" s="917" t="str">
        <f>IF(F4="Deutsch","Sachkundigenprüfung der Sicherheitseinrichtungen (Aufstieg, Feuerlöscher, PSA etc.) mit Austausch &amp; Instandsetzung und Wartung Befahranlage","Expert inspection of safety devices (ascent, fire extinguisher, PSA, etc.) with exchange &amp; maintenance and maintenance of service lift")</f>
        <v>Sachkundigenprüfung der Sicherheitseinrichtungen (Aufstieg, Feuerlöscher, PSA etc.) mit Austausch &amp; Instandsetzung und Wartung Befahranlage</v>
      </c>
      <c r="D39" s="919" t="str">
        <f>IF(AND(VWmGKmR!R43=TRUE,VWmGKmR!S43=TRUE,VWmGKmR!R44=TRUE,F4="Deutsch"),"Inkl.",IF(AND(VWmGKmR!R43=TRUE,VWmGKmR!S43=TRUE,VWmGKmR!R44=TRUE,F4="Englisch"),"Inclusive","Option"&amp;CHAR(10)&amp;
"€ "&amp;TEXT(ROUND(2500,0),"#")))</f>
        <v>Option
€ 2500</v>
      </c>
    </row>
    <row r="40" spans="1:4" ht="11.25" customHeight="1" x14ac:dyDescent="0.3">
      <c r="A40" s="932"/>
      <c r="B40" s="948"/>
      <c r="C40" s="918"/>
      <c r="D40" s="920"/>
    </row>
    <row r="41" spans="1:4" ht="11.25" customHeight="1" x14ac:dyDescent="0.3">
      <c r="A41" s="932"/>
      <c r="B41" s="948"/>
      <c r="C41" s="917" t="str">
        <f>IF(F4="Deutsch","Sachkundigenprüfung der Sicherheitseinrichtungen (Aufstieg, Feuerlöscher, PSA etc.) und DGUV V3 Prüfung mit Austausch &amp; Instandsetzung und Wartung Befahranlage","Expert inspection of safety devices (ascent, fire extinguisher, PSA, etc.) and DGUV V3 inspection with exchange &amp; maintenance and maintenance of service lift")</f>
        <v>Sachkundigenprüfung der Sicherheitseinrichtungen (Aufstieg, Feuerlöscher, PSA etc.) und DGUV V3 Prüfung mit Austausch &amp; Instandsetzung und Wartung Befahranlage</v>
      </c>
      <c r="D41" s="919" t="str">
        <f>IF(AND(VWmGKmR!R43=TRUE,VWmGKmR!R44=TRUE,VWmGKmR!R45=TRUE,F4="Deutsch"),"Inkl.",IF(AND(VWmGKmR!R43=TRUE,VWmGKmR!R44=TRUE,VWmGKmR!R45=TRUE,F4="Englisch"),"Inclusive","Option"&amp;CHAR(10)&amp;
"€ "&amp;TEXT(ROUND(2860,0),"#")))</f>
        <v>Option
€ 2860</v>
      </c>
    </row>
    <row r="42" spans="1:4" ht="9.75" customHeight="1" thickBot="1" x14ac:dyDescent="0.35">
      <c r="A42" s="933"/>
      <c r="B42" s="949"/>
      <c r="C42" s="946"/>
      <c r="D42" s="947"/>
    </row>
    <row r="43" spans="1:4" ht="7.5" customHeight="1" thickBot="1" x14ac:dyDescent="0.35">
      <c r="A43" s="344"/>
      <c r="B43" s="344"/>
      <c r="C43" s="344"/>
      <c r="D43" s="344"/>
    </row>
    <row r="44" spans="1:4" ht="40.5" customHeight="1" x14ac:dyDescent="0.3">
      <c r="A44" s="901" t="str">
        <f>IF(F4="Deutsch","Ertragsoptimierung","Yield optimisation")</f>
        <v>Ertragsoptimierung</v>
      </c>
      <c r="B44" s="345" t="str">
        <f>IF(F4="Deutsch","Online Zugang","Online access")</f>
        <v>Online Zugang</v>
      </c>
      <c r="C44" s="356" t="str">
        <f>IF(F4="Deutsch","Nachrüstung einer für einen Online Zugang notwendigen Hardware (falls noch nicht vorhanden) um die Reaktionszeiten auf Störungen zu reduzieren."&amp;" Gleichzeitig Aufbau einer redundanten Kommunikation zum Windpark um Kommunikationsausfälle zu verhindern. Voraussetzung ist ein DSL, DSL light oder vergleichbare Mobilfunkanbindung seitens des Kunden.","Installation of hardware for online access and monitoring (if not yet provided) in order to reduce the reaction time in case of malfunction."&amp;" Concurrent connection set-up within the wind farm to prevent communications failure. DSL, DSL light or similar mobile comunication required and to be provided by the Client.")</f>
        <v>Nachrüstung einer für einen Online Zugang notwendigen Hardware (falls noch nicht vorhanden) um die Reaktionszeiten auf Störungen zu reduzieren. Gleichzeitig Aufbau einer redundanten Kommunikation zum Windpark um Kommunikationsausfälle zu verhindern. Voraussetzung ist ein DSL, DSL light oder vergleichbare Mobilfunkanbindung seitens des Kunden.</v>
      </c>
      <c r="D44" s="346" t="str">
        <f>IF(F$4="Deutsch","Inkl.","Inclusive")</f>
        <v>Inkl.</v>
      </c>
    </row>
    <row r="45" spans="1:4" ht="31.5" customHeight="1" thickBot="1" x14ac:dyDescent="0.35">
      <c r="A45" s="902"/>
      <c r="B45" s="347" t="str">
        <f>IF(F4="Deutsch","Systemcheck &amp; Standortoptimierung","System check &amp; site optimisation")</f>
        <v>Systemcheck &amp; Standortoptimierung</v>
      </c>
      <c r="C45" s="357" t="str">
        <f>IF(F4="Deutsch","Überprüfung der Parameter und der historischen Daten, um Fehleinstellungen, die zu Ertragseinbußen führen, zu detektiern und diese zu beseitigen. Im zweiten Schritt Anpassung der Parameter an den Standort, die zur Ertragssteigerung führen können.","Detection and correction of inappropriate settings, which cause yield losses, according to local site specific conditions.")</f>
        <v>Überprüfung der Parameter und der historischen Daten, um Fehleinstellungen, die zu Ertragseinbußen führen, zu detektiern und diese zu beseitigen. Im zweiten Schritt Anpassung der Parameter an den Standort, die zur Ertragssteigerung führen können.</v>
      </c>
      <c r="D45" s="348" t="str">
        <f>IF(F$4="Deutsch","Inkl.","Inclusive")</f>
        <v>Inkl.</v>
      </c>
    </row>
    <row r="46" spans="1:4" ht="7.5" customHeight="1" thickBot="1" x14ac:dyDescent="0.35">
      <c r="A46" s="344"/>
      <c r="B46" s="344"/>
      <c r="C46" s="344"/>
      <c r="D46" s="344"/>
    </row>
    <row r="47" spans="1:4" ht="12.75" customHeight="1" x14ac:dyDescent="0.3">
      <c r="A47" s="903" t="str">
        <f>IF(F4="Deutsch","Vertragsdetails","Contract details")</f>
        <v>Vertragsdetails</v>
      </c>
      <c r="B47" s="345" t="str">
        <f>IF(F4="Deutsch","Vorzeitige Kündigung/Ausstieg","Early termination/withdrawal")</f>
        <v>Vorzeitige Kündigung/Ausstieg</v>
      </c>
      <c r="C47" s="356" t="str">
        <f>IF(F4="Deutsch","Individuell zu klären","To be negotiated individually")</f>
        <v>Individuell zu klären</v>
      </c>
      <c r="D47" s="346" t="str">
        <f>IF(F$4="Deutsch","Inkl.","Inclusive")</f>
        <v>Inkl.</v>
      </c>
    </row>
    <row r="48" spans="1:4" ht="12.75" customHeight="1" x14ac:dyDescent="0.3">
      <c r="A48" s="904"/>
      <c r="B48" s="341" t="str">
        <f>IF(F4="Deutsch","Gewährleistung","Warranty")</f>
        <v>Gewährleistung</v>
      </c>
      <c r="C48" s="343" t="str">
        <f>IF(F4="Deutsch","24 Monate, maximal 3 Monate nach Beendigung des Vertrags","24 month, max. 3 month after termination of contract")</f>
        <v>24 Monate, maximal 3 Monate nach Beendigung des Vertrags</v>
      </c>
      <c r="D48" s="342" t="str">
        <f>IF(F$4="Deutsch","Inkl.","Inclusive")</f>
        <v>Inkl.</v>
      </c>
    </row>
    <row r="49" spans="1:4" ht="12.75" customHeight="1" x14ac:dyDescent="0.3">
      <c r="A49" s="904"/>
      <c r="B49" s="341" t="str">
        <f>IF(F4="Deutsch","Malus gem. Verfügbarkeitsgarantie","Malus according to availability")</f>
        <v>Malus gem. Verfügbarkeitsgarantie</v>
      </c>
      <c r="C49" s="343" t="str">
        <f>IF(F4="Deutsch","Ja","Yes")</f>
        <v>Ja</v>
      </c>
      <c r="D49" s="342" t="str">
        <f>IF(F$4="Deutsch","Inkl.","Inclusive")</f>
        <v>Inkl.</v>
      </c>
    </row>
    <row r="50" spans="1:4" ht="12.75" customHeight="1" x14ac:dyDescent="0.3">
      <c r="A50" s="904"/>
      <c r="B50" s="906" t="str">
        <f>IF(F4="Deutsch","Haftung","Liability")</f>
        <v>Haftung</v>
      </c>
      <c r="C50" s="343" t="str">
        <f>IF(F4="Deutsch","Maximal pro Jahr (exkl. Verfügbarkeitspönale), wenn nicht über Betriebshaftpflicht abgedeckt","Max. per year (excl. contractual penalty for the availabilty), if not covered by public liability")</f>
        <v>Maximal pro Jahr (exkl. Verfügbarkeitspönale), wenn nicht über Betriebshaftpflicht abgedeckt</v>
      </c>
      <c r="D50" s="342" t="str">
        <f>IF(F4="Deutsch","unbegrenzt","unlimited")</f>
        <v>unbegrenzt</v>
      </c>
    </row>
    <row r="51" spans="1:4" ht="12.75" customHeight="1" thickBot="1" x14ac:dyDescent="0.35">
      <c r="A51" s="905"/>
      <c r="B51" s="907"/>
      <c r="C51" s="357" t="str">
        <f>IF(F4="Deutsch","Verfügbarkeitsgarantie, maximal pro Jahr","Contractual penalty for the availability, max. for a year")</f>
        <v>Verfügbarkeitsgarantie, maximal pro Jahr</v>
      </c>
      <c r="D51" s="348" t="str">
        <f>IF(F4="Deutsch","unbegrenzt","unlimited")</f>
        <v>unbegrenzt</v>
      </c>
    </row>
    <row r="52" spans="1:4" ht="7.5" customHeight="1" thickBot="1" x14ac:dyDescent="0.35">
      <c r="D52" s="332"/>
    </row>
    <row r="53" spans="1:4" ht="12" customHeight="1" x14ac:dyDescent="0.3">
      <c r="A53" s="908" t="str">
        <f>IF(F4="Deutsch","Bedingungen:","Conditions:")</f>
        <v>Bedingungen:</v>
      </c>
      <c r="B53" s="909"/>
      <c r="C53" s="909"/>
      <c r="D53" s="910"/>
    </row>
    <row r="54" spans="1:4" ht="12.75" customHeight="1" x14ac:dyDescent="0.3">
      <c r="A54" s="951" t="s">
        <v>538</v>
      </c>
      <c r="B54" s="912"/>
      <c r="C54" s="912"/>
      <c r="D54" s="913"/>
    </row>
    <row r="55" spans="1:4" ht="12.75" hidden="1" customHeight="1" x14ac:dyDescent="0.3">
      <c r="A55" s="914"/>
      <c r="B55" s="915"/>
      <c r="C55" s="915"/>
      <c r="D55" s="916"/>
    </row>
    <row r="56" spans="1:4" ht="12.75" customHeight="1" x14ac:dyDescent="0.3">
      <c r="A56" s="914" t="s">
        <v>480</v>
      </c>
      <c r="B56" s="915"/>
      <c r="C56" s="915"/>
      <c r="D56" s="916"/>
    </row>
    <row r="57" spans="1:4" ht="12.75" hidden="1" customHeight="1" x14ac:dyDescent="0.3">
      <c r="A57" s="921"/>
      <c r="B57" s="915"/>
      <c r="C57" s="915"/>
      <c r="D57" s="916"/>
    </row>
    <row r="58" spans="1:4" ht="12.75" hidden="1" customHeight="1" x14ac:dyDescent="0.3">
      <c r="A58" s="921"/>
      <c r="B58" s="915"/>
      <c r="C58" s="915"/>
      <c r="D58" s="916"/>
    </row>
    <row r="59" spans="1:4" ht="12.75" customHeight="1" thickBot="1" x14ac:dyDescent="0.35">
      <c r="A59" s="898"/>
      <c r="B59" s="899"/>
      <c r="C59" s="899"/>
      <c r="D59" s="900"/>
    </row>
    <row r="60" spans="1:4" ht="3.75" customHeight="1" x14ac:dyDescent="0.3">
      <c r="A60" s="355"/>
      <c r="B60" s="355"/>
      <c r="C60" s="355"/>
      <c r="D60" s="355"/>
    </row>
    <row r="61" spans="1:4" x14ac:dyDescent="0.3">
      <c r="D61" s="332"/>
    </row>
    <row r="63" spans="1:4" ht="31.8" x14ac:dyDescent="0.3">
      <c r="A63" s="928" t="str">
        <f>IF(F4="Deutsch","Gültig bis: 31.06.2018","Valid until: 31.06.2018")</f>
        <v>Gültig bis: 31.06.2018</v>
      </c>
      <c r="B63" s="928"/>
      <c r="C63" s="666" t="str">
        <f>IF(F4="Deutsch","Erstellt durch Jörg Fuchs"&amp;CHAR(10)&amp;"Tel. 0541-380538-401 oder 0175-5695604"&amp;CHAR(10)&amp;"j.fuchs@deutsche-windtechnik.com","Prepared by Jörg Fuchs"&amp;CHAR(10)&amp;"Tel. 0541-380538-401 or 0175-5695604"&amp;CHAR(10)&amp;"j.fuchs@deutsche-windtechnik.com")</f>
        <v>Erstellt durch Jörg Fuchs
Tel. 0541-380538-401 oder 0175-5695604
j.fuchs@deutsche-windtechnik.com</v>
      </c>
      <c r="D63" s="667" t="str">
        <f>IF(F4="Deutsch","Seite 1","Page 1")</f>
        <v>Seite 1</v>
      </c>
    </row>
  </sheetData>
  <mergeCells count="39">
    <mergeCell ref="A1:B1"/>
    <mergeCell ref="A63:B63"/>
    <mergeCell ref="A3:C3"/>
    <mergeCell ref="A4:C4"/>
    <mergeCell ref="C41:C42"/>
    <mergeCell ref="A54:D54"/>
    <mergeCell ref="A55:D55"/>
    <mergeCell ref="A59:D59"/>
    <mergeCell ref="A56:D56"/>
    <mergeCell ref="A58:D58"/>
    <mergeCell ref="A57:D57"/>
    <mergeCell ref="A44:A45"/>
    <mergeCell ref="D3:D4"/>
    <mergeCell ref="A6:A11"/>
    <mergeCell ref="B6:B11"/>
    <mergeCell ref="D35:D36"/>
    <mergeCell ref="A53:D53"/>
    <mergeCell ref="C39:C40"/>
    <mergeCell ref="D39:D40"/>
    <mergeCell ref="A13:A42"/>
    <mergeCell ref="B13:B14"/>
    <mergeCell ref="D13:D14"/>
    <mergeCell ref="B22:B26"/>
    <mergeCell ref="B27:B42"/>
    <mergeCell ref="C27:C28"/>
    <mergeCell ref="D31:D32"/>
    <mergeCell ref="C33:C34"/>
    <mergeCell ref="D33:D34"/>
    <mergeCell ref="A47:A51"/>
    <mergeCell ref="C31:C32"/>
    <mergeCell ref="C35:C36"/>
    <mergeCell ref="D27:D28"/>
    <mergeCell ref="B50:B51"/>
    <mergeCell ref="D41:D42"/>
    <mergeCell ref="C37:C38"/>
    <mergeCell ref="D37:D38"/>
    <mergeCell ref="E9:I19"/>
    <mergeCell ref="C29:C30"/>
    <mergeCell ref="D29:D30"/>
  </mergeCells>
  <dataValidations count="2">
    <dataValidation type="list" showInputMessage="1" showErrorMessage="1" sqref="F4" xr:uid="{00000000-0002-0000-0B00-000000000000}">
      <formula1>$K$3:$K$4</formula1>
    </dataValidation>
    <dataValidation type="list" allowBlank="1" showInputMessage="1" showErrorMessage="1" sqref="F6" xr:uid="{00000000-0002-0000-0B00-000001000000}">
      <formula1>$K$5:$K$13</formula1>
    </dataValidation>
  </dataValidations>
  <pageMargins left="0.51181102362204722" right="0.51181102362204722" top="0.19685039370078741" bottom="0.19685039370078741" header="0.31496062992125984" footer="0.31496062992125984"/>
  <pageSetup paperSize="9" orientation="portrait" r:id="rId1"/>
  <ignoredErrors>
    <ignoredError sqref="D2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DieseArbeitsmappe.Zeilen_ausblenden">
                <anchor moveWithCells="1">
                  <from>
                    <xdr:col>4</xdr:col>
                    <xdr:colOff>45720</xdr:colOff>
                    <xdr:row>1</xdr:row>
                    <xdr:rowOff>38100</xdr:rowOff>
                  </from>
                  <to>
                    <xdr:col>6</xdr:col>
                    <xdr:colOff>30480</xdr:colOff>
                    <xdr:row>3</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12"/>
  <dimension ref="A1:J61"/>
  <sheetViews>
    <sheetView view="pageLayout" topLeftCell="A4" zoomScale="140" zoomScaleNormal="100" zoomScalePageLayoutView="140" workbookViewId="0">
      <selection activeCell="D29" sqref="D29:E30"/>
    </sheetView>
  </sheetViews>
  <sheetFormatPr baseColWidth="10" defaultRowHeight="14.4" x14ac:dyDescent="0.3"/>
  <cols>
    <col min="1" max="1" width="3.88671875" customWidth="1"/>
    <col min="2" max="2" width="19.5546875" customWidth="1"/>
    <col min="3" max="3" width="49.6640625" customWidth="1"/>
    <col min="4" max="4" width="8.44140625" customWidth="1"/>
    <col min="5" max="5" width="5.88671875" customWidth="1"/>
    <col min="6" max="6" width="12.88671875" customWidth="1"/>
    <col min="7" max="7" width="14.33203125" customWidth="1"/>
  </cols>
  <sheetData>
    <row r="1" spans="1:10" ht="33" customHeight="1" x14ac:dyDescent="0.3">
      <c r="A1" s="926"/>
      <c r="B1" s="927"/>
      <c r="C1" s="664" t="str">
        <f ca="1">IF(F4="Deutsch","Stand: "&amp;TEXT(TODAY(),"TT.MM.JJJJ"),"State: "&amp;TEXT(TODAY(),"TT.MM.JJJJ"))</f>
        <v>State: 12.04.2018</v>
      </c>
      <c r="D1" s="665"/>
    </row>
    <row r="2" spans="1:10" ht="6.75" customHeight="1" thickBot="1" x14ac:dyDescent="0.35">
      <c r="D2" s="125"/>
    </row>
    <row r="3" spans="1:10" ht="19.5" customHeight="1" x14ac:dyDescent="0.3">
      <c r="A3" s="998" t="str">
        <f>IF(G6="Deutsch","Vollwartungsvertrag WP "&amp;Basisdaten!C13&amp;" ( "&amp;Basisdaten!C17&amp;" x "&amp;Basisdaten!C31&amp;" "&amp;Basisdaten!C32&amp;" NH "&amp;Basisdaten!C35&amp;" m)","Maintenance contract WF "&amp;Basisdaten!C13&amp;" ("&amp;Basisdaten!C17&amp;" x "&amp;Basisdaten!C31&amp;" "&amp;Basisdaten!C32&amp;" HH "&amp;Basisdaten!C35&amp;" m)")</f>
        <v>Vollwartungsvertrag WP Remlingen ( 6 x Nordex N117/2400 NH 140 m)</v>
      </c>
      <c r="B3" s="999"/>
      <c r="C3" s="1000"/>
      <c r="D3" s="989"/>
      <c r="E3" s="990"/>
    </row>
    <row r="4" spans="1:10" ht="14.25" customHeight="1" thickBot="1" x14ac:dyDescent="0.35">
      <c r="A4" s="1001" t="str">
        <f>IF(G6="Deutsch","mit Großkomponenten und mit Rotor - Laufzeit  "&amp;VWoGK!D23&amp;" Jahre - variable Vergütung","Main components and rotor included - contract period  "&amp;VWoGK!D23&amp;" years - variable remuneration")</f>
        <v>mit Großkomponenten und mit Rotor - Laufzeit  14 Jahre - variable Vergütung</v>
      </c>
      <c r="B4" s="1002"/>
      <c r="C4" s="1003"/>
      <c r="D4" s="991"/>
      <c r="E4" s="992"/>
    </row>
    <row r="5" spans="1:10" ht="8.25" customHeight="1" thickBot="1" x14ac:dyDescent="0.35">
      <c r="D5" s="125"/>
    </row>
    <row r="6" spans="1:10" ht="17.25" customHeight="1" x14ac:dyDescent="0.3">
      <c r="A6" s="1004" t="str">
        <f>IF(G6="Deutsch","Preise","Prices")</f>
        <v>Preise</v>
      </c>
      <c r="B6" s="1007" t="str">
        <f>IF(G6="Deutsch","Preise für den weiter unten beschriebenen Leistungsumfang pro WEA und Jahr","Prices for the scope of service as described below for WEC/a")</f>
        <v>Preise für den weiter unten beschriebenen Leistungsumfang pro WEA und Jahr</v>
      </c>
      <c r="C6" s="358" t="str">
        <f>IF(G$6="Deutsch","Betriebsjahr "&amp;VWmGKmR!B30&amp;"-"&amp;VWmGKmR!C30, "Years of operation "&amp;VWmGKmR!B30&amp;"-"&amp;VWmGKmR!C30)</f>
        <v>Betriebsjahr 7-9</v>
      </c>
      <c r="D6" s="281" t="e">
        <f>VWmGKmR!E39</f>
        <v>#DIV/0!</v>
      </c>
      <c r="E6" s="284" t="str">
        <f>IF(G6="Deutsch","mind. € "&amp;TEXT(ROUND(VWmGKmR!D39,0),"#.###"),"min. € "&amp;TEXT(ROUND(VWmGKmR!D39,0),"#.###"))</f>
        <v>mind. € 37.000</v>
      </c>
      <c r="F6" t="s">
        <v>382</v>
      </c>
      <c r="G6" t="s">
        <v>380</v>
      </c>
    </row>
    <row r="7" spans="1:10" ht="19.2" x14ac:dyDescent="0.3">
      <c r="A7" s="1005"/>
      <c r="B7" s="978"/>
      <c r="C7" s="278" t="str">
        <f>IF(G$6="Deutsch","Betriebsjahr "&amp;VWmGKmR!B31&amp;"-"&amp;VWmGKmR!C31, "Years of operation "&amp;VWmGKmR!B31&amp;"-"&amp;VWmGKmR!C31)</f>
        <v>Betriebsjahr 10-12</v>
      </c>
      <c r="D7" s="282" t="e">
        <f>VWmGKmR!E40</f>
        <v>#DIV/0!</v>
      </c>
      <c r="E7" s="318" t="str">
        <f>IF(G6="Deutsch","mind. € "&amp;TEXT(ROUND(VWmGKmR!D40,0),"#.###"),"min. € "&amp;TEXT(ROUND(VWmGKmR!D40,0),"#.###"))</f>
        <v>mind. € 40.400</v>
      </c>
      <c r="F7" t="s">
        <v>48</v>
      </c>
      <c r="G7" t="s">
        <v>409</v>
      </c>
    </row>
    <row r="8" spans="1:10" ht="19.2" x14ac:dyDescent="0.3">
      <c r="A8" s="1005"/>
      <c r="B8" s="978"/>
      <c r="C8" s="278" t="str">
        <f>IF(G$6="Deutsch","Betriebsjahr "&amp;VWmGKmR!B32&amp;"-"&amp;VWmGKmR!C32, "Years of operation "&amp;VWmGKmR!B32&amp;"-"&amp;VWmGKmR!C32)</f>
        <v>Betriebsjahr 13-15</v>
      </c>
      <c r="D8" s="282" t="e">
        <f>VWmGKmR!E41</f>
        <v>#DIV/0!</v>
      </c>
      <c r="E8" s="318" t="str">
        <f>IF(G6="Deutsch","mind. € "&amp;TEXT(ROUND(VWmGKmR!D41,0),"#.###"),"min. € "&amp;TEXT(ROUND(VWmGKmR!D41,0),"#.###"))</f>
        <v>mind. € 44.200</v>
      </c>
    </row>
    <row r="9" spans="1:10" ht="19.8" thickBot="1" x14ac:dyDescent="0.35">
      <c r="A9" s="1005"/>
      <c r="B9" s="978"/>
      <c r="C9" s="278" t="str">
        <f>IF(G$6="Deutsch","Betriebsjahr "&amp;VWmGKmR!B33&amp;"-"&amp;VWmGKmR!C33, "Years of operation "&amp;VWmGKmR!B33&amp;"-"&amp;VWmGKmR!C33)</f>
        <v>Betriebsjahr 16-18</v>
      </c>
      <c r="D9" s="282" t="e">
        <f>VWmGKmR!E42</f>
        <v>#DIV/0!</v>
      </c>
      <c r="E9" s="318" t="str">
        <f>IF(G6="Deutsch","mind. € "&amp;TEXT(ROUND(VWmGKmR!D42,0),"#.###"),"min. € "&amp;TEXT(ROUND(VWmGKmR!D42,0),"#.###"))</f>
        <v>mind. € 47.600</v>
      </c>
    </row>
    <row r="10" spans="1:10" ht="19.8" hidden="1" thickBot="1" x14ac:dyDescent="0.35">
      <c r="A10" s="1005"/>
      <c r="B10" s="978"/>
      <c r="C10" s="278" t="str">
        <f>IF(G$6="Deutsch","Betriebsjahr "&amp;VWmGKmR!B34&amp;"-"&amp;VWmGKmR!C34, "Years of operation "&amp;VWmGKmR!B34&amp;"-"&amp;VWmGKmR!C34)</f>
        <v>Betriebsjahr 19-20</v>
      </c>
      <c r="D10" s="282" t="e">
        <f>VWmGKmR!E43</f>
        <v>#DIV/0!</v>
      </c>
      <c r="E10" s="318" t="str">
        <f>IF(G6="Deutsch","mind. € "&amp;TEXT(ROUND(VWmGKmR!D43,0),"#.###"),"min. € "&amp;TEXT(ROUND(VWmGKmR!D43,0),"#.###"))</f>
        <v>mind. € 48.900</v>
      </c>
    </row>
    <row r="11" spans="1:10" ht="15" hidden="1" thickBot="1" x14ac:dyDescent="0.35">
      <c r="A11" s="1006"/>
      <c r="B11" s="979"/>
      <c r="C11" s="359" t="str">
        <f>IF(G$6="Deutsch","Betriebsjahr "&amp;VWmGKmR!B35&amp;"-"&amp;VWmGKmR!C35, "Years of operation "&amp;VWmGKmR!B35&amp;"-"&amp;VWmGKmR!C35)</f>
        <v>Betriebsjahr -</v>
      </c>
      <c r="D11" s="282" t="str">
        <f>VWmGKmR!E44</f>
        <v/>
      </c>
      <c r="E11" s="319" t="e">
        <f>IF(G6="Deutsch","mind. € "&amp;TEXT(ROUND(VWmGKmR!D44,0),"#.###"),"min. € "&amp;TEXT(ROUND(VWmGKmR!D44,0),"#.###"))</f>
        <v>#VALUE!</v>
      </c>
    </row>
    <row r="12" spans="1:10" ht="7.5" customHeight="1" thickBot="1" x14ac:dyDescent="0.35">
      <c r="A12" s="279"/>
      <c r="B12" s="279"/>
      <c r="C12" s="279"/>
      <c r="D12" s="286"/>
      <c r="E12" s="280"/>
    </row>
    <row r="13" spans="1:10" ht="20.25" customHeight="1" x14ac:dyDescent="0.3">
      <c r="A13" s="993" t="str">
        <f>IF(G6="Deutsch","Service &amp; Instandsetzung","Service &amp; Maintenance")</f>
        <v>Service &amp; Instandsetzung</v>
      </c>
      <c r="B13" s="997" t="str">
        <f>IF(G6="Deutsch","Wartung","Maintenance")</f>
        <v>Wartung</v>
      </c>
      <c r="C13" s="358" t="str">
        <f>IF(AND(VWmGKmR!D11="3.XM",F4="Deutsch"),"Jahres- und Halbjahreswartung, 2-, 3-, 4-, 5-, 6- und 10-Jahreswartung sowie Umrichterwartung",IF(AND(VWmGKmR!D11="3.XM",F4="Englisch"),"Yearly, half-yearly, 2-,3-, 4-, 5-, 6- and 10-yearly maintenance including converter maintenance",IF(AND(VWmGKmR!D11&lt;&gt;"3.XM",F4="Deutsch",Basisdaten!C37="Gittermast"),"Jahres- und Halbjahreswartung sowie Umrichterwartung und Gittermastwartung",IF(AND(VWmGKmR!D11&lt;&gt;"3.XM",F4="Deutsch",Basisdaten!C37&lt;&gt;"Gittermast"),"Jahres- und Halbjahreswartung sowie Umrichterwartung",IF(AND(VWmGKmR!D11&lt;&gt;"3.XM",F4="Englisch",Basisdaten!C37="Gittermast"),"Yearly, half-yearly maintenance including converter maintenance and lattice tower maintenance","Yearly, half-yearly maintenance including converter maintenance")))))</f>
        <v>Yearly, half-yearly maintenance including converter maintenance</v>
      </c>
      <c r="D13" s="969" t="str">
        <f>IF(G6="Deutsch","Inkl.","Inclusive")</f>
        <v>Inkl.</v>
      </c>
      <c r="E13" s="970"/>
      <c r="F13" s="125" t="s">
        <v>419</v>
      </c>
      <c r="G13" s="386"/>
      <c r="H13" s="386"/>
      <c r="I13" s="386"/>
      <c r="J13" s="386"/>
    </row>
    <row r="14" spans="1:10" ht="12.75" customHeight="1" x14ac:dyDescent="0.3">
      <c r="A14" s="994"/>
      <c r="B14" s="976"/>
      <c r="C14" s="278" t="str">
        <f>IF(G6="Deutsch","Serviceberichte und Wartungsprotokolle","Service and maintenance reports")</f>
        <v>Serviceberichte und Wartungsprotokolle</v>
      </c>
      <c r="D14" s="963"/>
      <c r="E14" s="964"/>
      <c r="F14" s="929" t="s">
        <v>420</v>
      </c>
      <c r="G14" s="929"/>
      <c r="H14" s="929"/>
      <c r="I14" s="929"/>
      <c r="J14" s="929"/>
    </row>
    <row r="15" spans="1:10" ht="12.75" customHeight="1" x14ac:dyDescent="0.3">
      <c r="A15" s="994"/>
      <c r="B15" s="317" t="str">
        <f>IF(G6="Deutsch","Verbrauchsmaterialien","Expendable materials")</f>
        <v>Verbrauchsmaterialien</v>
      </c>
      <c r="C15" s="278" t="str">
        <f>IF(G6="Deutsch","Filter, Fette, Öle Schmierstoffanalysen","Filter, lubricants, oil, lubricant analysis")</f>
        <v>Filter, Fette, Öle Schmierstoffanalysen</v>
      </c>
      <c r="D15" s="963" t="str">
        <f>IF(G6="Deutsch","Inkl.","Inclusive")</f>
        <v>Inkl.</v>
      </c>
      <c r="E15" s="964"/>
      <c r="F15" s="929"/>
      <c r="G15" s="929"/>
      <c r="H15" s="929"/>
      <c r="I15" s="929"/>
      <c r="J15" s="929"/>
    </row>
    <row r="16" spans="1:10" ht="18" customHeight="1" x14ac:dyDescent="0.3">
      <c r="A16" s="994"/>
      <c r="B16" s="317" t="str">
        <f>IF(G6="Deutsch","24/7 Fernüberwachung","24/7 remote monitoring")</f>
        <v>24/7 Fernüberwachung</v>
      </c>
      <c r="C16" s="278" t="str">
        <f>IF(G6="Deutsch","24/7 Fernüberwachung inkl. Fehlerdiagnose &amp; Behebung aus der Ferne (wenn möglich)","24/7 remote monitoring incl. diagnostics &amp; correction of defects via remote control (if possible)")</f>
        <v>24/7 Fernüberwachung inkl. Fehlerdiagnose &amp; Behebung aus der Ferne (wenn möglich)</v>
      </c>
      <c r="D16" s="963" t="str">
        <f>IF(G6="Deutsch","Inkl.","Inclusive")</f>
        <v>Inkl.</v>
      </c>
      <c r="E16" s="964"/>
      <c r="F16" s="929"/>
      <c r="G16" s="929"/>
      <c r="H16" s="929"/>
      <c r="I16" s="929"/>
      <c r="J16" s="929"/>
    </row>
    <row r="17" spans="1:10" ht="12.75" customHeight="1" x14ac:dyDescent="0.3">
      <c r="A17" s="994"/>
      <c r="B17" s="317" t="str">
        <f>IF(G6="Deutsch","Instandsetzung - Arbeitsleistung","Repairs - work performance")</f>
        <v>Instandsetzung - Arbeitsleistung</v>
      </c>
      <c r="C17" s="278" t="str">
        <f>IF(G6="Deutsch","Instandsetzung vor Ort, wenn Behebung aus der Ferne nicht möglich","Any repairs &amp; services on the turbine if fault clearance not possible by remote control")</f>
        <v>Instandsetzung vor Ort, wenn Behebung aus der Ferne nicht möglich</v>
      </c>
      <c r="D17" s="963" t="str">
        <f>IF(G6="Deutsch","Inkl.","Inclusive")</f>
        <v>Inkl.</v>
      </c>
      <c r="E17" s="964"/>
      <c r="F17" s="929"/>
      <c r="G17" s="929"/>
      <c r="H17" s="929"/>
      <c r="I17" s="929"/>
      <c r="J17" s="929"/>
    </row>
    <row r="18" spans="1:10" ht="12.75" customHeight="1" x14ac:dyDescent="0.3">
      <c r="A18" s="994"/>
      <c r="B18" s="317" t="str">
        <f>IF(G6="Deutsch","Instandsetzung - Arbeitsleistung","Repairs - spare parts")</f>
        <v>Instandsetzung - Arbeitsleistung</v>
      </c>
      <c r="C18" s="278" t="str">
        <f>IF(G6="Deutsch","Lieferung von allen Ersatzteilen inkl. Hauptkomponenten","Supply of spare parts, including main components")</f>
        <v>Lieferung von allen Ersatzteilen inkl. Hauptkomponenten</v>
      </c>
      <c r="D18" s="963" t="str">
        <f>IF(G6="Deutsch","Inkl.","Inclusive")</f>
        <v>Inkl.</v>
      </c>
      <c r="E18" s="964"/>
      <c r="F18" s="929"/>
      <c r="G18" s="929"/>
      <c r="H18" s="929"/>
      <c r="I18" s="929"/>
      <c r="J18" s="929"/>
    </row>
    <row r="19" spans="1:10" ht="20.25" customHeight="1" x14ac:dyDescent="0.3">
      <c r="A19" s="994"/>
      <c r="B19" s="317" t="str">
        <f>IF(G6="Deutsch","Hauptkomponenten","Large components")</f>
        <v>Hauptkomponenten</v>
      </c>
      <c r="C19" s="278" t="str">
        <f>IF(G6="Deutsch","Maschinenbruch und Verschleiß von allen Hauptkomponenten inkl. Kran, Transport und Dienstleistung","Mechanical breakdown &amp; wear of all main components, incl. crane, transport &amp; service")</f>
        <v>Maschinenbruch und Verschleiß von allen Hauptkomponenten inkl. Kran, Transport und Dienstleistung</v>
      </c>
      <c r="D19" s="963" t="str">
        <f>IF(G6="Deutsch","Inkl.","Inclusive")</f>
        <v>Inkl.</v>
      </c>
      <c r="E19" s="964"/>
      <c r="F19" s="929"/>
      <c r="G19" s="929"/>
      <c r="H19" s="929"/>
      <c r="I19" s="929"/>
      <c r="J19" s="929"/>
    </row>
    <row r="20" spans="1:10" ht="20.25" customHeight="1" x14ac:dyDescent="0.3">
      <c r="A20" s="994"/>
      <c r="B20" s="317" t="str">
        <f>IF(G6="Deutsch","Spezialwerkzeug", "Special tools")</f>
        <v>Spezialwerkzeug</v>
      </c>
      <c r="C20" s="278" t="str">
        <f>IF(G6="Deutsch","Spezialwerkzeug zum Austausch von Hauptkomponenten (z.B. Traverse zum Tauschen von Getrieben ohne Rotordemontage)","Special tools for exchanging main componentes for example traverse for exchanging a gearbox without dismantling of the rotor")</f>
        <v>Spezialwerkzeug zum Austausch von Hauptkomponenten (z.B. Traverse zum Tauschen von Getrieben ohne Rotordemontage)</v>
      </c>
      <c r="D20" s="963" t="str">
        <f>IF(G6="Deutsch","Inkl.","Inclusive")</f>
        <v>Inkl.</v>
      </c>
      <c r="E20" s="964"/>
      <c r="F20" s="929"/>
      <c r="G20" s="929"/>
      <c r="H20" s="929"/>
      <c r="I20" s="929"/>
      <c r="J20" s="929"/>
    </row>
    <row r="21" spans="1:10" ht="12.75" customHeight="1" x14ac:dyDescent="0.3">
      <c r="A21" s="994"/>
      <c r="B21" s="317" t="str">
        <f>IF(G6="Deutsch","Verfügbarkeitsgarantie","Guarantee of availability")</f>
        <v>Verfügbarkeitsgarantie</v>
      </c>
      <c r="C21" s="278" t="str">
        <f>IF(F4="Deutsch","Garantierte technische Parkverfügbarkeit ab Vertragsbeginn bis Vertragsende","Guaranteed technical farm availability upon commencement until the end of the contract")</f>
        <v>Guaranteed technical farm availability upon commencement until the end of the contract</v>
      </c>
      <c r="D21" s="984" t="str">
        <f>G7</f>
        <v>s. Bedingungen</v>
      </c>
      <c r="E21" s="985"/>
      <c r="F21" s="929"/>
      <c r="G21" s="929"/>
      <c r="H21" s="929"/>
      <c r="I21" s="929"/>
      <c r="J21" s="929"/>
    </row>
    <row r="22" spans="1:10" ht="12.75" customHeight="1" x14ac:dyDescent="0.3">
      <c r="A22" s="994"/>
      <c r="B22" s="976" t="str">
        <f>IF(G6="Deutsch","Zusätzlliche vorbeugende Wartung","Additional preventing maintenance")</f>
        <v>Zusätzlliche vorbeugende Wartung</v>
      </c>
      <c r="C22" s="278" t="str">
        <f>IF(G6="Deutsch","Wartung der Trafostationen (jährlich)","Maintenance of a transformer station (annual)")</f>
        <v>Wartung der Trafostationen (jährlich)</v>
      </c>
      <c r="D22" s="963" t="str">
        <f>IF(G6="Deutsch","Inkl.","Inclusive")</f>
        <v>Inkl.</v>
      </c>
      <c r="E22" s="964"/>
      <c r="F22" s="929"/>
      <c r="G22" s="929"/>
      <c r="H22" s="929"/>
      <c r="I22" s="929"/>
      <c r="J22" s="929"/>
    </row>
    <row r="23" spans="1:10" ht="12.75" hidden="1" customHeight="1" x14ac:dyDescent="0.3">
      <c r="A23" s="994"/>
      <c r="B23" s="976"/>
      <c r="C23" s="278" t="str">
        <f>IF(G6="Deutsch","Zweijahreswartung und Fünfjahreswartung (Zusatzwartung alle 2 bzw. 5 Jahre)","Two-year and five-year maintenance (additional maintenance every 2/5 years)")</f>
        <v>Zweijahreswartung und Fünfjahreswartung (Zusatzwartung alle 2 bzw. 5 Jahre)</v>
      </c>
      <c r="D23" s="963" t="str">
        <f>IF(G6="Deutsch","Inkl.","Inclusive")</f>
        <v>Inkl.</v>
      </c>
      <c r="E23" s="964"/>
      <c r="F23" s="929"/>
      <c r="G23" s="929"/>
      <c r="H23" s="929"/>
      <c r="I23" s="929"/>
      <c r="J23" s="929"/>
    </row>
    <row r="24" spans="1:10" ht="12.75" customHeight="1" x14ac:dyDescent="0.3">
      <c r="A24" s="994"/>
      <c r="B24" s="976"/>
      <c r="C24" s="278" t="str">
        <f>IF(G6="Deutsch","Getriebeölwechsel, zustandsorientiert","Oil exchange for gear box , condition based")</f>
        <v>Getriebeölwechsel, zustandsorientiert</v>
      </c>
      <c r="D24" s="963" t="str">
        <f>IF(G6="Deutsch","Inkl.","Inclusive")</f>
        <v>Inkl.</v>
      </c>
      <c r="E24" s="964"/>
      <c r="F24" s="929"/>
      <c r="G24" s="929"/>
      <c r="H24" s="929"/>
      <c r="I24" s="929"/>
      <c r="J24" s="929"/>
    </row>
    <row r="25" spans="1:10" ht="12.75" customHeight="1" x14ac:dyDescent="0.3">
      <c r="A25" s="994"/>
      <c r="B25" s="976"/>
      <c r="C25" s="278" t="str">
        <f>IF(G6="Deutsch","Getriebevideoendoskopie (jährlich)","Annual video endoscopic inspection of the gearbox")</f>
        <v>Getriebevideoendoskopie (jährlich)</v>
      </c>
      <c r="D25" s="963" t="str">
        <f>IF(G6="Deutsch","Inkl.","Inclusive")</f>
        <v>Inkl.</v>
      </c>
      <c r="E25" s="964"/>
    </row>
    <row r="26" spans="1:10" ht="20.25" customHeight="1" x14ac:dyDescent="0.3">
      <c r="A26" s="994"/>
      <c r="B26" s="976"/>
      <c r="C26" s="278" t="str">
        <f>IF(G6="Deutsch","Rotorblattinspektion (innen &amp; außen) inkl. Erdungsmessung mit Seiltechnik (alle zwei Jahre)","Inspection of rotor blades (internal- und external inspection) incl. earth measurement, by rope access, every 2 years")</f>
        <v>Rotorblattinspektion (innen &amp; außen) inkl. Erdungsmessung mit Seiltechnik (alle zwei Jahre)</v>
      </c>
      <c r="D26" s="963" t="str">
        <f>IF(G6="Deutsch","Inkl.","Inclusive")</f>
        <v>Inkl.</v>
      </c>
      <c r="E26" s="964"/>
    </row>
    <row r="27" spans="1:10" ht="11.25" customHeight="1" x14ac:dyDescent="0.3">
      <c r="A27" s="994"/>
      <c r="B27" s="950" t="str">
        <f>IF(G6="Deutsch","Optionen","Options")</f>
        <v>Optionen</v>
      </c>
      <c r="C27" s="958" t="str">
        <f>IF(G6="Deutsch","Behebung von Schäden von Außen (z.B. durch Blitzeinschlag)","Repair of external damages (e.g. by lightning strike)")</f>
        <v>Behebung von Schäden von Außen (z.B. durch Blitzeinschlag)</v>
      </c>
      <c r="D27" s="980" t="str">
        <f>IF(AND(VWmGKmR!R42=TRUE,G6="Deutsch"),"Inkl.",IF(AND(VWmGKmR!R42=TRUE,G6="Englisch"),"Inclusive","Option"&amp;CHAR(10)&amp;
"€ "&amp;TEXT(ROUND(VLOOKUP(Basisdaten!C32,Anlageninfo!G3:K35,5,FALSE),0),"#.###")))</f>
        <v>Option
€ 3.400</v>
      </c>
      <c r="E27" s="981"/>
    </row>
    <row r="28" spans="1:10" ht="11.25" customHeight="1" x14ac:dyDescent="0.3">
      <c r="A28" s="994"/>
      <c r="B28" s="978"/>
      <c r="C28" s="923"/>
      <c r="D28" s="982"/>
      <c r="E28" s="983"/>
    </row>
    <row r="29" spans="1:10" ht="11.25" customHeight="1" x14ac:dyDescent="0.3">
      <c r="A29" s="994"/>
      <c r="B29" s="978"/>
      <c r="C29" s="958" t="str">
        <f>IF(G6="Deutsch","Wiederkehrende Prüfungen Maschine und Turm","Periodic inspection of machine and tower")</f>
        <v>Wiederkehrende Prüfungen Maschine und Turm</v>
      </c>
      <c r="D29" s="980" t="str">
        <f>IF(AND(VWmGKmR!R46=TRUE,G6="Deutsch"),"Inkl.",IF(AND(VWmGKmR!R46=TRUE,G6="Englisch"),"Inclusive","Option"&amp;CHAR(10)&amp;
"€ "&amp;TEXT(ROUND(VLOOKUP(Basisdaten!C32,'Externe Leistungen'!C5:K38,8,FALSE)/4*1.2+12,0),"#.###")))</f>
        <v>Option
€ 350</v>
      </c>
      <c r="E29" s="981"/>
    </row>
    <row r="30" spans="1:10" ht="11.25" customHeight="1" x14ac:dyDescent="0.3">
      <c r="A30" s="994"/>
      <c r="B30" s="978"/>
      <c r="C30" s="923"/>
      <c r="D30" s="982"/>
      <c r="E30" s="983"/>
    </row>
    <row r="31" spans="1:10" ht="11.25" customHeight="1" x14ac:dyDescent="0.3">
      <c r="A31" s="994"/>
      <c r="B31" s="978"/>
      <c r="C31" s="958" t="str">
        <f>IF(G6="Deutsch","Wartung Befahranlge (großer Wartungstyp nach Herstellervorgaben)","Full maintenance of service lift according to the manufacturer's specification")</f>
        <v>Wartung Befahranlge (großer Wartungstyp nach Herstellervorgaben)</v>
      </c>
      <c r="D31" s="980" t="str">
        <f>IF(AND(VWmGKmR!R44=TRUE,G6="Deutsch"),"Inkl.",IF(AND(VWmGKmR!R44=TRUE,G6="Englisch"),"Inclusive","Option"&amp;CHAR(10)&amp;
"€ "&amp;TEXT(ROUND(VLOOKUP(Basisdaten!C32,'Externe Leistungen'!C5:K38,4,FALSE)*1.2,0),"#.###")))</f>
        <v>Option
€ 1.260</v>
      </c>
      <c r="E31" s="981"/>
    </row>
    <row r="32" spans="1:10" ht="11.25" customHeight="1" x14ac:dyDescent="0.3">
      <c r="A32" s="994"/>
      <c r="B32" s="978"/>
      <c r="C32" s="923"/>
      <c r="D32" s="982"/>
      <c r="E32" s="983"/>
    </row>
    <row r="33" spans="1:5" ht="11.25" customHeight="1" x14ac:dyDescent="0.3">
      <c r="A33" s="994"/>
      <c r="B33" s="978"/>
      <c r="C33" s="922" t="str">
        <f>IF(G6="Deutsch","Prüfung der elektrischen Betriebsmittel nach DIN IEC 60364/DGUV V3 (jährliche Kosten)","Inspection of electrical equipment according to DIN IEC 60364/DGUV V3 (yearly costs)")</f>
        <v>Prüfung der elektrischen Betriebsmittel nach DIN IEC 60364/DGUV V3 (jährliche Kosten)</v>
      </c>
      <c r="D33" s="980" t="s">
        <v>479</v>
      </c>
      <c r="E33" s="981"/>
    </row>
    <row r="34" spans="1:5" ht="11.25" customHeight="1" x14ac:dyDescent="0.3">
      <c r="A34" s="994"/>
      <c r="B34" s="978"/>
      <c r="C34" s="923"/>
      <c r="D34" s="982"/>
      <c r="E34" s="983"/>
    </row>
    <row r="35" spans="1:5" ht="11.25" customHeight="1" x14ac:dyDescent="0.3">
      <c r="A35" s="994"/>
      <c r="B35" s="978"/>
      <c r="C35" s="958" t="str">
        <f>IF(G6="Deutsch","Sachkundigenprüfung der Sicherheitseinrichtungen (Aufstieg, Feuerlöscher, PSA etc.) ohne Austausch &amp; Instandsetzung","Expert inspection of safety devices (ascent, fire extinguisher, PSA, etc.) without exchange &amp; maintenance")</f>
        <v>Sachkundigenprüfung der Sicherheitseinrichtungen (Aufstieg, Feuerlöscher, PSA etc.) ohne Austausch &amp; Instandsetzung</v>
      </c>
      <c r="D35" s="980" t="str">
        <f>IF(AND(VWmGKmR!R43=TRUE,G6="Deutsch"),"Inkl.",IF(AND(VWmGKmR!R43=TRUE,G6="Englisch"),"Inclusive","Option"&amp;CHAR(10)&amp;
"€ "&amp;TEXT(ROUND(VLOOKUP(Basisdaten!C32,'Externe Leistungen'!C5:K38,6,FALSE)*1.2,0),"#.###")))</f>
        <v>Option
€ 720</v>
      </c>
      <c r="E35" s="981"/>
    </row>
    <row r="36" spans="1:5" ht="11.25" customHeight="1" x14ac:dyDescent="0.3">
      <c r="A36" s="994"/>
      <c r="B36" s="978"/>
      <c r="C36" s="922"/>
      <c r="D36" s="982"/>
      <c r="E36" s="983"/>
    </row>
    <row r="37" spans="1:5" ht="11.25" customHeight="1" x14ac:dyDescent="0.3">
      <c r="A37" s="994"/>
      <c r="B37" s="978"/>
      <c r="C37" s="958" t="str">
        <f>IF(G6="Deutsch","Sachkundigenprüfung der Sicherheitseinrichtungen (Aufstieg, Feuerlöscher, PSA etc.) ohne Austausch &amp; Instandsetzung mit Wartung Befahranlage","Expert inspection of safety devices (ascent, fire extinguisher, PSA, etc.) without exchange &amp; maintenance with maintenance of service lift")</f>
        <v>Sachkundigenprüfung der Sicherheitseinrichtungen (Aufstieg, Feuerlöscher, PSA etc.) ohne Austausch &amp; Instandsetzung mit Wartung Befahranlage</v>
      </c>
      <c r="D37" s="980" t="str">
        <f>IF(AND(VWmGKmR!R43=TRUE,VWmGKmR!R44=TRUE,G6="Deutsch"),"Inkl.",IF(AND(VWmGKmR!R43=TRUE,VWmGKmR!R44=TRUE,G6="Englisch"),"Inclusive","Option"&amp;CHAR(10)&amp;
"€ "&amp;TEXT(ROUND(1600,0),"#.###")))</f>
        <v>Option
€ 1.600</v>
      </c>
      <c r="E37" s="981"/>
    </row>
    <row r="38" spans="1:5" ht="11.25" customHeight="1" x14ac:dyDescent="0.3">
      <c r="A38" s="994"/>
      <c r="B38" s="978"/>
      <c r="C38" s="923"/>
      <c r="D38" s="982"/>
      <c r="E38" s="983"/>
    </row>
    <row r="39" spans="1:5" ht="11.25" customHeight="1" x14ac:dyDescent="0.3">
      <c r="A39" s="994"/>
      <c r="B39" s="978"/>
      <c r="C39" s="958" t="str">
        <f>IF(G6="Deutsch","Sachkundigenprüfung der Sicherheitseinrichtungen (Aufstieg, Feuerlöscher, PSA etc.) mit Austausch &amp; Instandsetzung mit Wartung Befahranlage","Expert inspection of safety devices (ascent, fire extinguisher, PSA, etc.) with exchange &amp; maintenance with maintenance of service lift")</f>
        <v>Sachkundigenprüfung der Sicherheitseinrichtungen (Aufstieg, Feuerlöscher, PSA etc.) mit Austausch &amp; Instandsetzung mit Wartung Befahranlage</v>
      </c>
      <c r="D39" s="965" t="str">
        <f>IF(AND(VWmGKmR!R43=TRUE,VWmGKmR!S43=TRUE,VWmGKmR!R44=TRUE,G6="Deutsch"),"Inkl.",IF(AND(VWmGKmR!R43=TRUE,VWmGKmR!S43=TRUE,VWmGKmR!R44=TRUE,G6="Englisch"),"Inclusive","Option"&amp;CHAR(10)&amp;
"€ "&amp;TEXT(ROUND(2500,0),"#.###")))</f>
        <v>Option
€ 2.500</v>
      </c>
      <c r="E39" s="966"/>
    </row>
    <row r="40" spans="1:5" ht="11.25" customHeight="1" x14ac:dyDescent="0.3">
      <c r="A40" s="995"/>
      <c r="B40" s="978"/>
      <c r="C40" s="923"/>
      <c r="D40" s="986"/>
      <c r="E40" s="987"/>
    </row>
    <row r="41" spans="1:5" ht="11.25" customHeight="1" x14ac:dyDescent="0.3">
      <c r="A41" s="995"/>
      <c r="B41" s="978"/>
      <c r="C41" s="958" t="str">
        <f>IF(G6="Deutsch","Sachkundigenprüfung der Sicherheitseinrichtungen (Aufstieg, Feuerlöscher, PSA etc.) und DGUV V3 Prüfung mit Austausch &amp; Instandsetzung mit Wartung Befahranlage","Expert inspection of safety devices (ascent, fire extinguisher, PSA, etc.) and DGUV V3 inspection with exchange &amp; maintenance with maintenance of service lift")</f>
        <v>Sachkundigenprüfung der Sicherheitseinrichtungen (Aufstieg, Feuerlöscher, PSA etc.) und DGUV V3 Prüfung mit Austausch &amp; Instandsetzung mit Wartung Befahranlage</v>
      </c>
      <c r="D41" s="965" t="str">
        <f>IF(AND(VWmGKmR!R43=TRUE,VWmGKmR!R44=TRUE,VWmGKmR!R45=TRUE,G6="Deutsch"),"Inkl.",IF(AND(VWmGKmR!R43=TRUE,VWmGKmR!R44=TRUE,VWmGKmR!R45=TRUE,G6="Englisch"),"Inclusive","Option"&amp;CHAR(10)&amp;
"€ "&amp;TEXT(ROUND(2860,0),"#.###")))</f>
        <v>Option
€ 2.860</v>
      </c>
      <c r="E41" s="966"/>
    </row>
    <row r="42" spans="1:5" ht="11.25" customHeight="1" thickBot="1" x14ac:dyDescent="0.35">
      <c r="A42" s="996"/>
      <c r="B42" s="979"/>
      <c r="C42" s="959"/>
      <c r="D42" s="967"/>
      <c r="E42" s="968"/>
    </row>
    <row r="43" spans="1:5" ht="5.25" customHeight="1" thickBot="1" x14ac:dyDescent="0.35">
      <c r="C43" s="360"/>
      <c r="D43" s="275"/>
      <c r="E43" s="275"/>
    </row>
    <row r="44" spans="1:5" ht="48" customHeight="1" x14ac:dyDescent="0.3">
      <c r="A44" s="903" t="str">
        <f>IF(G6="Deutsch","Ertragsoptimierung","Yield optimisation")</f>
        <v>Ertragsoptimierung</v>
      </c>
      <c r="B44" s="276" t="str">
        <f>IF(G6="Deutsch","Online Zugang","Pnline access")</f>
        <v>Online Zugang</v>
      </c>
      <c r="C44" s="401" t="str">
        <f>IF(G6="Deutsch","Nachrüstung einer für einen Online-Zugang notwendigen Hardware (falls nicht vorhanden) um die Reaktionszeiten auf Störungen zu reduzieren."&amp;" Gleichzeitig Aufbau einer redundanten Kommunikation zum Windpark um Kommunikationsausfälle zu verhindern. Voraussetzung ist eine DSL (light) oder vergleichbare Mobilfunkanbindung seitens des Kunden.","Installation of hardware for online access and monitoring (if not yet provided) in order to reduce the reaction time in case of malfunction."&amp;" Concurrent connection set-up within the wind farm to prevent communications failure. DSL, DSL light or similar mobile comunication required and to be provided by the Client.")</f>
        <v>Nachrüstung einer für einen Online-Zugang notwendigen Hardware (falls nicht vorhanden) um die Reaktionszeiten auf Störungen zu reduzieren. Gleichzeitig Aufbau einer redundanten Kommunikation zum Windpark um Kommunikationsausfälle zu verhindern. Voraussetzung ist eine DSL (light) oder vergleichbare Mobilfunkanbindung seitens des Kunden.</v>
      </c>
      <c r="D44" s="969" t="str">
        <f>IF(G6="Deutsch","Inkl.","Inclusive")</f>
        <v>Inkl.</v>
      </c>
      <c r="E44" s="970"/>
    </row>
    <row r="45" spans="1:5" ht="33" customHeight="1" thickBot="1" x14ac:dyDescent="0.35">
      <c r="A45" s="905"/>
      <c r="B45" s="277" t="str">
        <f>IF(G6="Deutsch","Systemcheck &amp; Standortoptimierung","System check &amp; site optimisation")</f>
        <v>Systemcheck &amp; Standortoptimierung</v>
      </c>
      <c r="C45" s="361" t="str">
        <f>IF(G6="Deutsch","Überprüfung der Parameter und der historischen Daten, um Fehleinstellungen, die zu Ertragseinbußen führen, zu detektiern und diese zu beseitigen. Im zweiten Schritt Anpassung der Parameter an den Standort, die zur Ertragssteigerung führen können.","Detection and correction of inappropriate settings, which cause yield losses, according to local site specific conditions.")</f>
        <v>Überprüfung der Parameter und der historischen Daten, um Fehleinstellungen, die zu Ertragseinbußen führen, zu detektiern und diese zu beseitigen. Im zweiten Schritt Anpassung der Parameter an den Standort, die zur Ertragssteigerung führen können.</v>
      </c>
      <c r="D45" s="971" t="str">
        <f>IF(G6="Deutsch","Inkl.","Inclusive")</f>
        <v>Inkl.</v>
      </c>
      <c r="E45" s="972"/>
    </row>
    <row r="46" spans="1:5" ht="6" customHeight="1" thickBot="1" x14ac:dyDescent="0.35">
      <c r="C46" s="360"/>
      <c r="D46" s="275"/>
      <c r="E46" s="275"/>
    </row>
    <row r="47" spans="1:5" ht="12.75" customHeight="1" x14ac:dyDescent="0.3">
      <c r="A47" s="973" t="str">
        <f>IF(G6="Deutsch","Vertragsdetails","Contract details")</f>
        <v>Vertragsdetails</v>
      </c>
      <c r="B47" s="316" t="str">
        <f>IF(G6="Deutsch","Vorzeitige Kündigung/Ausstieg","Early termination/ withdrawal")</f>
        <v>Vorzeitige Kündigung/Ausstieg</v>
      </c>
      <c r="C47" s="358" t="str">
        <f>IF(G6="Deutsch","Individuell zu klären","To be negotiated individually")</f>
        <v>Individuell zu klären</v>
      </c>
      <c r="D47" s="969" t="str">
        <f>IF(G6="Deutsch","Inkl.","Inclusive")</f>
        <v>Inkl.</v>
      </c>
      <c r="E47" s="970"/>
    </row>
    <row r="48" spans="1:5" ht="12.75" customHeight="1" x14ac:dyDescent="0.3">
      <c r="A48" s="974"/>
      <c r="B48" s="317" t="str">
        <f>IF(G6="Deutsch","Gewährleistung","Warranty")</f>
        <v>Gewährleistung</v>
      </c>
      <c r="C48" s="278" t="str">
        <f>IF(G6="Deutsch","24 Monate, maximal 3 Monate nach Beendigung des Vertrags","24 month, max. 3 month after termination of contract")</f>
        <v>24 Monate, maximal 3 Monate nach Beendigung des Vertrags</v>
      </c>
      <c r="D48" s="963" t="str">
        <f>IF(G6="Deutsch","Inkl.","Inclusive")</f>
        <v>Inkl.</v>
      </c>
      <c r="E48" s="964"/>
    </row>
    <row r="49" spans="1:5" ht="12.75" customHeight="1" x14ac:dyDescent="0.3">
      <c r="A49" s="974"/>
      <c r="B49" s="317" t="str">
        <f>IF(G6="Deutsch","Malus gem. Verfügbarkeitsgarantie","Malus according to availability")</f>
        <v>Malus gem. Verfügbarkeitsgarantie</v>
      </c>
      <c r="C49" s="278" t="str">
        <f>IF(G6="Deutsch","Ja","Yes")</f>
        <v>Ja</v>
      </c>
      <c r="D49" s="963" t="str">
        <f>IF(G6="Deutsch","Inkl.","Inclusive")</f>
        <v>Inkl.</v>
      </c>
      <c r="E49" s="964"/>
    </row>
    <row r="50" spans="1:5" ht="18" customHeight="1" x14ac:dyDescent="0.3">
      <c r="A50" s="974"/>
      <c r="B50" s="976" t="str">
        <f>IF(G6="Deutsch","Haftung","Liability")</f>
        <v>Haftung</v>
      </c>
      <c r="C50" s="278" t="str">
        <f>IF(G6="Deutsch","Maximal pro Jahr (exkl. Verfügbarkeitspönale), wenn nicht über Betriebshaftpflicht abgedeckt","Max. per year (excluding contractual penalty for the availabilty), if not covered by public liability")</f>
        <v>Maximal pro Jahr (exkl. Verfügbarkeitspönale), wenn nicht über Betriebshaftpflicht abgedeckt</v>
      </c>
      <c r="D50" s="963" t="str">
        <f>IF(G6="Deutsch","unbegrenzt","unlimited")</f>
        <v>unbegrenzt</v>
      </c>
      <c r="E50" s="964"/>
    </row>
    <row r="51" spans="1:5" ht="12.75" customHeight="1" thickBot="1" x14ac:dyDescent="0.35">
      <c r="A51" s="975"/>
      <c r="B51" s="977"/>
      <c r="C51" s="359" t="str">
        <f>IF(G6="Deutsch","Verfügbarkeitsgarantie, maximal pro Jahr","Contractual penalty for the availability, max. for a year")</f>
        <v>Verfügbarkeitsgarantie, maximal pro Jahr</v>
      </c>
      <c r="D51" s="963" t="str">
        <f>IF(G6="Deutsch","unbegrenzt","unlimited")</f>
        <v>unbegrenzt</v>
      </c>
      <c r="E51" s="964"/>
    </row>
    <row r="52" spans="1:5" ht="6" customHeight="1" thickBot="1" x14ac:dyDescent="0.35">
      <c r="D52" s="125"/>
    </row>
    <row r="53" spans="1:5" ht="16.5" customHeight="1" x14ac:dyDescent="0.3">
      <c r="A53" s="952" t="str">
        <f>IF(G6="Deutsch","Bedingungen:","Conditions:")</f>
        <v>Bedingungen:</v>
      </c>
      <c r="B53" s="953"/>
      <c r="C53" s="953"/>
      <c r="D53" s="953"/>
      <c r="E53" s="954"/>
    </row>
    <row r="54" spans="1:5" ht="12" customHeight="1" x14ac:dyDescent="0.3">
      <c r="A54" s="955"/>
      <c r="B54" s="956"/>
      <c r="C54" s="956"/>
      <c r="D54" s="956"/>
      <c r="E54" s="957"/>
    </row>
    <row r="55" spans="1:5" ht="12" customHeight="1" x14ac:dyDescent="0.3">
      <c r="A55" s="955" t="s">
        <v>480</v>
      </c>
      <c r="B55" s="956"/>
      <c r="C55" s="956"/>
      <c r="D55" s="956"/>
      <c r="E55" s="957"/>
    </row>
    <row r="56" spans="1:5" ht="12" customHeight="1" x14ac:dyDescent="0.3">
      <c r="A56" s="955"/>
      <c r="B56" s="956"/>
      <c r="C56" s="956"/>
      <c r="D56" s="956"/>
      <c r="E56" s="957"/>
    </row>
    <row r="57" spans="1:5" ht="12" customHeight="1" thickBot="1" x14ac:dyDescent="0.35">
      <c r="A57" s="960"/>
      <c r="B57" s="961"/>
      <c r="C57" s="961"/>
      <c r="D57" s="961"/>
      <c r="E57" s="962"/>
    </row>
    <row r="58" spans="1:5" ht="4.5" customHeight="1" x14ac:dyDescent="0.3">
      <c r="A58" s="354"/>
      <c r="B58" s="354"/>
      <c r="C58" s="354"/>
      <c r="D58" s="354"/>
      <c r="E58" s="354"/>
    </row>
    <row r="59" spans="1:5" ht="7.5" customHeight="1" x14ac:dyDescent="0.3"/>
    <row r="61" spans="1:5" ht="31.8" x14ac:dyDescent="0.3">
      <c r="A61" s="928" t="str">
        <f>IF(G6="Deutsch","Gültig bis: 31.06.2018","Valid until: 31.06.2018")</f>
        <v>Gültig bis: 31.06.2018</v>
      </c>
      <c r="B61" s="928"/>
      <c r="C61" s="666" t="str">
        <f>IF(G6="Deutsch","Erstellt durch Jörg Fuchs"&amp;CHAR(10)&amp;"Tel. 0541-380538-401 oder 0175-5695604"&amp;CHAR(10)&amp;"j.fuchs@deutsche-windtechnik.com","Prepared by Jörg Fuchs"&amp;CHAR(10)&amp;"Tel. 0541-380538-401 or 0175-5695604"&amp;CHAR(10)&amp;"j.fuchs@deutsche-windtechnik.com")</f>
        <v>Erstellt durch Jörg Fuchs
Tel. 0541-380538-401 oder 0175-5695604
j.fuchs@deutsche-windtechnik.com</v>
      </c>
      <c r="D61" s="988" t="str">
        <f>IF(G6="Deutsch","Seite 1","Page 1")</f>
        <v>Seite 1</v>
      </c>
      <c r="E61" s="988"/>
    </row>
  </sheetData>
  <mergeCells count="57">
    <mergeCell ref="A1:B1"/>
    <mergeCell ref="A61:B61"/>
    <mergeCell ref="D61:E61"/>
    <mergeCell ref="F14:J24"/>
    <mergeCell ref="D3:E4"/>
    <mergeCell ref="A13:A42"/>
    <mergeCell ref="B13:B14"/>
    <mergeCell ref="D13:E14"/>
    <mergeCell ref="D15:E15"/>
    <mergeCell ref="D16:E16"/>
    <mergeCell ref="D17:E17"/>
    <mergeCell ref="A3:C3"/>
    <mergeCell ref="A4:C4"/>
    <mergeCell ref="A6:A11"/>
    <mergeCell ref="B6:B11"/>
    <mergeCell ref="B22:B26"/>
    <mergeCell ref="C31:C32"/>
    <mergeCell ref="D31:E32"/>
    <mergeCell ref="C39:C40"/>
    <mergeCell ref="D39:E40"/>
    <mergeCell ref="C35:C36"/>
    <mergeCell ref="C37:C38"/>
    <mergeCell ref="D35:E36"/>
    <mergeCell ref="D37:E38"/>
    <mergeCell ref="D33:E34"/>
    <mergeCell ref="D18:E18"/>
    <mergeCell ref="D19:E19"/>
    <mergeCell ref="D20:E20"/>
    <mergeCell ref="D21:E21"/>
    <mergeCell ref="D29:E30"/>
    <mergeCell ref="D22:E22"/>
    <mergeCell ref="D23:E23"/>
    <mergeCell ref="D24:E24"/>
    <mergeCell ref="D25:E25"/>
    <mergeCell ref="D26:E26"/>
    <mergeCell ref="A57:E57"/>
    <mergeCell ref="D51:E51"/>
    <mergeCell ref="D41:E42"/>
    <mergeCell ref="A44:A45"/>
    <mergeCell ref="D44:E44"/>
    <mergeCell ref="D45:E45"/>
    <mergeCell ref="A47:A51"/>
    <mergeCell ref="D47:E47"/>
    <mergeCell ref="D48:E48"/>
    <mergeCell ref="D49:E49"/>
    <mergeCell ref="B50:B51"/>
    <mergeCell ref="D50:E50"/>
    <mergeCell ref="B27:B42"/>
    <mergeCell ref="C27:C28"/>
    <mergeCell ref="D27:E28"/>
    <mergeCell ref="C29:C30"/>
    <mergeCell ref="A53:E53"/>
    <mergeCell ref="A54:E54"/>
    <mergeCell ref="A55:E55"/>
    <mergeCell ref="A56:E56"/>
    <mergeCell ref="C33:C34"/>
    <mergeCell ref="C41:C42"/>
  </mergeCells>
  <pageMargins left="0.51181102362204722" right="0.51181102362204722" top="0.19685039370078741" bottom="0.19685039370078741" header="0.31496062992125984" footer="0.31496062992125984"/>
  <pageSetup paperSize="9" orientation="portrait" r:id="rId1"/>
  <ignoredErrors>
    <ignoredError sqref="D2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DieseArbeitsmappe.Zeilen_ausblenden">
                <anchor moveWithCells="1" sizeWithCells="1">
                  <from>
                    <xdr:col>5</xdr:col>
                    <xdr:colOff>7620</xdr:colOff>
                    <xdr:row>1</xdr:row>
                    <xdr:rowOff>7620</xdr:rowOff>
                  </from>
                  <to>
                    <xdr:col>6</xdr:col>
                    <xdr:colOff>762000</xdr:colOff>
                    <xdr:row>3</xdr:row>
                    <xdr:rowOff>121920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C00-000000000000}">
          <x14:formula1>
            <xm:f>'Premium+ fest'!$K$3:$K$4</xm:f>
          </x14:formula1>
          <xm:sqref>G6</xm:sqref>
        </x14:dataValidation>
        <x14:dataValidation type="list" allowBlank="1" showInputMessage="1" showErrorMessage="1" xr:uid="{00000000-0002-0000-0C00-000001000000}">
          <x14:formula1>
            <xm:f>'Premium+ fest'!$K$5:$K$13</xm:f>
          </x14:formula1>
          <xm:sqref>G7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4"/>
  <dimension ref="A1:K60"/>
  <sheetViews>
    <sheetView view="pageLayout" zoomScale="140" zoomScaleNormal="100" zoomScalePageLayoutView="140" workbookViewId="0">
      <selection sqref="A1:B1"/>
    </sheetView>
  </sheetViews>
  <sheetFormatPr baseColWidth="10" defaultColWidth="11.44140625" defaultRowHeight="14.4" x14ac:dyDescent="0.3"/>
  <cols>
    <col min="1" max="1" width="4.6640625" style="331" customWidth="1"/>
    <col min="2" max="2" width="19.109375" style="331" customWidth="1"/>
    <col min="3" max="3" width="53.44140625" style="331" customWidth="1"/>
    <col min="4" max="4" width="10" style="331" customWidth="1"/>
    <col min="5" max="5" width="12.88671875" style="331" customWidth="1"/>
    <col min="6" max="6" width="12.6640625" style="331" customWidth="1"/>
    <col min="7" max="16384" width="11.44140625" style="331"/>
  </cols>
  <sheetData>
    <row r="1" spans="1:11" ht="33.75" customHeight="1" x14ac:dyDescent="0.3">
      <c r="A1" s="926"/>
      <c r="B1" s="927"/>
      <c r="C1" s="664" t="str">
        <f ca="1">IF(F4="Deutsch","Stand: "&amp;TEXT(TODAY(),"TT.MM.JJJJ"),"State: "&amp;TEXT(TODAY(),"TT.MM.JJJJ"))</f>
        <v>State: 12.04.2018</v>
      </c>
      <c r="D1" s="665"/>
    </row>
    <row r="2" spans="1:11" ht="4.5" customHeight="1" thickBot="1" x14ac:dyDescent="0.35">
      <c r="D2" s="332"/>
    </row>
    <row r="3" spans="1:11" ht="18.75" customHeight="1" x14ac:dyDescent="0.3">
      <c r="A3" s="937" t="str">
        <f>IF(F4="Deutsch","Vollwartungsvertrag WP "&amp;Basisdaten!C13&amp;" ( "&amp;Basisdaten!C17&amp;" x "&amp;Basisdaten!C31&amp;" "&amp;Basisdaten!C32&amp;" NH "&amp;Basisdaten!C35&amp;" m)","Maintenance contract WF "&amp;Basisdaten!C13&amp;" ("&amp;Basisdaten!C17&amp;" x "&amp;Basisdaten!C31&amp;" "&amp;Basisdaten!C32&amp;" HH "&amp;Basisdaten!C35&amp;" m)")</f>
        <v>Maintenance contract WF Remlingen (6 x Nordex N117/2400 HH 140 m)</v>
      </c>
      <c r="B3" s="938"/>
      <c r="C3" s="939"/>
      <c r="D3" s="940"/>
      <c r="K3" s="331" t="s">
        <v>380</v>
      </c>
    </row>
    <row r="4" spans="1:11" ht="15.75" customHeight="1" thickBot="1" x14ac:dyDescent="0.35">
      <c r="A4" s="942" t="str">
        <f>IF(F4="Deutsch","mit Großkomponenten und mit Rotor - Laufzeit  "&amp;VWoGK!D23&amp;" Jahre - feste Vergütung","Main components and rotor included - contract period  "&amp;VWoGK!D23&amp;" years - fixed remuneration")</f>
        <v>Main components and rotor included - contract period  14 years - fixed remuneration</v>
      </c>
      <c r="B4" s="943"/>
      <c r="C4" s="944"/>
      <c r="D4" s="941"/>
      <c r="E4" s="331" t="s">
        <v>382</v>
      </c>
      <c r="F4" s="13" t="s">
        <v>381</v>
      </c>
      <c r="K4" s="331" t="s">
        <v>381</v>
      </c>
    </row>
    <row r="5" spans="1:11" ht="8.25" customHeight="1" thickBot="1" x14ac:dyDescent="0.35">
      <c r="D5" s="332"/>
      <c r="K5" s="375">
        <v>0.95</v>
      </c>
    </row>
    <row r="6" spans="1:11" ht="16.5" customHeight="1" x14ac:dyDescent="0.3">
      <c r="A6" s="930" t="str">
        <f>IF(F4="Deutsch", "Preise", "Prices")</f>
        <v>Prices</v>
      </c>
      <c r="B6" s="934" t="str">
        <f>IF(F4="Deutsch","Preise für den weiter unten beschriebenen Leistungsumfang pro WEA und Jahr","Prices for the scope of service as described below for WEC/a")</f>
        <v>Prices for the scope of service as described below for WEC/a</v>
      </c>
      <c r="C6" s="333" t="str">
        <f>IF(F4="Deutsch","Betriebsjahr "&amp;VWmGKmR!B30&amp;"-"&amp;VWmGKmR!C30, "Years of operation "&amp;VWmGKmR!B30&amp;"-"&amp;VWmGKmR!C30)</f>
        <v>Years of operation 7-9</v>
      </c>
      <c r="D6" s="334">
        <f>VWmGKmRmSB!E30</f>
        <v>0</v>
      </c>
      <c r="E6" s="13" t="s">
        <v>48</v>
      </c>
      <c r="F6" s="331" t="s">
        <v>410</v>
      </c>
      <c r="K6" s="375">
        <v>0.96</v>
      </c>
    </row>
    <row r="7" spans="1:11" ht="16.5" customHeight="1" x14ac:dyDescent="0.3">
      <c r="A7" s="931"/>
      <c r="B7" s="906"/>
      <c r="C7" s="335" t="str">
        <f>IF(F4="Deutsch","Betriebsjahr "&amp;VWmGKmR!B31&amp;"-"&amp;VWmGKmR!C31, "Years of operation "&amp;VWmGKmR!B31&amp;"-"&amp;VWmGKmR!C31)</f>
        <v>Years of operation 10-12</v>
      </c>
      <c r="D7" s="336">
        <f>VWmGKmRmSB!E31</f>
        <v>0</v>
      </c>
      <c r="K7" s="375">
        <v>0.97</v>
      </c>
    </row>
    <row r="8" spans="1:11" x14ac:dyDescent="0.3">
      <c r="A8" s="931"/>
      <c r="B8" s="906"/>
      <c r="C8" s="335" t="str">
        <f>IF(F4="Deutsch","Betriebsjahr "&amp;VWmGKmR!B32&amp;"-"&amp;VWmGKmR!C32,"Years of operation "&amp;VWmGKmR!B32&amp;"-"&amp;VWmGKmR!C32)</f>
        <v>Years of operation 13-15</v>
      </c>
      <c r="D8" s="336">
        <f>VWmGKmRmSB!E32</f>
        <v>0</v>
      </c>
      <c r="E8" s="125" t="s">
        <v>419</v>
      </c>
      <c r="F8" s="386"/>
      <c r="G8" s="386"/>
      <c r="H8" s="386"/>
      <c r="I8" s="386"/>
      <c r="K8" s="375">
        <v>0.98</v>
      </c>
    </row>
    <row r="9" spans="1:11" ht="15" thickBot="1" x14ac:dyDescent="0.35">
      <c r="A9" s="931"/>
      <c r="B9" s="906"/>
      <c r="C9" s="335" t="str">
        <f>IF(F4="Deutsch","Betriebsjahr "&amp;VWmGKmR!B33&amp;"-"&amp;VWmGKmR!C33,"Years of operation "&amp;VWmGKmR!B33&amp;"-"&amp;VWmGKmR!C33)</f>
        <v>Years of operation 16-18</v>
      </c>
      <c r="D9" s="336">
        <f>VWmGKmRmSB!E33</f>
        <v>0</v>
      </c>
      <c r="E9" s="929" t="s">
        <v>420</v>
      </c>
      <c r="F9" s="929"/>
      <c r="G9" s="929"/>
      <c r="H9" s="929"/>
      <c r="I9" s="929"/>
    </row>
    <row r="10" spans="1:11" ht="15" hidden="1" thickBot="1" x14ac:dyDescent="0.35">
      <c r="A10" s="932"/>
      <c r="B10" s="945"/>
      <c r="C10" s="335" t="str">
        <f>IF(F4="Deutsch","Betriebsjahr "&amp;VWmGKmR!B34&amp;"-"&amp;VWmGKmR!C34,"Years of operation "&amp;VWmGKmR!B34&amp;"-"&amp;VWmGKmR!C34)</f>
        <v>Years of operation 19-20</v>
      </c>
      <c r="D10" s="336">
        <f>VWmGKmRmSB!E34</f>
        <v>0</v>
      </c>
      <c r="E10" s="929"/>
      <c r="F10" s="929"/>
      <c r="G10" s="929"/>
      <c r="H10" s="929"/>
      <c r="I10" s="929"/>
    </row>
    <row r="11" spans="1:11" ht="15" hidden="1" thickBot="1" x14ac:dyDescent="0.35">
      <c r="A11" s="933"/>
      <c r="B11" s="945"/>
      <c r="C11" s="335" t="str">
        <f>IF(F4="Deutsch","Betriebsjahr "&amp;VWmGKmR!B35&amp;"-"&amp;VWmGKmR!C35,"Years of operation "&amp;VWmGKmR!B35&amp;"-"&amp;VWmGKmR!C35)</f>
        <v>Years of operation -</v>
      </c>
      <c r="D11" s="394">
        <f>VWmGKmRmSB!E35</f>
        <v>0</v>
      </c>
      <c r="E11" s="929"/>
      <c r="F11" s="929"/>
      <c r="G11" s="929"/>
      <c r="H11" s="929"/>
      <c r="I11" s="929"/>
    </row>
    <row r="12" spans="1:11" ht="7.5" customHeight="1" thickBot="1" x14ac:dyDescent="0.35">
      <c r="A12" s="338"/>
      <c r="B12" s="339"/>
      <c r="C12" s="339"/>
      <c r="D12" s="340"/>
      <c r="E12" s="929"/>
      <c r="F12" s="929"/>
      <c r="G12" s="929"/>
      <c r="H12" s="929"/>
      <c r="I12" s="929"/>
      <c r="K12" s="13" t="s">
        <v>409</v>
      </c>
    </row>
    <row r="13" spans="1:11" ht="12.75" customHeight="1" x14ac:dyDescent="0.3">
      <c r="A13" s="930" t="str">
        <f>IF(F4="Deutsch","Service &amp; Instandsetzung","Service &amp; Maintenance")</f>
        <v>Service &amp; Maintenance</v>
      </c>
      <c r="B13" s="934" t="str">
        <f>IF(F4="Deutsch","Wartung","Maintenance")</f>
        <v>Maintenance</v>
      </c>
      <c r="C13" s="356" t="str">
        <f>IF(AND(VWmGKmR!D11="3.XM",F4="Deutsch"),"Jahres- und Halbjahreswartung, 2-, 3-, 4-, 5-, 6- und 10-Jahreswartung sowie Umrichterwartung",IF(AND(VWmGKmR!D11="3.XM",F4="Englisch"),"Yearly, half-yearly, 2-,3-, 4-, 5-, 6- and 10-yearly maintenance including converter maintenance",IF(AND(VWmGKmR!D11&lt;&gt;"3.XM",F4="Deutsch",Basisdaten!C37="Gittermast"),"Jahres- und Halbjahreswartung sowie Umrichterwartung und Gittermastwartung",IF(AND(VWmGKmR!D11&lt;&gt;"3.XM",F4="Deutsch",Basisdaten!C37&lt;&gt;"Gittermast"),"Jahres- und Halbjahreswartung sowie Umrichterwartung",IF(AND(VWmGKmR!D11&lt;&gt;"3.XM",F4="Englisch",Basisdaten!C37="Gittermast"),"Yearly, half-yearly maintenance including converter maintenance and lattice tower maintenance","Yearly, half-yearly maintenance including converter maintenance")))))</f>
        <v>Yearly, half-yearly maintenance including converter maintenance</v>
      </c>
      <c r="D13" s="935" t="str">
        <f>IF(F$4="Deutsch","Inkl.","Inclusive")</f>
        <v>Inclusive</v>
      </c>
      <c r="E13" s="929"/>
      <c r="F13" s="929"/>
      <c r="G13" s="929"/>
      <c r="H13" s="929"/>
      <c r="I13" s="929"/>
      <c r="K13" s="13" t="s">
        <v>410</v>
      </c>
    </row>
    <row r="14" spans="1:11" ht="12.75" customHeight="1" x14ac:dyDescent="0.3">
      <c r="A14" s="931"/>
      <c r="B14" s="906"/>
      <c r="C14" s="343" t="str">
        <f>IF(F4="Deutsch","Serviceberichte und Wartungsprotokolle","Service and maintenance reports")</f>
        <v>Service and maintenance reports</v>
      </c>
      <c r="D14" s="936"/>
      <c r="E14" s="929"/>
      <c r="F14" s="929"/>
      <c r="G14" s="929"/>
      <c r="H14" s="929"/>
      <c r="I14" s="929"/>
    </row>
    <row r="15" spans="1:11" ht="12.75" customHeight="1" x14ac:dyDescent="0.3">
      <c r="A15" s="931"/>
      <c r="B15" s="387" t="str">
        <f>IF(F4="Deutsch","Verbrauchsmaterialien","Expendable materials")</f>
        <v>Expendable materials</v>
      </c>
      <c r="C15" s="343" t="str">
        <f>IF(F4="Deutsch","Filter, Fette, Öle Schmierstoffanalysen","Filter, lubricants, oil, lubricant analysis")</f>
        <v>Filter, lubricants, oil, lubricant analysis</v>
      </c>
      <c r="D15" s="391" t="str">
        <f t="shared" ref="D15:D26" si="0">IF(F$4="Deutsch","Inkl.","Inclusive")</f>
        <v>Inclusive</v>
      </c>
      <c r="E15" s="929"/>
      <c r="F15" s="929"/>
      <c r="G15" s="929"/>
      <c r="H15" s="929"/>
      <c r="I15" s="929"/>
    </row>
    <row r="16" spans="1:11" ht="18" customHeight="1" x14ac:dyDescent="0.3">
      <c r="A16" s="931"/>
      <c r="B16" s="387" t="str">
        <f>IF(F4="Deutsch","24/7 Fernüberwachung","24/7 remote monitoring")</f>
        <v>24/7 remote monitoring</v>
      </c>
      <c r="C16" s="343" t="str">
        <f>IF(F4="Deutsch","24/7 Fernüberwachung inkl. Fehlerdiagnose und Behebung aus der Ferne (wenn möglich)","24/7 remote monitoring including diagnostics and correction of defects via remote control (if possible)")</f>
        <v>24/7 remote monitoring including diagnostics and correction of defects via remote control (if possible)</v>
      </c>
      <c r="D16" s="391" t="str">
        <f t="shared" si="0"/>
        <v>Inclusive</v>
      </c>
      <c r="E16" s="929"/>
      <c r="F16" s="929"/>
      <c r="G16" s="929"/>
      <c r="H16" s="929"/>
      <c r="I16" s="929"/>
    </row>
    <row r="17" spans="1:9" ht="12" customHeight="1" x14ac:dyDescent="0.3">
      <c r="A17" s="931"/>
      <c r="B17" s="387" t="str">
        <f>IF(F4="Deutsch","Instandsetzung - Arbeitsleistung","Repairs - work performance")</f>
        <v>Repairs - work performance</v>
      </c>
      <c r="C17" s="343" t="str">
        <f>IF(F4="Deutsch","Instandsetzung vor Ort, wenn Behebung aus der Ferne nicht möglich","Any repairs and services on the turbine if fault clearance is not possible by remote control")</f>
        <v>Any repairs and services on the turbine if fault clearance is not possible by remote control</v>
      </c>
      <c r="D17" s="391" t="str">
        <f t="shared" si="0"/>
        <v>Inclusive</v>
      </c>
      <c r="E17" s="929"/>
      <c r="F17" s="929"/>
      <c r="G17" s="929"/>
      <c r="H17" s="929"/>
      <c r="I17" s="929"/>
    </row>
    <row r="18" spans="1:9" ht="12.75" customHeight="1" x14ac:dyDescent="0.3">
      <c r="A18" s="931"/>
      <c r="B18" s="387" t="str">
        <f>IF(F4="Deutsch","Instandsetzung - Arbeitsleistung","Repairs - spare parts")</f>
        <v>Repairs - spare parts</v>
      </c>
      <c r="C18" s="343" t="str">
        <f>IF(F4="Deutsch","Lieferung von allen Ersatzteilen, inkl. Hauptkomponenten","Supply of spare parts, including main components")</f>
        <v>Supply of spare parts, including main components</v>
      </c>
      <c r="D18" s="391" t="str">
        <f t="shared" si="0"/>
        <v>Inclusive</v>
      </c>
      <c r="E18" s="929"/>
      <c r="F18" s="929"/>
      <c r="G18" s="929"/>
      <c r="H18" s="929"/>
      <c r="I18" s="929"/>
    </row>
    <row r="19" spans="1:9" ht="18" customHeight="1" x14ac:dyDescent="0.3">
      <c r="A19" s="931"/>
      <c r="B19" s="387" t="str">
        <f>IF(F4="Deutsch","Hauptkomponenten","Large components")</f>
        <v>Large components</v>
      </c>
      <c r="C19" s="343" t="str">
        <f>IF(F4="Deutsch","Maschinenbruch und Verschleiß von allen Hauptkomponenten inkl. Kran, Transport und Dienstleistung","Mechanical breakdown and wear of all main components, including crane, transportation and service")</f>
        <v>Mechanical breakdown and wear of all main components, including crane, transportation and service</v>
      </c>
      <c r="D19" s="391" t="str">
        <f t="shared" si="0"/>
        <v>Inclusive</v>
      </c>
      <c r="E19" s="929"/>
      <c r="F19" s="929"/>
      <c r="G19" s="929"/>
      <c r="H19" s="929"/>
      <c r="I19" s="929"/>
    </row>
    <row r="20" spans="1:9" ht="20.25" customHeight="1" x14ac:dyDescent="0.3">
      <c r="A20" s="931"/>
      <c r="B20" s="387" t="str">
        <f>IF(F4="Deutsch","Spezialwerkzeug", "Special tools")</f>
        <v>Special tools</v>
      </c>
      <c r="C20" s="343" t="str">
        <f>IF(F4="Deutsch","Spezialwerkzeug zum Austausch von Hauptkomponenten (z.B. Traverse zum Tauschen von Getrieben ohne Rotordemontage)","Special tools for exchanging main componentes for example traverse for exchanging a gearbox without dismantling of the rotor")</f>
        <v>Special tools for exchanging main componentes for example traverse for exchanging a gearbox without dismantling of the rotor</v>
      </c>
      <c r="D20" s="391" t="str">
        <f t="shared" si="0"/>
        <v>Inclusive</v>
      </c>
    </row>
    <row r="21" spans="1:9" ht="12.6" customHeight="1" x14ac:dyDescent="0.3">
      <c r="A21" s="931"/>
      <c r="B21" s="387" t="str">
        <f>IF(F4="Deutsch","Verfügbarkeitsgarantie","Guarantee of availability")</f>
        <v>Guarantee of availability</v>
      </c>
      <c r="C21" s="343" t="str">
        <f>IF(F4="Deutsch","Garantierte technische Parkverfügbarkeit ab Vertragsbeginn bis Vertragsende","Guaranteed technical farm availability upon commencement until the end of the contract")</f>
        <v>Guaranteed technical farm availability upon commencement until the end of the contract</v>
      </c>
      <c r="D21" s="376" t="str">
        <f>F6</f>
        <v>see conditions</v>
      </c>
    </row>
    <row r="22" spans="1:9" ht="12.75" customHeight="1" x14ac:dyDescent="0.3">
      <c r="A22" s="931"/>
      <c r="B22" s="906" t="str">
        <f>IF(F4="Deutsch","Zusätzlliche vorbeugende Wartung","Additional preventing maintenance")</f>
        <v>Additional preventing maintenance</v>
      </c>
      <c r="C22" s="343" t="str">
        <f>IF(F4="Deutsch","Wartung der Trafostationen (jährlich)","Maintenance of a transformer station (annual)")</f>
        <v>Maintenance of a transformer station (annual)</v>
      </c>
      <c r="D22" s="391" t="str">
        <f t="shared" si="0"/>
        <v>Inclusive</v>
      </c>
    </row>
    <row r="23" spans="1:9" ht="12.75" hidden="1" customHeight="1" x14ac:dyDescent="0.3">
      <c r="A23" s="931"/>
      <c r="B23" s="906"/>
      <c r="C23" s="343" t="str">
        <f>IF(F4="Deutsch","Zweijahreswartung und Fünfjahreswartung (Zusatzwartung alle 2 bzw. 5 Jahre)","Two-year and five-year maintenance (additional maintenance every 2/5 years)")</f>
        <v>Two-year and five-year maintenance (additional maintenance every 2/5 years)</v>
      </c>
      <c r="D23" s="391" t="str">
        <f t="shared" si="0"/>
        <v>Inclusive</v>
      </c>
    </row>
    <row r="24" spans="1:9" ht="12.75" customHeight="1" x14ac:dyDescent="0.3">
      <c r="A24" s="931"/>
      <c r="B24" s="906"/>
      <c r="C24" s="343" t="str">
        <f>IF(F4="Deutsch","Getriebeölwechsel, zustandsorientiert","Oil exchange for gear box , condition based")</f>
        <v>Oil exchange for gear box , condition based</v>
      </c>
      <c r="D24" s="391" t="str">
        <f t="shared" si="0"/>
        <v>Inclusive</v>
      </c>
    </row>
    <row r="25" spans="1:9" ht="12.75" customHeight="1" x14ac:dyDescent="0.3">
      <c r="A25" s="931"/>
      <c r="B25" s="906"/>
      <c r="C25" s="343" t="str">
        <f>IF(F4="Deutsch","Getriebevideoendoskopie (jährlich)","Annual video endoscopic inspection of the gearbox")</f>
        <v>Annual video endoscopic inspection of the gearbox</v>
      </c>
      <c r="D25" s="391" t="str">
        <f t="shared" si="0"/>
        <v>Inclusive</v>
      </c>
    </row>
    <row r="26" spans="1:9" ht="20.25" customHeight="1" x14ac:dyDescent="0.3">
      <c r="A26" s="931"/>
      <c r="B26" s="906"/>
      <c r="C26" s="343" t="str">
        <f>IF(F4="Deutsch","Rotorblattinspektion (innen und außen), inkl. Erdungsmessung mit Seiltechnik (alle zwei Jahre)","Inspection of rotor blades (internal- und external inspection) incl. earth measurement, by rope access, every 2 years")</f>
        <v>Inspection of rotor blades (internal- und external inspection) incl. earth measurement, by rope access, every 2 years</v>
      </c>
      <c r="D26" s="391" t="str">
        <f t="shared" si="0"/>
        <v>Inclusive</v>
      </c>
    </row>
    <row r="27" spans="1:9" ht="12.75" customHeight="1" x14ac:dyDescent="0.3">
      <c r="A27" s="931"/>
      <c r="B27" s="945" t="str">
        <f>IF(F4="Deutsch","Optionen","Options")</f>
        <v>Options</v>
      </c>
      <c r="C27" s="917" t="str">
        <f>IF(F4="Deutsch","Behebung von Schäden von Außen (z.B. durch Blitzeinschlag)","Repair of external damages (e.g. by lightning strike)")</f>
        <v>Repair of external damages (e.g. by lightning strike)</v>
      </c>
      <c r="D27" s="924" t="str">
        <f>IF(AND(VWmGKmR!R42=TRUE,F4="Deutsch"),"Inkl.",IF(AND(VWmGKmR!R42=TRUE,F4="Englisch"),"Inclusive","Option"&amp;CHAR(10)&amp;
"€ "&amp;TEXT(ROUND(VLOOKUP(Basisdaten!C32,Anlageninfo!G3:K35,5,FALSE),0),"#.###")))</f>
        <v>Option
€ 3.400</v>
      </c>
    </row>
    <row r="28" spans="1:9" ht="12.75" customHeight="1" x14ac:dyDescent="0.3">
      <c r="A28" s="931"/>
      <c r="B28" s="948"/>
      <c r="C28" s="918"/>
      <c r="D28" s="920"/>
    </row>
    <row r="29" spans="1:9" ht="12.75" customHeight="1" x14ac:dyDescent="0.3">
      <c r="A29" s="931"/>
      <c r="B29" s="948"/>
      <c r="C29" s="917" t="str">
        <f>IF(F4="Deutsch","Wiederkehrende Prüfungen Maschine und Turm","Periodic inspection of machine and tower")</f>
        <v>Periodic inspection of machine and tower</v>
      </c>
      <c r="D29" s="924" t="str">
        <f>IF(AND(VWmGKmR!R46=TRUE,F4="Deutsch"),"Inkl.",IF(AND(VWmGKmR!R46=TRUE,F4="Englisch"),"Inclusive","Option"&amp;CHAR(10)&amp;
"€ "&amp;TEXT(ROUND(VLOOKUP(Basisdaten!C32,'Externe Leistungen'!C5:K38,8,FALSE)/4*1.2,0),"#.###")))</f>
        <v>Option
€ 338</v>
      </c>
    </row>
    <row r="30" spans="1:9" ht="12.75" customHeight="1" x14ac:dyDescent="0.3">
      <c r="A30" s="931"/>
      <c r="B30" s="948"/>
      <c r="C30" s="918"/>
      <c r="D30" s="920"/>
    </row>
    <row r="31" spans="1:9" ht="12.75" customHeight="1" x14ac:dyDescent="0.3">
      <c r="A31" s="931"/>
      <c r="B31" s="948"/>
      <c r="C31" s="917" t="str">
        <f>IF(F4="Deutsch","Wartung Befahranlage (großer Wartungstyp nach Herstellervorgaben)","Full maintenance of service lift according to the manufacturer's specification")</f>
        <v>Full maintenance of service lift according to the manufacturer's specification</v>
      </c>
      <c r="D31" s="924" t="str">
        <f>IF(AND(VWmGKmR!R44=TRUE,F4="Deutsch"),"Inkl.",IF(AND(VWmGKmR!R44=TRUE,F4="Englisch"),"Inclusive","Option"&amp;CHAR(10)&amp;
"€ "&amp;TEXT(ROUND(VLOOKUP(Basisdaten!C32,'Externe Leistungen'!C5:K38,4,FALSE)*1.2,0),"#.###")))</f>
        <v>Option
€ 1.260</v>
      </c>
    </row>
    <row r="32" spans="1:9" ht="12.75" customHeight="1" x14ac:dyDescent="0.3">
      <c r="A32" s="931"/>
      <c r="B32" s="948"/>
      <c r="C32" s="918"/>
      <c r="D32" s="920"/>
    </row>
    <row r="33" spans="1:4" ht="12.75" customHeight="1" x14ac:dyDescent="0.3">
      <c r="A33" s="931"/>
      <c r="B33" s="948"/>
      <c r="C33" s="922" t="str">
        <f>IF(F4="Deutsch","Prüfung der elektrischen Betriebsmittel nach DIN IEC 60364/DGUV V3 (jährliche Kosten)","Inspection of electrical equipment according to DIN IEC 60364/DGUV V3 (yearly costs)")</f>
        <v>Inspection of electrical equipment according to DIN IEC 60364/DGUV V3 (yearly costs)</v>
      </c>
      <c r="D33" s="924" t="s">
        <v>479</v>
      </c>
    </row>
    <row r="34" spans="1:4" ht="12.75" customHeight="1" x14ac:dyDescent="0.3">
      <c r="A34" s="931"/>
      <c r="B34" s="948"/>
      <c r="C34" s="923"/>
      <c r="D34" s="925"/>
    </row>
    <row r="35" spans="1:4" ht="12.75" customHeight="1" x14ac:dyDescent="0.3">
      <c r="A35" s="931"/>
      <c r="B35" s="948"/>
      <c r="C35" s="917" t="str">
        <f>IF(F4="Deutsch","Sachkundigenprüfung der Sicherheitseinrichtungen (Aufstieg, Feuerlöscher, PSA, etc.) ohne Austausch &amp; Instandsetzung","Expert inspection of safety devices (ascent, fire extinguisher, PSA, etc.) without exchange &amp; maintenance")</f>
        <v>Expert inspection of safety devices (ascent, fire extinguisher, PSA, etc.) without exchange &amp; maintenance</v>
      </c>
      <c r="D35" s="924" t="str">
        <f>IF(AND(VWmGKmR!R43=TRUE,F4="Deutsch"),"Inkl.",IF(AND(VWmGKmR!R43=TRUE,F4="Englisch"),"Inclusive","Option"&amp;CHAR(10)&amp;
"€ "&amp;TEXT(ROUND(VLOOKUP(Basisdaten!C32,'Externe Leistungen'!C5:K38,6,FALSE)*1.2,0),"#.###")))</f>
        <v>Option
€ 720</v>
      </c>
    </row>
    <row r="36" spans="1:4" ht="12.75" customHeight="1" x14ac:dyDescent="0.3">
      <c r="A36" s="931"/>
      <c r="B36" s="948"/>
      <c r="C36" s="918"/>
      <c r="D36" s="920"/>
    </row>
    <row r="37" spans="1:4" ht="12.75" customHeight="1" x14ac:dyDescent="0.3">
      <c r="A37" s="931"/>
      <c r="B37" s="948"/>
      <c r="C37" s="917" t="str">
        <f>IF(F4="Deutsch","Sachkundigenprüfung der Sicherheitseinrichtungen (Aufstieg, Feuerlöscher, PSA, etc.) ohne Austausch &amp; Instandsetzung mit Wartung Befahranlage","Expert inspection of safety devices (ascent, fire extinguisher, PSA, etc.) without exchange &amp; maintenance with maintenance of service lift")</f>
        <v>Expert inspection of safety devices (ascent, fire extinguisher, PSA, etc.) without exchange &amp; maintenance with maintenance of service lift</v>
      </c>
      <c r="D37" s="924" t="str">
        <f>IF(AND(VWmGKmR!R43=TRUE,VWmGKmR!R44=TRUE,F4="Deutsch"),"Inkl.",IF(AND(VWmGKmR!R43=TRUE,VWmGKmR!R44=TRUE,F4="Englisch"),"Inclusive","Option"&amp;CHAR(10)&amp;
"€ "&amp;TEXT(ROUND(1600,0),"#.###")))</f>
        <v>Option
€ 1.600</v>
      </c>
    </row>
    <row r="38" spans="1:4" ht="12.75" customHeight="1" x14ac:dyDescent="0.3">
      <c r="A38" s="931"/>
      <c r="B38" s="948"/>
      <c r="C38" s="918"/>
      <c r="D38" s="920"/>
    </row>
    <row r="39" spans="1:4" ht="12.75" customHeight="1" x14ac:dyDescent="0.3">
      <c r="A39" s="931"/>
      <c r="B39" s="948"/>
      <c r="C39" s="917" t="str">
        <f>IF(F4="Deutsch","Sachkundigenprüfung der Sicherheitseinrichtungen (Aufstieg, Feuerlöscher, PSA, etc.) mit Austausch &amp; Instandsetzung und Wartung Befahranlage","Expert inspection of safety devices (ascent, fire extinguisher, PSA, etc.) with exchange &amp; maintenance and maintenance of service lift")</f>
        <v>Expert inspection of safety devices (ascent, fire extinguisher, PSA, etc.) with exchange &amp; maintenance and maintenance of service lift</v>
      </c>
      <c r="D39" s="919" t="str">
        <f>IF(AND(VWmGKmR!R43=TRUE,VWmGKmR!S43=TRUE,VWmGKmR!R44=TRUE,F4="Deutsch"),"Inkl.",IF(AND(VWmGKmR!R43=TRUE,VWmGKmR!S43=TRUE,VWmGKmR!R44=TRUE,F4="Englisch"),"Inclusive","Option"&amp;CHAR(10)&amp;
"€ "&amp;TEXT(ROUND(2500,0),"#.###")))</f>
        <v>Option
€ 2.500</v>
      </c>
    </row>
    <row r="40" spans="1:4" ht="12.75" customHeight="1" x14ac:dyDescent="0.3">
      <c r="A40" s="932"/>
      <c r="B40" s="948"/>
      <c r="C40" s="918"/>
      <c r="D40" s="920"/>
    </row>
    <row r="41" spans="1:4" ht="12.75" customHeight="1" x14ac:dyDescent="0.3">
      <c r="A41" s="932"/>
      <c r="B41" s="948"/>
      <c r="C41" s="917" t="str">
        <f>IF(F4="Deutsch","Sachkundigenprüfung der Sicherheitseinrichtungen (Aufstieg, Feuerlöscher, PSA, etc.) und DGUV V3 Prüfung mit Austausch &amp; Instandsetzung und Wartung Befahranlage","Expert inspection of safety devices (ascent, fire extinguisher, PSA, etc.) and DGUV V3 inspection with exchange &amp; maintenance and maintenance of service lift")</f>
        <v>Expert inspection of safety devices (ascent, fire extinguisher, PSA, etc.) and DGUV V3 inspection with exchange &amp; maintenance and maintenance of service lift</v>
      </c>
      <c r="D41" s="919" t="str">
        <f>IF(AND(VWmGKmR!R43=TRUE,VWmGKmR!R44=TRUE,VWmGKmR!R45=TRUE,F4="Deutsch"),"Inkl.",IF(AND(VWmGKmR!R43=TRUE,VWmGKmR!R44=TRUE,VWmGKmR!R45=TRUE,F4="Englisch"),"Inclusive","Option"&amp;CHAR(10)&amp;
"€ "&amp;TEXT(ROUND(2860,0),"#.###")))</f>
        <v>Option
€ 2.860</v>
      </c>
    </row>
    <row r="42" spans="1:4" ht="12.75" customHeight="1" thickBot="1" x14ac:dyDescent="0.35">
      <c r="A42" s="933"/>
      <c r="B42" s="949"/>
      <c r="C42" s="946"/>
      <c r="D42" s="947"/>
    </row>
    <row r="43" spans="1:4" ht="7.5" customHeight="1" thickBot="1" x14ac:dyDescent="0.35">
      <c r="A43" s="344"/>
      <c r="B43" s="344"/>
      <c r="C43" s="344"/>
      <c r="D43" s="344"/>
    </row>
    <row r="44" spans="1:4" ht="39.75" customHeight="1" x14ac:dyDescent="0.3">
      <c r="A44" s="901" t="str">
        <f>IF(F4="Deutsch","Ertragsoptimierung","Yield optimisation")</f>
        <v>Yield optimisation</v>
      </c>
      <c r="B44" s="389" t="str">
        <f>IF(F4="Deutsch","Online Zugang","Online access")</f>
        <v>Online access</v>
      </c>
      <c r="C44" s="356" t="str">
        <f>IF(F4="Deutsch","Nachrüstung einer für einen Online-Zugang notwendigen Hardware (falls noch nicht vorhanden), um die Reaktionszeiten auf Störungen weiter zu reduzieren."&amp;" Gleichzeitig Aufbau einer redundanten Kommunikation zum Windpark, um Kommunikationsausfälle zu verhindern. Voraussetzung ist ein DSL, DSL light oder vergleichbare Mobilfunkanbindung seitens des Kunden.","Installation of hardware for online access and monitoring (if not yet provided) in order to reduce the reaction time in case of malfunction."&amp;" Concurrent connection set-up within the wind farm to prevent communications failure. DSL, DSL light or similar mobile comunication required and to be provided by the Client.")</f>
        <v>Installation of hardware for online access and monitoring (if not yet provided) in order to reduce the reaction time in case of malfunction. Concurrent connection set-up within the wind farm to prevent communications failure. DSL, DSL light or similar mobile comunication required and to be provided by the Client.</v>
      </c>
      <c r="D44" s="390" t="str">
        <f>IF(F$4="Deutsch","Inkl.","Inclusive")</f>
        <v>Inclusive</v>
      </c>
    </row>
    <row r="45" spans="1:4" ht="30.75" customHeight="1" thickBot="1" x14ac:dyDescent="0.35">
      <c r="A45" s="902"/>
      <c r="B45" s="388" t="str">
        <f>IF(F4="Deutsch","Systemcheck &amp; Standortoptimierung","System check &amp; site optimisation")</f>
        <v>System check &amp; site optimisation</v>
      </c>
      <c r="C45" s="357" t="str">
        <f>IF(F4="Deutsch","Überprüfung der Parameter und der historischen Daten, um Fehleinstellungen, die zu Ertragseinbußen führen, zu detektiern und diese zu beseitigen. Im zweiten Schritt Anpassung der Parameter an den Standort, die zur Ertragssteigerung führen können.","Detection and correction of inappropriate settings, which cause yield losses, according to local site specific conditions.")</f>
        <v>Detection and correction of inappropriate settings, which cause yield losses, according to local site specific conditions.</v>
      </c>
      <c r="D45" s="348" t="str">
        <f>IF(F$4="Deutsch","Inkl.","Inclusive")</f>
        <v>Inclusive</v>
      </c>
    </row>
    <row r="46" spans="1:4" ht="7.5" customHeight="1" thickBot="1" x14ac:dyDescent="0.35">
      <c r="A46" s="344"/>
      <c r="B46" s="344"/>
      <c r="C46" s="344"/>
      <c r="D46" s="344"/>
    </row>
    <row r="47" spans="1:4" ht="12" customHeight="1" x14ac:dyDescent="0.3">
      <c r="A47" s="903" t="str">
        <f>IF(F4="Deutsch","Vertragsdetails","Contract details")</f>
        <v>Contract details</v>
      </c>
      <c r="B47" s="389" t="str">
        <f>IF(F4="Deutsch","Vorzeitige Kündigung/Ausstieg","Early termination/ withdrawal")</f>
        <v>Early termination/ withdrawal</v>
      </c>
      <c r="C47" s="356" t="str">
        <f>IF(F4="Deutsch","Individuell zu klären","To be negotiated individually")</f>
        <v>To be negotiated individually</v>
      </c>
      <c r="D47" s="390" t="str">
        <f>IF(F$4="Deutsch","Inkl.","Inclusive")</f>
        <v>Inclusive</v>
      </c>
    </row>
    <row r="48" spans="1:4" ht="12.75" customHeight="1" x14ac:dyDescent="0.3">
      <c r="A48" s="904"/>
      <c r="B48" s="387" t="str">
        <f>IF(F4="Deutsch","Gewährleistung","Warranty")</f>
        <v>Warranty</v>
      </c>
      <c r="C48" s="343" t="str">
        <f>IF(F4="Deutsch","24 Monate, maximal 3 Monate nach Beendigung des Vertrags","24 month, max. 3 month after termination of contract")</f>
        <v>24 month, max. 3 month after termination of contract</v>
      </c>
      <c r="D48" s="391" t="str">
        <f>IF(F$4="Deutsch","Inkl.","Inclusive")</f>
        <v>Inclusive</v>
      </c>
    </row>
    <row r="49" spans="1:4" ht="12.75" customHeight="1" x14ac:dyDescent="0.3">
      <c r="A49" s="904"/>
      <c r="B49" s="387" t="str">
        <f>IF(F4="Deutsch","Malus gemäß Verfügbarkeitsgarantie","Malus according to availability")</f>
        <v>Malus according to availability</v>
      </c>
      <c r="C49" s="343" t="str">
        <f>IF(F4="Deutsch","Ja","Yes")</f>
        <v>Yes</v>
      </c>
      <c r="D49" s="391" t="str">
        <f>IF(F$4="Deutsch","Inkl.","Inclusive")</f>
        <v>Inclusive</v>
      </c>
    </row>
    <row r="50" spans="1:4" ht="13.2" customHeight="1" x14ac:dyDescent="0.3">
      <c r="A50" s="904"/>
      <c r="B50" s="906" t="str">
        <f>IF(F4="Deutsch","Haftung","Liability")</f>
        <v>Liability</v>
      </c>
      <c r="C50" s="343" t="str">
        <f>IF(F4="Deutsch","Maximal pro Jahr (exkl. Verfügbarkeitspönale), wenn nicht über Betriebshaftpflicht abgedeckt","Max. per year (excl. contractual penalty for the availabilty), if not covered by public liability")</f>
        <v>Max. per year (excl. contractual penalty for the availabilty), if not covered by public liability</v>
      </c>
      <c r="D50" s="391" t="str">
        <f>IF(F4="Deutsch","unbegrenzt","unlimited")</f>
        <v>unlimited</v>
      </c>
    </row>
    <row r="51" spans="1:4" ht="12.75" customHeight="1" thickBot="1" x14ac:dyDescent="0.35">
      <c r="A51" s="905"/>
      <c r="B51" s="907"/>
      <c r="C51" s="357" t="str">
        <f>IF(F4="Deutsch","Verfügbarkeitsgarantie, maximal pro Jahr","Contractual penalty for the availability, max. for a year")</f>
        <v>Contractual penalty for the availability, max. for a year</v>
      </c>
      <c r="D51" s="348" t="str">
        <f>IF(F4="Deutsch","unbegrenzt","unlimited")</f>
        <v>unlimited</v>
      </c>
    </row>
    <row r="52" spans="1:4" ht="7.5" customHeight="1" thickBot="1" x14ac:dyDescent="0.35">
      <c r="D52" s="332"/>
    </row>
    <row r="53" spans="1:4" ht="12" customHeight="1" x14ac:dyDescent="0.3">
      <c r="A53" s="908" t="str">
        <f>IF(F4="Deutsch","Bedingungen:","Conditions:")</f>
        <v>Conditions:</v>
      </c>
      <c r="B53" s="909"/>
      <c r="C53" s="909"/>
      <c r="D53" s="910"/>
    </row>
    <row r="54" spans="1:4" ht="12.75" customHeight="1" x14ac:dyDescent="0.3">
      <c r="A54" s="1008" t="s">
        <v>481</v>
      </c>
      <c r="B54" s="1009"/>
      <c r="C54" s="1009"/>
      <c r="D54" s="1010"/>
    </row>
    <row r="55" spans="1:4" ht="13.5" customHeight="1" x14ac:dyDescent="0.3">
      <c r="A55" s="1011"/>
      <c r="B55" s="1012"/>
      <c r="C55" s="1012"/>
      <c r="D55" s="1013"/>
    </row>
    <row r="56" spans="1:4" ht="16.5" customHeight="1" thickBot="1" x14ac:dyDescent="0.35">
      <c r="A56" s="1014"/>
      <c r="B56" s="1015"/>
      <c r="C56" s="1015"/>
      <c r="D56" s="1016"/>
    </row>
    <row r="57" spans="1:4" ht="4.5" customHeight="1" x14ac:dyDescent="0.3">
      <c r="A57" s="355"/>
      <c r="B57" s="355"/>
      <c r="C57" s="355"/>
      <c r="D57" s="355"/>
    </row>
    <row r="58" spans="1:4" x14ac:dyDescent="0.3">
      <c r="D58" s="332"/>
    </row>
    <row r="60" spans="1:4" ht="31.8" x14ac:dyDescent="0.3">
      <c r="A60" s="928" t="str">
        <f>IF(F1="Deutsch","Gültig bis: 31.06.2018","Valid until: 31.06.2018")</f>
        <v>Valid until: 31.06.2018</v>
      </c>
      <c r="B60" s="928"/>
      <c r="C60" s="666" t="str">
        <f>IF(F1="Deutsch","Erstellt durch Jörg Fuchs"&amp;CHAR(10)&amp;"Tel. 0541-380538-401 oder 0175-5695604"&amp;CHAR(10)&amp;"j.fuchs@deutsche-windtechnik.com","Prepared by Jörg Fuchs"&amp;CHAR(10)&amp;"Tel. 0541-380538-401 or 0175-5695604"&amp;CHAR(10)&amp;"j.fuchs@deutsche-windtechnik.com")</f>
        <v>Prepared by Jörg Fuchs
Tel. 0541-380538-401 or 0175-5695604
j.fuchs@deutsche-windtechnik.com</v>
      </c>
      <c r="D60" s="667" t="str">
        <f>IF(F1="Deutsch","Seite 1","Page 1")</f>
        <v>Page 1</v>
      </c>
    </row>
  </sheetData>
  <mergeCells count="34">
    <mergeCell ref="A1:B1"/>
    <mergeCell ref="A60:B60"/>
    <mergeCell ref="E9:I19"/>
    <mergeCell ref="A13:A42"/>
    <mergeCell ref="B13:B14"/>
    <mergeCell ref="D13:D14"/>
    <mergeCell ref="B22:B26"/>
    <mergeCell ref="D31:D32"/>
    <mergeCell ref="C35:C36"/>
    <mergeCell ref="D35:D36"/>
    <mergeCell ref="C37:C38"/>
    <mergeCell ref="C33:C34"/>
    <mergeCell ref="D33:D34"/>
    <mergeCell ref="A3:C3"/>
    <mergeCell ref="D3:D4"/>
    <mergeCell ref="A4:C4"/>
    <mergeCell ref="A6:A11"/>
    <mergeCell ref="B6:B11"/>
    <mergeCell ref="A47:A51"/>
    <mergeCell ref="B50:B51"/>
    <mergeCell ref="A53:D53"/>
    <mergeCell ref="A54:D56"/>
    <mergeCell ref="D37:D38"/>
    <mergeCell ref="C39:C40"/>
    <mergeCell ref="D39:D40"/>
    <mergeCell ref="C41:C42"/>
    <mergeCell ref="D41:D42"/>
    <mergeCell ref="A44:A45"/>
    <mergeCell ref="B27:B42"/>
    <mergeCell ref="C27:C28"/>
    <mergeCell ref="D27:D28"/>
    <mergeCell ref="C29:C30"/>
    <mergeCell ref="D29:D30"/>
    <mergeCell ref="C31:C32"/>
  </mergeCells>
  <dataValidations disablePrompts="1" count="2">
    <dataValidation type="list" allowBlank="1" showInputMessage="1" showErrorMessage="1" sqref="F6" xr:uid="{00000000-0002-0000-0D00-000000000000}">
      <formula1>$K$5:$K$13</formula1>
    </dataValidation>
    <dataValidation type="list" showInputMessage="1" showErrorMessage="1" sqref="F4" xr:uid="{00000000-0002-0000-0D00-000001000000}">
      <formula1>$K$3:$K$4</formula1>
    </dataValidation>
  </dataValidations>
  <pageMargins left="0.51181102362204722" right="0.51181102362204722" top="0.19685039370078741" bottom="0.19685039370078741"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DieseArbeitsmappe.Zeilen_ausblenden">
                <anchor moveWithCells="1">
                  <from>
                    <xdr:col>4</xdr:col>
                    <xdr:colOff>45720</xdr:colOff>
                    <xdr:row>1</xdr:row>
                    <xdr:rowOff>38100</xdr:rowOff>
                  </from>
                  <to>
                    <xdr:col>6</xdr:col>
                    <xdr:colOff>30480</xdr:colOff>
                    <xdr:row>3</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B2:V1350"/>
  <sheetViews>
    <sheetView topLeftCell="A1321" workbookViewId="0">
      <selection activeCell="L1354" sqref="L1354"/>
    </sheetView>
  </sheetViews>
  <sheetFormatPr baseColWidth="10" defaultColWidth="11.5546875" defaultRowHeight="14.4" x14ac:dyDescent="0.3"/>
  <cols>
    <col min="1" max="1" width="3.88671875" style="648" customWidth="1"/>
    <col min="2" max="2" width="20.109375" style="648" customWidth="1"/>
    <col min="3" max="3" width="11.5546875" style="648"/>
    <col min="4" max="4" width="12" style="648" customWidth="1"/>
    <col min="5" max="6" width="11.5546875" style="648"/>
    <col min="7" max="7" width="13.88671875" style="648" customWidth="1"/>
    <col min="8" max="8" width="14" style="648" customWidth="1"/>
    <col min="9" max="9" width="11.5546875" style="648"/>
    <col min="10" max="10" width="12.5546875" style="648" customWidth="1"/>
    <col min="11" max="11" width="5.6640625" style="648" customWidth="1"/>
    <col min="12" max="12" width="15.5546875" style="648" customWidth="1"/>
    <col min="13" max="13" width="19.44140625" style="648" customWidth="1"/>
    <col min="14" max="14" width="7" style="648" customWidth="1"/>
    <col min="15" max="15" width="5.44140625" style="648" customWidth="1"/>
    <col min="16" max="16" width="15.5546875" style="648" customWidth="1"/>
    <col min="17" max="17" width="19.44140625" style="648" customWidth="1"/>
    <col min="18" max="19" width="7" style="648" customWidth="1"/>
    <col min="20" max="20" width="15.5546875" style="648" customWidth="1"/>
    <col min="21" max="21" width="19.44140625" style="648" customWidth="1"/>
    <col min="22" max="22" width="7" style="648" customWidth="1"/>
    <col min="23" max="109" width="6" style="648" customWidth="1"/>
    <col min="110" max="110" width="7" style="648" customWidth="1"/>
    <col min="111" max="111" width="15.5546875" style="648" customWidth="1"/>
    <col min="112" max="112" width="12" style="648" customWidth="1"/>
    <col min="113" max="113" width="12.44140625" style="648" customWidth="1"/>
    <col min="114" max="114" width="6.33203125" style="648" customWidth="1"/>
    <col min="115" max="119" width="6" style="648" customWidth="1"/>
    <col min="120" max="120" width="12.44140625" style="648" customWidth="1"/>
    <col min="121" max="121" width="6.33203125" style="648" customWidth="1"/>
    <col min="122" max="122" width="12.44140625" style="648" customWidth="1"/>
    <col min="123" max="123" width="6.33203125" style="648" customWidth="1"/>
    <col min="124" max="124" width="12.44140625" style="648" customWidth="1"/>
    <col min="125" max="125" width="6.33203125" style="648" customWidth="1"/>
    <col min="126" max="126" width="12.44140625" style="648" customWidth="1"/>
    <col min="127" max="127" width="6.33203125" style="648" customWidth="1"/>
    <col min="128" max="128" width="12.44140625" style="648" customWidth="1"/>
    <col min="129" max="129" width="6.33203125" style="648" customWidth="1"/>
    <col min="130" max="130" width="12.44140625" style="648" customWidth="1"/>
    <col min="131" max="131" width="6.33203125" style="648" customWidth="1"/>
    <col min="132" max="132" width="6" style="648" customWidth="1"/>
    <col min="133" max="133" width="12" style="648" customWidth="1"/>
    <col min="134" max="135" width="6" style="648" customWidth="1"/>
    <col min="136" max="138" width="12" style="648" customWidth="1"/>
    <col min="139" max="141" width="6" style="648" customWidth="1"/>
    <col min="142" max="143" width="12" style="648" customWidth="1"/>
    <col min="144" max="144" width="12.44140625" style="648" bestFit="1" customWidth="1"/>
    <col min="145" max="154" width="6" style="648" customWidth="1"/>
    <col min="155" max="155" width="12" style="648" customWidth="1"/>
    <col min="156" max="159" width="6" style="648" customWidth="1"/>
    <col min="160" max="160" width="12" style="648" customWidth="1"/>
    <col min="161" max="165" width="6" style="648" customWidth="1"/>
    <col min="166" max="166" width="12" style="648" customWidth="1"/>
    <col min="167" max="167" width="15.5546875" style="648" customWidth="1"/>
    <col min="168" max="174" width="6" style="648" customWidth="1"/>
    <col min="175" max="175" width="12" style="648" bestFit="1" customWidth="1"/>
    <col min="176" max="179" width="6" style="648" customWidth="1"/>
    <col min="180" max="180" width="12" style="648" bestFit="1" customWidth="1"/>
    <col min="181" max="185" width="6" style="648" customWidth="1"/>
    <col min="186" max="186" width="12" style="648" bestFit="1" customWidth="1"/>
    <col min="187" max="187" width="15.5546875" style="648" bestFit="1" customWidth="1"/>
    <col min="188" max="16384" width="11.5546875" style="648"/>
  </cols>
  <sheetData>
    <row r="2" spans="2:22" ht="18" x14ac:dyDescent="0.35">
      <c r="B2" s="1018" t="s">
        <v>364</v>
      </c>
      <c r="C2" s="1018"/>
      <c r="D2" s="1018"/>
      <c r="E2" s="1018"/>
      <c r="F2" s="1018"/>
      <c r="H2" s="1017" t="s">
        <v>375</v>
      </c>
      <c r="I2" s="1017"/>
      <c r="J2" s="1017"/>
      <c r="L2" s="649" t="s">
        <v>334</v>
      </c>
      <c r="P2" s="649" t="s">
        <v>335</v>
      </c>
      <c r="T2" s="649" t="s">
        <v>363</v>
      </c>
    </row>
    <row r="4" spans="2:22" x14ac:dyDescent="0.3">
      <c r="B4" s="648" t="s">
        <v>251</v>
      </c>
      <c r="C4" s="648" t="s">
        <v>253</v>
      </c>
      <c r="D4" s="648" t="s">
        <v>154</v>
      </c>
      <c r="E4" s="648" t="s">
        <v>3</v>
      </c>
      <c r="F4" s="648" t="s">
        <v>305</v>
      </c>
      <c r="G4" s="648" t="s">
        <v>12</v>
      </c>
      <c r="H4" s="648" t="s">
        <v>250</v>
      </c>
      <c r="I4" s="648" t="s">
        <v>43</v>
      </c>
      <c r="J4" s="648" t="s">
        <v>252</v>
      </c>
      <c r="L4" s="650" t="s">
        <v>252</v>
      </c>
      <c r="M4" s="648" t="s">
        <v>280</v>
      </c>
      <c r="P4" s="650" t="s">
        <v>252</v>
      </c>
      <c r="Q4" s="648" t="s">
        <v>255</v>
      </c>
      <c r="T4" s="650" t="s">
        <v>252</v>
      </c>
      <c r="U4" s="648" t="s">
        <v>280</v>
      </c>
    </row>
    <row r="5" spans="2:22" x14ac:dyDescent="0.3">
      <c r="B5" s="648" t="s">
        <v>321</v>
      </c>
      <c r="C5" s="648">
        <v>2016</v>
      </c>
      <c r="D5" s="648" t="s">
        <v>53</v>
      </c>
      <c r="E5" s="648" t="s">
        <v>128</v>
      </c>
      <c r="F5" s="648" t="s">
        <v>307</v>
      </c>
      <c r="G5" s="648">
        <v>1</v>
      </c>
      <c r="H5" s="648">
        <v>10</v>
      </c>
      <c r="I5" s="648">
        <v>39500</v>
      </c>
      <c r="J5" s="648" t="s">
        <v>255</v>
      </c>
    </row>
    <row r="6" spans="2:22" x14ac:dyDescent="0.3">
      <c r="B6" s="648" t="s">
        <v>321</v>
      </c>
      <c r="C6" s="648">
        <v>2016</v>
      </c>
      <c r="D6" s="648" t="s">
        <v>53</v>
      </c>
      <c r="E6" s="648" t="s">
        <v>128</v>
      </c>
      <c r="F6" s="648" t="s">
        <v>307</v>
      </c>
      <c r="G6" s="648">
        <v>1</v>
      </c>
      <c r="H6" s="648">
        <v>11</v>
      </c>
      <c r="I6" s="648">
        <v>39500</v>
      </c>
      <c r="J6" s="648" t="s">
        <v>255</v>
      </c>
      <c r="L6" s="650" t="s">
        <v>250</v>
      </c>
      <c r="M6" s="648" t="s">
        <v>304</v>
      </c>
      <c r="N6" s="648" t="s">
        <v>336</v>
      </c>
      <c r="P6" s="650" t="s">
        <v>250</v>
      </c>
      <c r="Q6" s="648" t="s">
        <v>304</v>
      </c>
      <c r="R6" s="648" t="s">
        <v>336</v>
      </c>
      <c r="U6" s="648" t="s">
        <v>304</v>
      </c>
      <c r="V6" s="648" t="s">
        <v>336</v>
      </c>
    </row>
    <row r="7" spans="2:22" x14ac:dyDescent="0.3">
      <c r="B7" s="648" t="s">
        <v>321</v>
      </c>
      <c r="C7" s="648">
        <v>2016</v>
      </c>
      <c r="D7" s="648" t="s">
        <v>53</v>
      </c>
      <c r="E7" s="648" t="s">
        <v>128</v>
      </c>
      <c r="F7" s="648" t="s">
        <v>307</v>
      </c>
      <c r="G7" s="648">
        <v>1</v>
      </c>
      <c r="H7" s="648">
        <v>12</v>
      </c>
      <c r="I7" s="648">
        <v>39500</v>
      </c>
      <c r="J7" s="648" t="s">
        <v>255</v>
      </c>
      <c r="L7" s="651" t="s">
        <v>307</v>
      </c>
      <c r="M7" s="652"/>
      <c r="N7" s="653"/>
      <c r="P7" s="651" t="s">
        <v>308</v>
      </c>
      <c r="Q7" s="652"/>
      <c r="R7" s="653"/>
      <c r="S7" s="653"/>
      <c r="T7" s="651" t="s">
        <v>307</v>
      </c>
      <c r="U7" s="652"/>
      <c r="V7" s="653"/>
    </row>
    <row r="8" spans="2:22" x14ac:dyDescent="0.3">
      <c r="B8" s="648" t="s">
        <v>321</v>
      </c>
      <c r="C8" s="648">
        <v>2016</v>
      </c>
      <c r="D8" s="648" t="s">
        <v>53</v>
      </c>
      <c r="E8" s="648" t="s">
        <v>128</v>
      </c>
      <c r="F8" s="648" t="s">
        <v>307</v>
      </c>
      <c r="G8" s="648">
        <v>1</v>
      </c>
      <c r="H8" s="648">
        <v>13</v>
      </c>
      <c r="I8" s="648">
        <v>43500</v>
      </c>
      <c r="J8" s="648" t="s">
        <v>255</v>
      </c>
      <c r="L8" s="654">
        <v>8</v>
      </c>
      <c r="M8" s="652">
        <v>44650</v>
      </c>
      <c r="N8" s="653">
        <v>2</v>
      </c>
      <c r="P8" s="654">
        <v>1</v>
      </c>
      <c r="Q8" s="652">
        <v>33166.666666666664</v>
      </c>
      <c r="R8" s="653">
        <v>3</v>
      </c>
      <c r="S8" s="653"/>
      <c r="T8" s="654">
        <v>1</v>
      </c>
      <c r="U8" s="652">
        <v>47372.916666666664</v>
      </c>
      <c r="V8" s="653">
        <v>120</v>
      </c>
    </row>
    <row r="9" spans="2:22" x14ac:dyDescent="0.3">
      <c r="B9" s="648" t="s">
        <v>321</v>
      </c>
      <c r="C9" s="648">
        <v>2016</v>
      </c>
      <c r="D9" s="648" t="s">
        <v>53</v>
      </c>
      <c r="E9" s="648" t="s">
        <v>128</v>
      </c>
      <c r="F9" s="648" t="s">
        <v>307</v>
      </c>
      <c r="G9" s="648">
        <v>1</v>
      </c>
      <c r="H9" s="648">
        <v>14</v>
      </c>
      <c r="I9" s="648">
        <v>43500</v>
      </c>
      <c r="J9" s="648" t="s">
        <v>255</v>
      </c>
      <c r="L9" s="654">
        <v>9</v>
      </c>
      <c r="M9" s="652">
        <v>43266.666666666664</v>
      </c>
      <c r="N9" s="653">
        <v>3</v>
      </c>
      <c r="P9" s="654">
        <v>2</v>
      </c>
      <c r="Q9" s="652">
        <v>33166.666666666664</v>
      </c>
      <c r="R9" s="653">
        <v>3</v>
      </c>
      <c r="S9" s="653"/>
      <c r="T9" s="654">
        <v>2</v>
      </c>
      <c r="U9" s="652">
        <v>41596.610169491527</v>
      </c>
      <c r="V9" s="653">
        <v>59</v>
      </c>
    </row>
    <row r="10" spans="2:22" x14ac:dyDescent="0.3">
      <c r="B10" s="648" t="s">
        <v>321</v>
      </c>
      <c r="C10" s="648">
        <v>2016</v>
      </c>
      <c r="D10" s="648" t="s">
        <v>53</v>
      </c>
      <c r="E10" s="648" t="s">
        <v>128</v>
      </c>
      <c r="F10" s="648" t="s">
        <v>307</v>
      </c>
      <c r="G10" s="648">
        <v>1</v>
      </c>
      <c r="H10" s="648">
        <v>15</v>
      </c>
      <c r="I10" s="648">
        <v>43500</v>
      </c>
      <c r="J10" s="648" t="s">
        <v>255</v>
      </c>
      <c r="L10" s="654">
        <v>10</v>
      </c>
      <c r="M10" s="652">
        <v>42460</v>
      </c>
      <c r="N10" s="653">
        <v>5</v>
      </c>
      <c r="P10" s="654">
        <v>3</v>
      </c>
      <c r="Q10" s="652">
        <v>59750</v>
      </c>
      <c r="R10" s="653">
        <v>4</v>
      </c>
      <c r="S10" s="653"/>
      <c r="T10" s="654">
        <v>3</v>
      </c>
      <c r="U10" s="652">
        <v>45128.571428571428</v>
      </c>
      <c r="V10" s="653">
        <v>14</v>
      </c>
    </row>
    <row r="11" spans="2:22" x14ac:dyDescent="0.3">
      <c r="B11" s="648" t="s">
        <v>321</v>
      </c>
      <c r="C11" s="648">
        <v>2016</v>
      </c>
      <c r="D11" s="648" t="s">
        <v>53</v>
      </c>
      <c r="E11" s="648" t="s">
        <v>128</v>
      </c>
      <c r="F11" s="648" t="s">
        <v>307</v>
      </c>
      <c r="G11" s="648">
        <v>1</v>
      </c>
      <c r="H11" s="648">
        <v>16</v>
      </c>
      <c r="I11" s="648">
        <v>47500</v>
      </c>
      <c r="J11" s="648" t="s">
        <v>255</v>
      </c>
      <c r="L11" s="654">
        <v>11</v>
      </c>
      <c r="M11" s="652">
        <v>41180</v>
      </c>
      <c r="N11" s="653">
        <v>10</v>
      </c>
      <c r="P11" s="654">
        <v>4</v>
      </c>
      <c r="Q11" s="652">
        <v>59750</v>
      </c>
      <c r="R11" s="653">
        <v>4</v>
      </c>
      <c r="S11" s="653"/>
      <c r="T11" s="654">
        <v>4</v>
      </c>
      <c r="U11" s="652">
        <v>45097.916666666664</v>
      </c>
      <c r="V11" s="653">
        <v>48</v>
      </c>
    </row>
    <row r="12" spans="2:22" x14ac:dyDescent="0.3">
      <c r="B12" s="648" t="s">
        <v>321</v>
      </c>
      <c r="C12" s="648">
        <v>2016</v>
      </c>
      <c r="D12" s="648" t="s">
        <v>53</v>
      </c>
      <c r="E12" s="648" t="s">
        <v>128</v>
      </c>
      <c r="F12" s="648" t="s">
        <v>307</v>
      </c>
      <c r="G12" s="648">
        <v>1</v>
      </c>
      <c r="H12" s="648">
        <v>17</v>
      </c>
      <c r="I12" s="648">
        <v>47500</v>
      </c>
      <c r="J12" s="648" t="s">
        <v>255</v>
      </c>
      <c r="L12" s="654">
        <v>12</v>
      </c>
      <c r="M12" s="652">
        <v>41325</v>
      </c>
      <c r="N12" s="653">
        <v>12</v>
      </c>
      <c r="P12" s="654">
        <v>5</v>
      </c>
      <c r="Q12" s="652">
        <v>59750</v>
      </c>
      <c r="R12" s="653">
        <v>4</v>
      </c>
      <c r="S12" s="653"/>
      <c r="T12" s="654">
        <v>6</v>
      </c>
      <c r="U12" s="652">
        <v>44105.882352941175</v>
      </c>
      <c r="V12" s="653">
        <v>17</v>
      </c>
    </row>
    <row r="13" spans="2:22" x14ac:dyDescent="0.3">
      <c r="B13" s="648" t="s">
        <v>321</v>
      </c>
      <c r="C13" s="648">
        <v>2016</v>
      </c>
      <c r="D13" s="648" t="s">
        <v>53</v>
      </c>
      <c r="E13" s="648" t="s">
        <v>128</v>
      </c>
      <c r="F13" s="648" t="s">
        <v>307</v>
      </c>
      <c r="G13" s="648">
        <v>1</v>
      </c>
      <c r="H13" s="648">
        <v>18</v>
      </c>
      <c r="I13" s="648">
        <v>47500</v>
      </c>
      <c r="J13" s="648" t="s">
        <v>255</v>
      </c>
      <c r="L13" s="654">
        <v>13</v>
      </c>
      <c r="M13" s="652">
        <v>42516.666666666664</v>
      </c>
      <c r="N13" s="653">
        <v>24</v>
      </c>
      <c r="P13" s="654">
        <v>6</v>
      </c>
      <c r="Q13" s="652">
        <v>68750</v>
      </c>
      <c r="R13" s="653">
        <v>4</v>
      </c>
      <c r="S13" s="653"/>
      <c r="T13" s="654">
        <v>8</v>
      </c>
      <c r="U13" s="652">
        <v>44475</v>
      </c>
      <c r="V13" s="653">
        <v>8</v>
      </c>
    </row>
    <row r="14" spans="2:22" collapsed="1" x14ac:dyDescent="0.3">
      <c r="B14" s="648" t="s">
        <v>321</v>
      </c>
      <c r="C14" s="648">
        <v>2016</v>
      </c>
      <c r="D14" s="648" t="s">
        <v>53</v>
      </c>
      <c r="E14" s="648" t="s">
        <v>128</v>
      </c>
      <c r="F14" s="648" t="s">
        <v>307</v>
      </c>
      <c r="G14" s="648">
        <v>1</v>
      </c>
      <c r="H14" s="648">
        <v>19</v>
      </c>
      <c r="I14" s="648">
        <v>47500</v>
      </c>
      <c r="J14" s="648" t="s">
        <v>255</v>
      </c>
      <c r="L14" s="654">
        <v>14</v>
      </c>
      <c r="M14" s="652">
        <v>43036</v>
      </c>
      <c r="N14" s="653">
        <v>25</v>
      </c>
      <c r="P14" s="654">
        <v>7</v>
      </c>
      <c r="Q14" s="652">
        <v>68750</v>
      </c>
      <c r="R14" s="653">
        <v>4</v>
      </c>
      <c r="S14" s="653"/>
      <c r="T14" s="654">
        <v>12</v>
      </c>
      <c r="U14" s="652">
        <v>44475</v>
      </c>
      <c r="V14" s="653">
        <v>8</v>
      </c>
    </row>
    <row r="15" spans="2:22" x14ac:dyDescent="0.3">
      <c r="B15" s="648" t="s">
        <v>321</v>
      </c>
      <c r="C15" s="648">
        <v>2016</v>
      </c>
      <c r="D15" s="648" t="s">
        <v>53</v>
      </c>
      <c r="E15" s="648" t="s">
        <v>128</v>
      </c>
      <c r="F15" s="648" t="s">
        <v>307</v>
      </c>
      <c r="G15" s="648">
        <v>1</v>
      </c>
      <c r="H15" s="648">
        <v>20</v>
      </c>
      <c r="I15" s="648">
        <v>47500</v>
      </c>
      <c r="J15" s="648" t="s">
        <v>255</v>
      </c>
      <c r="L15" s="654">
        <v>15</v>
      </c>
      <c r="M15" s="652">
        <v>44690.625</v>
      </c>
      <c r="N15" s="653">
        <v>32</v>
      </c>
      <c r="P15" s="654">
        <v>8</v>
      </c>
      <c r="Q15" s="652">
        <v>68750</v>
      </c>
      <c r="R15" s="653">
        <v>4</v>
      </c>
      <c r="S15" s="653"/>
      <c r="T15" s="654">
        <v>16</v>
      </c>
      <c r="U15" s="652">
        <v>46133.333333333336</v>
      </c>
      <c r="V15" s="653">
        <v>6</v>
      </c>
    </row>
    <row r="16" spans="2:22" x14ac:dyDescent="0.3">
      <c r="B16" s="648" t="s">
        <v>279</v>
      </c>
      <c r="C16" s="648">
        <v>2016</v>
      </c>
      <c r="D16" s="648" t="s">
        <v>53</v>
      </c>
      <c r="E16" s="648" t="s">
        <v>57</v>
      </c>
      <c r="F16" s="648" t="s">
        <v>57</v>
      </c>
      <c r="G16" s="648">
        <v>1</v>
      </c>
      <c r="H16" s="648">
        <v>20</v>
      </c>
      <c r="I16" s="648">
        <v>39800</v>
      </c>
      <c r="J16" s="648" t="s">
        <v>280</v>
      </c>
      <c r="L16" s="654">
        <v>16</v>
      </c>
      <c r="M16" s="652">
        <v>45657.352941176468</v>
      </c>
      <c r="N16" s="653">
        <v>34</v>
      </c>
      <c r="P16" s="654">
        <v>9</v>
      </c>
      <c r="Q16" s="652">
        <v>68750</v>
      </c>
      <c r="R16" s="653">
        <v>4</v>
      </c>
      <c r="S16" s="653"/>
      <c r="T16" s="651" t="s">
        <v>310</v>
      </c>
      <c r="U16" s="652">
        <v>45263.035714285717</v>
      </c>
      <c r="V16" s="653">
        <v>280</v>
      </c>
    </row>
    <row r="17" spans="2:22" x14ac:dyDescent="0.3">
      <c r="B17" s="648" t="s">
        <v>279</v>
      </c>
      <c r="C17" s="648">
        <v>2016</v>
      </c>
      <c r="D17" s="648" t="s">
        <v>53</v>
      </c>
      <c r="E17" s="648" t="s">
        <v>57</v>
      </c>
      <c r="F17" s="648" t="s">
        <v>57</v>
      </c>
      <c r="G17" s="648">
        <v>1</v>
      </c>
      <c r="H17" s="648">
        <v>16</v>
      </c>
      <c r="I17" s="648">
        <v>39800</v>
      </c>
      <c r="J17" s="648" t="s">
        <v>280</v>
      </c>
      <c r="L17" s="654">
        <v>17</v>
      </c>
      <c r="M17" s="652">
        <v>46883.823529411762</v>
      </c>
      <c r="N17" s="653">
        <v>34</v>
      </c>
      <c r="P17" s="654">
        <v>10</v>
      </c>
      <c r="Q17" s="652">
        <v>71000</v>
      </c>
      <c r="R17" s="653">
        <v>4</v>
      </c>
      <c r="S17" s="653"/>
      <c r="T17" s="651" t="s">
        <v>300</v>
      </c>
      <c r="U17" s="652">
        <v>45263.035714285717</v>
      </c>
      <c r="V17" s="653">
        <v>280</v>
      </c>
    </row>
    <row r="18" spans="2:22" x14ac:dyDescent="0.3">
      <c r="B18" s="648" t="s">
        <v>279</v>
      </c>
      <c r="C18" s="648">
        <v>2016</v>
      </c>
      <c r="D18" s="648" t="s">
        <v>53</v>
      </c>
      <c r="E18" s="648" t="s">
        <v>57</v>
      </c>
      <c r="F18" s="648" t="s">
        <v>57</v>
      </c>
      <c r="G18" s="648">
        <v>1</v>
      </c>
      <c r="H18" s="648">
        <v>17</v>
      </c>
      <c r="I18" s="648">
        <v>39800</v>
      </c>
      <c r="J18" s="648" t="s">
        <v>280</v>
      </c>
      <c r="L18" s="654">
        <v>18</v>
      </c>
      <c r="M18" s="652">
        <v>46886.36363636364</v>
      </c>
      <c r="N18" s="653">
        <v>33</v>
      </c>
      <c r="P18" s="654">
        <v>11</v>
      </c>
      <c r="Q18" s="652">
        <v>80750</v>
      </c>
      <c r="R18" s="653">
        <v>4</v>
      </c>
      <c r="S18" s="653"/>
    </row>
    <row r="19" spans="2:22" x14ac:dyDescent="0.3">
      <c r="B19" s="648" t="s">
        <v>279</v>
      </c>
      <c r="C19" s="648">
        <v>2016</v>
      </c>
      <c r="D19" s="648" t="s">
        <v>53</v>
      </c>
      <c r="E19" s="648" t="s">
        <v>57</v>
      </c>
      <c r="F19" s="648" t="s">
        <v>57</v>
      </c>
      <c r="G19" s="648">
        <v>1</v>
      </c>
      <c r="H19" s="648">
        <v>18</v>
      </c>
      <c r="I19" s="648">
        <v>39800</v>
      </c>
      <c r="J19" s="648" t="s">
        <v>280</v>
      </c>
      <c r="L19" s="654">
        <v>19</v>
      </c>
      <c r="M19" s="652">
        <v>47189.393939393936</v>
      </c>
      <c r="N19" s="653">
        <v>33</v>
      </c>
      <c r="P19" s="654">
        <v>12</v>
      </c>
      <c r="Q19" s="652">
        <v>80750</v>
      </c>
      <c r="R19" s="653">
        <v>4</v>
      </c>
      <c r="S19" s="653"/>
    </row>
    <row r="20" spans="2:22" x14ac:dyDescent="0.3">
      <c r="B20" s="648" t="s">
        <v>279</v>
      </c>
      <c r="C20" s="648">
        <v>2016</v>
      </c>
      <c r="D20" s="648" t="s">
        <v>53</v>
      </c>
      <c r="E20" s="648" t="s">
        <v>57</v>
      </c>
      <c r="F20" s="648" t="s">
        <v>57</v>
      </c>
      <c r="G20" s="648">
        <v>1</v>
      </c>
      <c r="H20" s="648">
        <v>19</v>
      </c>
      <c r="I20" s="648">
        <v>39800</v>
      </c>
      <c r="J20" s="648" t="s">
        <v>280</v>
      </c>
      <c r="L20" s="654">
        <v>20</v>
      </c>
      <c r="M20" s="652">
        <v>47189.393939393936</v>
      </c>
      <c r="N20" s="653">
        <v>33</v>
      </c>
      <c r="P20" s="654">
        <v>13</v>
      </c>
      <c r="Q20" s="652">
        <v>80750</v>
      </c>
      <c r="R20" s="653">
        <v>4</v>
      </c>
      <c r="S20" s="653"/>
    </row>
    <row r="21" spans="2:22" x14ac:dyDescent="0.3">
      <c r="B21" s="648" t="s">
        <v>322</v>
      </c>
      <c r="C21" s="648">
        <v>2016</v>
      </c>
      <c r="D21" s="648" t="s">
        <v>51</v>
      </c>
      <c r="E21" s="648" t="s">
        <v>56</v>
      </c>
      <c r="F21" s="648" t="s">
        <v>306</v>
      </c>
      <c r="G21" s="648">
        <v>4</v>
      </c>
      <c r="H21" s="648">
        <v>3</v>
      </c>
      <c r="I21" s="648">
        <v>36000</v>
      </c>
      <c r="J21" s="648" t="s">
        <v>255</v>
      </c>
      <c r="L21" s="651" t="s">
        <v>310</v>
      </c>
      <c r="M21" s="652">
        <v>45263.035714285717</v>
      </c>
      <c r="N21" s="653">
        <v>280</v>
      </c>
      <c r="P21" s="654">
        <v>14</v>
      </c>
      <c r="Q21" s="652">
        <v>80750</v>
      </c>
      <c r="R21" s="653">
        <v>4</v>
      </c>
      <c r="S21" s="653"/>
    </row>
    <row r="22" spans="2:22" x14ac:dyDescent="0.3">
      <c r="B22" s="648" t="s">
        <v>322</v>
      </c>
      <c r="C22" s="648">
        <v>2016</v>
      </c>
      <c r="D22" s="648" t="s">
        <v>51</v>
      </c>
      <c r="E22" s="648" t="s">
        <v>56</v>
      </c>
      <c r="F22" s="648" t="s">
        <v>306</v>
      </c>
      <c r="G22" s="648">
        <v>4</v>
      </c>
      <c r="H22" s="648">
        <v>4</v>
      </c>
      <c r="I22" s="648">
        <v>36000</v>
      </c>
      <c r="J22" s="648" t="s">
        <v>255</v>
      </c>
      <c r="L22" s="651" t="s">
        <v>300</v>
      </c>
      <c r="M22" s="652">
        <v>45263.035714285717</v>
      </c>
      <c r="N22" s="653">
        <v>280</v>
      </c>
      <c r="P22" s="654">
        <v>15</v>
      </c>
      <c r="Q22" s="652">
        <v>80750</v>
      </c>
      <c r="R22" s="653">
        <v>4</v>
      </c>
      <c r="S22" s="653"/>
    </row>
    <row r="23" spans="2:22" x14ac:dyDescent="0.3">
      <c r="B23" s="648" t="s">
        <v>322</v>
      </c>
      <c r="C23" s="648">
        <v>2016</v>
      </c>
      <c r="D23" s="648" t="s">
        <v>51</v>
      </c>
      <c r="E23" s="648" t="s">
        <v>56</v>
      </c>
      <c r="F23" s="648" t="s">
        <v>306</v>
      </c>
      <c r="G23" s="648">
        <v>4</v>
      </c>
      <c r="H23" s="648">
        <v>5</v>
      </c>
      <c r="I23" s="648">
        <v>41000</v>
      </c>
      <c r="J23" s="648" t="s">
        <v>255</v>
      </c>
      <c r="P23" s="654">
        <v>16</v>
      </c>
      <c r="Q23" s="652">
        <v>85500</v>
      </c>
      <c r="R23" s="653">
        <v>4</v>
      </c>
      <c r="S23" s="653"/>
    </row>
    <row r="24" spans="2:22" x14ac:dyDescent="0.3">
      <c r="B24" s="648" t="s">
        <v>322</v>
      </c>
      <c r="C24" s="648">
        <v>2016</v>
      </c>
      <c r="D24" s="648" t="s">
        <v>51</v>
      </c>
      <c r="E24" s="648" t="s">
        <v>56</v>
      </c>
      <c r="F24" s="648" t="s">
        <v>306</v>
      </c>
      <c r="G24" s="648">
        <v>4</v>
      </c>
      <c r="H24" s="648">
        <v>6</v>
      </c>
      <c r="I24" s="648">
        <v>41000</v>
      </c>
      <c r="J24" s="648" t="s">
        <v>255</v>
      </c>
      <c r="P24" s="654">
        <v>17</v>
      </c>
      <c r="Q24" s="652">
        <v>94250</v>
      </c>
      <c r="R24" s="653">
        <v>4</v>
      </c>
      <c r="S24" s="653"/>
    </row>
    <row r="25" spans="2:22" x14ac:dyDescent="0.3">
      <c r="B25" s="648" t="s">
        <v>322</v>
      </c>
      <c r="C25" s="648">
        <v>2016</v>
      </c>
      <c r="D25" s="648" t="s">
        <v>51</v>
      </c>
      <c r="E25" s="648" t="s">
        <v>56</v>
      </c>
      <c r="F25" s="648" t="s">
        <v>306</v>
      </c>
      <c r="G25" s="648">
        <v>4</v>
      </c>
      <c r="H25" s="648">
        <v>7</v>
      </c>
      <c r="I25" s="648">
        <v>41000</v>
      </c>
      <c r="J25" s="648" t="s">
        <v>255</v>
      </c>
      <c r="P25" s="654">
        <v>18</v>
      </c>
      <c r="Q25" s="652">
        <v>94250</v>
      </c>
      <c r="R25" s="653">
        <v>4</v>
      </c>
      <c r="S25" s="653"/>
    </row>
    <row r="26" spans="2:22" x14ac:dyDescent="0.3">
      <c r="B26" s="648" t="s">
        <v>322</v>
      </c>
      <c r="C26" s="648">
        <v>2016</v>
      </c>
      <c r="D26" s="648" t="s">
        <v>51</v>
      </c>
      <c r="E26" s="648" t="s">
        <v>56</v>
      </c>
      <c r="F26" s="648" t="s">
        <v>306</v>
      </c>
      <c r="G26" s="648">
        <v>4</v>
      </c>
      <c r="H26" s="648">
        <v>8</v>
      </c>
      <c r="I26" s="648">
        <v>41000</v>
      </c>
      <c r="J26" s="648" t="s">
        <v>255</v>
      </c>
      <c r="P26" s="654">
        <v>19</v>
      </c>
      <c r="Q26" s="652">
        <v>94250</v>
      </c>
      <c r="R26" s="653">
        <v>4</v>
      </c>
      <c r="S26" s="653"/>
    </row>
    <row r="27" spans="2:22" x14ac:dyDescent="0.3">
      <c r="B27" s="648" t="s">
        <v>322</v>
      </c>
      <c r="C27" s="648">
        <v>2016</v>
      </c>
      <c r="D27" s="648" t="s">
        <v>51</v>
      </c>
      <c r="E27" s="648" t="s">
        <v>56</v>
      </c>
      <c r="F27" s="648" t="s">
        <v>306</v>
      </c>
      <c r="G27" s="648">
        <v>4</v>
      </c>
      <c r="H27" s="648">
        <v>9</v>
      </c>
      <c r="I27" s="648">
        <v>45000</v>
      </c>
      <c r="J27" s="648" t="s">
        <v>255</v>
      </c>
      <c r="P27" s="654">
        <v>20</v>
      </c>
      <c r="Q27" s="652">
        <v>94250</v>
      </c>
      <c r="R27" s="653">
        <v>4</v>
      </c>
      <c r="S27" s="653"/>
    </row>
    <row r="28" spans="2:22" x14ac:dyDescent="0.3">
      <c r="B28" s="648" t="s">
        <v>322</v>
      </c>
      <c r="C28" s="648">
        <v>2016</v>
      </c>
      <c r="D28" s="648" t="s">
        <v>51</v>
      </c>
      <c r="E28" s="648" t="s">
        <v>56</v>
      </c>
      <c r="F28" s="648" t="s">
        <v>306</v>
      </c>
      <c r="G28" s="648">
        <v>4</v>
      </c>
      <c r="H28" s="648">
        <v>10</v>
      </c>
      <c r="I28" s="648">
        <v>45000</v>
      </c>
      <c r="J28" s="648" t="s">
        <v>255</v>
      </c>
      <c r="P28" s="651" t="s">
        <v>309</v>
      </c>
      <c r="Q28" s="652">
        <v>73910.256410256407</v>
      </c>
      <c r="R28" s="653">
        <v>78</v>
      </c>
      <c r="S28" s="653"/>
    </row>
    <row r="29" spans="2:22" x14ac:dyDescent="0.3">
      <c r="B29" s="648" t="s">
        <v>322</v>
      </c>
      <c r="C29" s="648">
        <v>2016</v>
      </c>
      <c r="D29" s="648" t="s">
        <v>51</v>
      </c>
      <c r="E29" s="648" t="s">
        <v>56</v>
      </c>
      <c r="F29" s="648" t="s">
        <v>306</v>
      </c>
      <c r="G29" s="648">
        <v>4</v>
      </c>
      <c r="H29" s="648">
        <v>11</v>
      </c>
      <c r="I29" s="648">
        <v>48000</v>
      </c>
      <c r="J29" s="648" t="s">
        <v>255</v>
      </c>
      <c r="P29" s="651" t="s">
        <v>307</v>
      </c>
      <c r="Q29" s="652"/>
      <c r="R29" s="653"/>
      <c r="S29" s="653"/>
    </row>
    <row r="30" spans="2:22" x14ac:dyDescent="0.3">
      <c r="B30" s="648" t="s">
        <v>322</v>
      </c>
      <c r="C30" s="648">
        <v>2016</v>
      </c>
      <c r="D30" s="648" t="s">
        <v>51</v>
      </c>
      <c r="E30" s="648" t="s">
        <v>56</v>
      </c>
      <c r="F30" s="648" t="s">
        <v>306</v>
      </c>
      <c r="G30" s="648">
        <v>4</v>
      </c>
      <c r="H30" s="648">
        <v>12</v>
      </c>
      <c r="I30" s="648">
        <v>48000</v>
      </c>
      <c r="J30" s="648" t="s">
        <v>255</v>
      </c>
      <c r="P30" s="654">
        <v>1</v>
      </c>
      <c r="Q30" s="652">
        <v>43500</v>
      </c>
      <c r="R30" s="653">
        <v>1</v>
      </c>
      <c r="S30" s="653"/>
    </row>
    <row r="31" spans="2:22" x14ac:dyDescent="0.3">
      <c r="B31" s="648" t="s">
        <v>322</v>
      </c>
      <c r="C31" s="648">
        <v>2016</v>
      </c>
      <c r="D31" s="648" t="s">
        <v>51</v>
      </c>
      <c r="E31" s="648" t="s">
        <v>56</v>
      </c>
      <c r="F31" s="648" t="s">
        <v>306</v>
      </c>
      <c r="G31" s="648">
        <v>4</v>
      </c>
      <c r="H31" s="648">
        <v>13</v>
      </c>
      <c r="I31" s="648">
        <v>48000</v>
      </c>
      <c r="J31" s="648" t="s">
        <v>255</v>
      </c>
      <c r="P31" s="654">
        <v>2</v>
      </c>
      <c r="Q31" s="652">
        <v>43500</v>
      </c>
      <c r="R31" s="653">
        <v>1</v>
      </c>
      <c r="S31" s="653"/>
    </row>
    <row r="32" spans="2:22" collapsed="1" x14ac:dyDescent="0.3">
      <c r="B32" s="648" t="s">
        <v>322</v>
      </c>
      <c r="C32" s="648">
        <v>2016</v>
      </c>
      <c r="D32" s="648" t="s">
        <v>51</v>
      </c>
      <c r="E32" s="648" t="s">
        <v>56</v>
      </c>
      <c r="F32" s="648" t="s">
        <v>306</v>
      </c>
      <c r="G32" s="648">
        <v>4</v>
      </c>
      <c r="H32" s="648">
        <v>14</v>
      </c>
      <c r="I32" s="648">
        <v>48000</v>
      </c>
      <c r="J32" s="648" t="s">
        <v>255</v>
      </c>
      <c r="P32" s="654">
        <v>3</v>
      </c>
      <c r="Q32" s="652">
        <v>43500</v>
      </c>
      <c r="R32" s="653">
        <v>1</v>
      </c>
      <c r="S32" s="653"/>
    </row>
    <row r="33" spans="2:19" x14ac:dyDescent="0.3">
      <c r="B33" s="648" t="s">
        <v>322</v>
      </c>
      <c r="C33" s="648">
        <v>2016</v>
      </c>
      <c r="D33" s="648" t="s">
        <v>51</v>
      </c>
      <c r="E33" s="648" t="s">
        <v>56</v>
      </c>
      <c r="F33" s="648" t="s">
        <v>306</v>
      </c>
      <c r="G33" s="648">
        <v>4</v>
      </c>
      <c r="H33" s="648">
        <v>15</v>
      </c>
      <c r="I33" s="648">
        <v>48000</v>
      </c>
      <c r="J33" s="648" t="s">
        <v>255</v>
      </c>
      <c r="P33" s="654">
        <v>4</v>
      </c>
      <c r="Q33" s="652">
        <v>43500</v>
      </c>
      <c r="R33" s="653">
        <v>1</v>
      </c>
      <c r="S33" s="653"/>
    </row>
    <row r="34" spans="2:19" x14ac:dyDescent="0.3">
      <c r="B34" s="648" t="s">
        <v>322</v>
      </c>
      <c r="C34" s="648">
        <v>2016</v>
      </c>
      <c r="D34" s="648" t="s">
        <v>51</v>
      </c>
      <c r="E34" s="648" t="s">
        <v>56</v>
      </c>
      <c r="F34" s="648" t="s">
        <v>306</v>
      </c>
      <c r="G34" s="648">
        <v>4</v>
      </c>
      <c r="H34" s="648">
        <v>16</v>
      </c>
      <c r="I34" s="648">
        <v>53000</v>
      </c>
      <c r="J34" s="648" t="s">
        <v>255</v>
      </c>
      <c r="P34" s="654">
        <v>5</v>
      </c>
      <c r="Q34" s="652">
        <v>43500</v>
      </c>
      <c r="R34" s="653">
        <v>1</v>
      </c>
      <c r="S34" s="653"/>
    </row>
    <row r="35" spans="2:19" x14ac:dyDescent="0.3">
      <c r="B35" s="648" t="s">
        <v>322</v>
      </c>
      <c r="C35" s="648">
        <v>2016</v>
      </c>
      <c r="D35" s="648" t="s">
        <v>51</v>
      </c>
      <c r="E35" s="648" t="s">
        <v>56</v>
      </c>
      <c r="F35" s="648" t="s">
        <v>306</v>
      </c>
      <c r="G35" s="648">
        <v>4</v>
      </c>
      <c r="H35" s="648">
        <v>17</v>
      </c>
      <c r="I35" s="648">
        <v>53000</v>
      </c>
      <c r="J35" s="648" t="s">
        <v>255</v>
      </c>
      <c r="P35" s="654">
        <v>6</v>
      </c>
      <c r="Q35" s="652">
        <v>44000</v>
      </c>
      <c r="R35" s="653">
        <v>2</v>
      </c>
      <c r="S35" s="653"/>
    </row>
    <row r="36" spans="2:19" x14ac:dyDescent="0.3">
      <c r="B36" s="648" t="s">
        <v>322</v>
      </c>
      <c r="C36" s="648">
        <v>2016</v>
      </c>
      <c r="D36" s="648" t="s">
        <v>51</v>
      </c>
      <c r="E36" s="648" t="s">
        <v>56</v>
      </c>
      <c r="F36" s="648" t="s">
        <v>306</v>
      </c>
      <c r="G36" s="648">
        <v>4</v>
      </c>
      <c r="H36" s="648">
        <v>18</v>
      </c>
      <c r="I36" s="648">
        <v>53000</v>
      </c>
      <c r="J36" s="648" t="s">
        <v>255</v>
      </c>
      <c r="P36" s="654">
        <v>7</v>
      </c>
      <c r="Q36" s="652">
        <v>44000</v>
      </c>
      <c r="R36" s="653">
        <v>2</v>
      </c>
      <c r="S36" s="653"/>
    </row>
    <row r="37" spans="2:19" collapsed="1" x14ac:dyDescent="0.3">
      <c r="B37" s="648" t="s">
        <v>322</v>
      </c>
      <c r="C37" s="648">
        <v>2016</v>
      </c>
      <c r="D37" s="648" t="s">
        <v>51</v>
      </c>
      <c r="E37" s="648" t="s">
        <v>56</v>
      </c>
      <c r="F37" s="648" t="s">
        <v>306</v>
      </c>
      <c r="G37" s="648">
        <v>4</v>
      </c>
      <c r="H37" s="648">
        <v>19</v>
      </c>
      <c r="I37" s="648">
        <v>53000</v>
      </c>
      <c r="J37" s="648" t="s">
        <v>255</v>
      </c>
      <c r="P37" s="654">
        <v>8</v>
      </c>
      <c r="Q37" s="652">
        <v>44000</v>
      </c>
      <c r="R37" s="653">
        <v>2</v>
      </c>
      <c r="S37" s="653"/>
    </row>
    <row r="38" spans="2:19" x14ac:dyDescent="0.3">
      <c r="B38" s="648" t="s">
        <v>322</v>
      </c>
      <c r="C38" s="648">
        <v>2016</v>
      </c>
      <c r="D38" s="648" t="s">
        <v>51</v>
      </c>
      <c r="E38" s="648" t="s">
        <v>56</v>
      </c>
      <c r="F38" s="648" t="s">
        <v>306</v>
      </c>
      <c r="G38" s="648">
        <v>4</v>
      </c>
      <c r="H38" s="648">
        <v>20</v>
      </c>
      <c r="I38" s="648">
        <v>53000</v>
      </c>
      <c r="J38" s="648" t="s">
        <v>255</v>
      </c>
      <c r="P38" s="654">
        <v>9</v>
      </c>
      <c r="Q38" s="652">
        <v>42500</v>
      </c>
      <c r="R38" s="653">
        <v>3</v>
      </c>
      <c r="S38" s="653"/>
    </row>
    <row r="39" spans="2:19" x14ac:dyDescent="0.3">
      <c r="B39" s="648" t="s">
        <v>256</v>
      </c>
      <c r="C39" s="648">
        <v>2015</v>
      </c>
      <c r="D39" s="648" t="s">
        <v>51</v>
      </c>
      <c r="E39" s="648" t="s">
        <v>127</v>
      </c>
      <c r="F39" s="648" t="s">
        <v>307</v>
      </c>
      <c r="G39" s="648">
        <v>5</v>
      </c>
      <c r="H39" s="648">
        <v>18</v>
      </c>
      <c r="I39" s="648">
        <v>46000</v>
      </c>
      <c r="J39" s="648" t="s">
        <v>255</v>
      </c>
      <c r="P39" s="654">
        <v>10</v>
      </c>
      <c r="Q39" s="652">
        <v>40666.666666666664</v>
      </c>
      <c r="R39" s="653">
        <v>3</v>
      </c>
      <c r="S39" s="653"/>
    </row>
    <row r="40" spans="2:19" x14ac:dyDescent="0.3">
      <c r="B40" s="648" t="s">
        <v>256</v>
      </c>
      <c r="C40" s="648">
        <v>2015</v>
      </c>
      <c r="D40" s="648" t="s">
        <v>51</v>
      </c>
      <c r="E40" s="648" t="s">
        <v>127</v>
      </c>
      <c r="F40" s="648" t="s">
        <v>307</v>
      </c>
      <c r="G40" s="648">
        <v>5</v>
      </c>
      <c r="H40" s="648">
        <v>13</v>
      </c>
      <c r="I40" s="648">
        <v>43000</v>
      </c>
      <c r="J40" s="648" t="s">
        <v>255</v>
      </c>
      <c r="P40" s="654">
        <v>11</v>
      </c>
      <c r="Q40" s="652">
        <v>41687.5</v>
      </c>
      <c r="R40" s="653">
        <v>8</v>
      </c>
      <c r="S40" s="653"/>
    </row>
    <row r="41" spans="2:19" x14ac:dyDescent="0.3">
      <c r="B41" s="648" t="s">
        <v>256</v>
      </c>
      <c r="C41" s="648">
        <v>2015</v>
      </c>
      <c r="D41" s="648" t="s">
        <v>51</v>
      </c>
      <c r="E41" s="648" t="s">
        <v>127</v>
      </c>
      <c r="F41" s="648" t="s">
        <v>307</v>
      </c>
      <c r="G41" s="648">
        <v>5</v>
      </c>
      <c r="H41" s="648">
        <v>14</v>
      </c>
      <c r="I41" s="648">
        <v>43000</v>
      </c>
      <c r="J41" s="648" t="s">
        <v>255</v>
      </c>
      <c r="P41" s="654">
        <v>12</v>
      </c>
      <c r="Q41" s="652">
        <v>40066.666666666664</v>
      </c>
      <c r="R41" s="653">
        <v>9</v>
      </c>
      <c r="S41" s="653"/>
    </row>
    <row r="42" spans="2:19" x14ac:dyDescent="0.3">
      <c r="B42" s="648" t="s">
        <v>256</v>
      </c>
      <c r="C42" s="648">
        <v>2015</v>
      </c>
      <c r="D42" s="648" t="s">
        <v>51</v>
      </c>
      <c r="E42" s="648" t="s">
        <v>127</v>
      </c>
      <c r="F42" s="648" t="s">
        <v>307</v>
      </c>
      <c r="G42" s="648">
        <v>5</v>
      </c>
      <c r="H42" s="648">
        <v>15</v>
      </c>
      <c r="I42" s="648">
        <v>43000</v>
      </c>
      <c r="J42" s="648" t="s">
        <v>255</v>
      </c>
      <c r="P42" s="654">
        <v>13</v>
      </c>
      <c r="Q42" s="652">
        <v>41725</v>
      </c>
      <c r="R42" s="653">
        <v>16</v>
      </c>
      <c r="S42" s="653"/>
    </row>
    <row r="43" spans="2:19" x14ac:dyDescent="0.3">
      <c r="B43" s="648" t="s">
        <v>256</v>
      </c>
      <c r="C43" s="648">
        <v>2015</v>
      </c>
      <c r="D43" s="648" t="s">
        <v>51</v>
      </c>
      <c r="E43" s="648" t="s">
        <v>127</v>
      </c>
      <c r="F43" s="648" t="s">
        <v>307</v>
      </c>
      <c r="G43" s="648">
        <v>5</v>
      </c>
      <c r="H43" s="648">
        <v>16</v>
      </c>
      <c r="I43" s="648">
        <v>43000</v>
      </c>
      <c r="J43" s="648" t="s">
        <v>255</v>
      </c>
      <c r="P43" s="654">
        <v>14</v>
      </c>
      <c r="Q43" s="652">
        <v>41922.222222222219</v>
      </c>
      <c r="R43" s="653">
        <v>18</v>
      </c>
      <c r="S43" s="653"/>
    </row>
    <row r="44" spans="2:19" x14ac:dyDescent="0.3">
      <c r="B44" s="648" t="s">
        <v>256</v>
      </c>
      <c r="C44" s="648">
        <v>2015</v>
      </c>
      <c r="D44" s="648" t="s">
        <v>51</v>
      </c>
      <c r="E44" s="648" t="s">
        <v>127</v>
      </c>
      <c r="F44" s="648" t="s">
        <v>307</v>
      </c>
      <c r="G44" s="648">
        <v>5</v>
      </c>
      <c r="H44" s="648">
        <v>17</v>
      </c>
      <c r="I44" s="648">
        <v>46000</v>
      </c>
      <c r="J44" s="648" t="s">
        <v>255</v>
      </c>
      <c r="P44" s="654">
        <v>15</v>
      </c>
      <c r="Q44" s="652">
        <v>42705.26315789474</v>
      </c>
      <c r="R44" s="653">
        <v>19</v>
      </c>
      <c r="S44" s="653"/>
    </row>
    <row r="45" spans="2:19" x14ac:dyDescent="0.3">
      <c r="B45" s="648" t="s">
        <v>256</v>
      </c>
      <c r="C45" s="648">
        <v>2015</v>
      </c>
      <c r="D45" s="648" t="s">
        <v>51</v>
      </c>
      <c r="E45" s="648" t="s">
        <v>127</v>
      </c>
      <c r="F45" s="648" t="s">
        <v>307</v>
      </c>
      <c r="G45" s="648">
        <v>5</v>
      </c>
      <c r="H45" s="648">
        <v>19</v>
      </c>
      <c r="I45" s="648">
        <v>46000</v>
      </c>
      <c r="J45" s="648" t="s">
        <v>255</v>
      </c>
      <c r="P45" s="654">
        <v>16</v>
      </c>
      <c r="Q45" s="652">
        <v>43600</v>
      </c>
      <c r="R45" s="653">
        <v>19</v>
      </c>
      <c r="S45" s="653"/>
    </row>
    <row r="46" spans="2:19" x14ac:dyDescent="0.3">
      <c r="B46" s="648" t="s">
        <v>256</v>
      </c>
      <c r="C46" s="648">
        <v>2015</v>
      </c>
      <c r="D46" s="648" t="s">
        <v>51</v>
      </c>
      <c r="E46" s="648" t="s">
        <v>127</v>
      </c>
      <c r="F46" s="648" t="s">
        <v>307</v>
      </c>
      <c r="G46" s="648">
        <v>5</v>
      </c>
      <c r="H46" s="648">
        <v>20</v>
      </c>
      <c r="I46" s="648">
        <v>46000</v>
      </c>
      <c r="J46" s="648" t="s">
        <v>255</v>
      </c>
      <c r="P46" s="654">
        <v>17</v>
      </c>
      <c r="Q46" s="652">
        <v>45257.894736842107</v>
      </c>
      <c r="R46" s="653">
        <v>19</v>
      </c>
      <c r="S46" s="653"/>
    </row>
    <row r="47" spans="2:19" collapsed="1" x14ac:dyDescent="0.3">
      <c r="B47" s="648" t="s">
        <v>281</v>
      </c>
      <c r="C47" s="648">
        <v>2014</v>
      </c>
      <c r="D47" s="648" t="s">
        <v>51</v>
      </c>
      <c r="E47" s="648" t="s">
        <v>127</v>
      </c>
      <c r="F47" s="648" t="s">
        <v>307</v>
      </c>
      <c r="G47" s="648">
        <v>1</v>
      </c>
      <c r="H47" s="648">
        <v>15</v>
      </c>
      <c r="I47" s="648">
        <v>44000</v>
      </c>
      <c r="J47" s="648" t="s">
        <v>280</v>
      </c>
      <c r="P47" s="654">
        <v>18</v>
      </c>
      <c r="Q47" s="652">
        <v>45345</v>
      </c>
      <c r="R47" s="653">
        <v>20</v>
      </c>
      <c r="S47" s="653"/>
    </row>
    <row r="48" spans="2:19" x14ac:dyDescent="0.3">
      <c r="B48" s="648" t="s">
        <v>281</v>
      </c>
      <c r="C48" s="648">
        <v>2014</v>
      </c>
      <c r="D48" s="648" t="s">
        <v>51</v>
      </c>
      <c r="E48" s="648" t="s">
        <v>127</v>
      </c>
      <c r="F48" s="648" t="s">
        <v>307</v>
      </c>
      <c r="G48" s="648">
        <v>1</v>
      </c>
      <c r="H48" s="648">
        <v>11</v>
      </c>
      <c r="I48" s="648">
        <v>41000</v>
      </c>
      <c r="J48" s="648" t="s">
        <v>280</v>
      </c>
      <c r="P48" s="654">
        <v>19</v>
      </c>
      <c r="Q48" s="652">
        <v>45590</v>
      </c>
      <c r="R48" s="653">
        <v>20</v>
      </c>
      <c r="S48" s="653"/>
    </row>
    <row r="49" spans="2:19" x14ac:dyDescent="0.3">
      <c r="B49" s="648" t="s">
        <v>281</v>
      </c>
      <c r="C49" s="648">
        <v>2014</v>
      </c>
      <c r="D49" s="648" t="s">
        <v>51</v>
      </c>
      <c r="E49" s="648" t="s">
        <v>127</v>
      </c>
      <c r="F49" s="648" t="s">
        <v>307</v>
      </c>
      <c r="G49" s="648">
        <v>1</v>
      </c>
      <c r="H49" s="648">
        <v>12</v>
      </c>
      <c r="I49" s="648">
        <v>41000</v>
      </c>
      <c r="J49" s="648" t="s">
        <v>280</v>
      </c>
      <c r="P49" s="654">
        <v>20</v>
      </c>
      <c r="Q49" s="652">
        <v>45590</v>
      </c>
      <c r="R49" s="653">
        <v>20</v>
      </c>
      <c r="S49" s="653"/>
    </row>
    <row r="50" spans="2:19" x14ac:dyDescent="0.3">
      <c r="B50" s="648" t="s">
        <v>281</v>
      </c>
      <c r="C50" s="648">
        <v>2014</v>
      </c>
      <c r="D50" s="648" t="s">
        <v>51</v>
      </c>
      <c r="E50" s="648" t="s">
        <v>127</v>
      </c>
      <c r="F50" s="648" t="s">
        <v>307</v>
      </c>
      <c r="G50" s="648">
        <v>1</v>
      </c>
      <c r="H50" s="648">
        <v>13</v>
      </c>
      <c r="I50" s="648">
        <v>41000</v>
      </c>
      <c r="J50" s="648" t="s">
        <v>280</v>
      </c>
      <c r="P50" s="651" t="s">
        <v>310</v>
      </c>
      <c r="Q50" s="652">
        <v>43662.16216216216</v>
      </c>
      <c r="R50" s="653">
        <v>185</v>
      </c>
      <c r="S50" s="653"/>
    </row>
    <row r="51" spans="2:19" x14ac:dyDescent="0.3">
      <c r="B51" s="648" t="s">
        <v>281</v>
      </c>
      <c r="C51" s="648">
        <v>2014</v>
      </c>
      <c r="D51" s="648" t="s">
        <v>51</v>
      </c>
      <c r="E51" s="648" t="s">
        <v>127</v>
      </c>
      <c r="F51" s="648" t="s">
        <v>307</v>
      </c>
      <c r="G51" s="648">
        <v>1</v>
      </c>
      <c r="H51" s="648">
        <v>14</v>
      </c>
      <c r="I51" s="648">
        <v>44000</v>
      </c>
      <c r="J51" s="648" t="s">
        <v>280</v>
      </c>
      <c r="P51" s="651" t="s">
        <v>306</v>
      </c>
      <c r="Q51" s="652"/>
      <c r="R51" s="653"/>
      <c r="S51" s="653"/>
    </row>
    <row r="52" spans="2:19" collapsed="1" x14ac:dyDescent="0.3">
      <c r="B52" s="648" t="s">
        <v>281</v>
      </c>
      <c r="C52" s="648">
        <v>2014</v>
      </c>
      <c r="D52" s="648" t="s">
        <v>51</v>
      </c>
      <c r="E52" s="648" t="s">
        <v>127</v>
      </c>
      <c r="F52" s="648" t="s">
        <v>307</v>
      </c>
      <c r="G52" s="648">
        <v>1</v>
      </c>
      <c r="H52" s="648">
        <v>16</v>
      </c>
      <c r="I52" s="648">
        <v>44000</v>
      </c>
      <c r="J52" s="648" t="s">
        <v>280</v>
      </c>
      <c r="P52" s="654">
        <v>1</v>
      </c>
      <c r="Q52" s="652">
        <v>17500</v>
      </c>
      <c r="R52" s="653">
        <v>2</v>
      </c>
      <c r="S52" s="653"/>
    </row>
    <row r="53" spans="2:19" x14ac:dyDescent="0.3">
      <c r="B53" s="648" t="s">
        <v>281</v>
      </c>
      <c r="C53" s="648">
        <v>2014</v>
      </c>
      <c r="D53" s="648" t="s">
        <v>51</v>
      </c>
      <c r="E53" s="648" t="s">
        <v>127</v>
      </c>
      <c r="F53" s="648" t="s">
        <v>307</v>
      </c>
      <c r="G53" s="648">
        <v>1</v>
      </c>
      <c r="H53" s="648">
        <v>17</v>
      </c>
      <c r="I53" s="648">
        <v>47000</v>
      </c>
      <c r="J53" s="648" t="s">
        <v>280</v>
      </c>
      <c r="P53" s="654">
        <v>2</v>
      </c>
      <c r="Q53" s="652">
        <v>28250</v>
      </c>
      <c r="R53" s="653">
        <v>2</v>
      </c>
      <c r="S53" s="653"/>
    </row>
    <row r="54" spans="2:19" x14ac:dyDescent="0.3">
      <c r="B54" s="648" t="s">
        <v>281</v>
      </c>
      <c r="C54" s="648">
        <v>2014</v>
      </c>
      <c r="D54" s="648" t="s">
        <v>51</v>
      </c>
      <c r="E54" s="648" t="s">
        <v>127</v>
      </c>
      <c r="F54" s="648" t="s">
        <v>307</v>
      </c>
      <c r="G54" s="648">
        <v>1</v>
      </c>
      <c r="H54" s="648">
        <v>18</v>
      </c>
      <c r="I54" s="648">
        <v>47000</v>
      </c>
      <c r="J54" s="648" t="s">
        <v>280</v>
      </c>
      <c r="P54" s="654">
        <v>3</v>
      </c>
      <c r="Q54" s="652">
        <v>36800</v>
      </c>
      <c r="R54" s="653">
        <v>5</v>
      </c>
      <c r="S54" s="653"/>
    </row>
    <row r="55" spans="2:19" x14ac:dyDescent="0.3">
      <c r="B55" s="648" t="s">
        <v>281</v>
      </c>
      <c r="C55" s="648">
        <v>2014</v>
      </c>
      <c r="D55" s="648" t="s">
        <v>51</v>
      </c>
      <c r="E55" s="648" t="s">
        <v>127</v>
      </c>
      <c r="F55" s="648" t="s">
        <v>307</v>
      </c>
      <c r="G55" s="648">
        <v>1</v>
      </c>
      <c r="H55" s="648">
        <v>19</v>
      </c>
      <c r="I55" s="648">
        <v>47000</v>
      </c>
      <c r="J55" s="648" t="s">
        <v>280</v>
      </c>
      <c r="P55" s="654">
        <v>4</v>
      </c>
      <c r="Q55" s="652">
        <v>36800</v>
      </c>
      <c r="R55" s="653">
        <v>5</v>
      </c>
      <c r="S55" s="653"/>
    </row>
    <row r="56" spans="2:19" x14ac:dyDescent="0.3">
      <c r="B56" s="648" t="s">
        <v>281</v>
      </c>
      <c r="C56" s="648">
        <v>2014</v>
      </c>
      <c r="D56" s="648" t="s">
        <v>51</v>
      </c>
      <c r="E56" s="648" t="s">
        <v>127</v>
      </c>
      <c r="F56" s="648" t="s">
        <v>307</v>
      </c>
      <c r="G56" s="648">
        <v>1</v>
      </c>
      <c r="H56" s="648">
        <v>20</v>
      </c>
      <c r="I56" s="648">
        <v>47000</v>
      </c>
      <c r="J56" s="648" t="s">
        <v>280</v>
      </c>
      <c r="P56" s="654">
        <v>5</v>
      </c>
      <c r="Q56" s="652">
        <v>40800</v>
      </c>
      <c r="R56" s="653">
        <v>5</v>
      </c>
      <c r="S56" s="653"/>
    </row>
    <row r="57" spans="2:19" x14ac:dyDescent="0.3">
      <c r="B57" s="648" t="s">
        <v>282</v>
      </c>
      <c r="C57" s="648">
        <v>2016</v>
      </c>
      <c r="D57" s="648" t="s">
        <v>53</v>
      </c>
      <c r="E57" s="648" t="s">
        <v>125</v>
      </c>
      <c r="F57" s="648" t="s">
        <v>307</v>
      </c>
      <c r="G57" s="648">
        <v>4</v>
      </c>
      <c r="H57" s="648">
        <v>16</v>
      </c>
      <c r="I57" s="648">
        <v>42000</v>
      </c>
      <c r="J57" s="648" t="s">
        <v>280</v>
      </c>
      <c r="P57" s="654">
        <v>6</v>
      </c>
      <c r="Q57" s="652">
        <v>41400</v>
      </c>
      <c r="R57" s="653">
        <v>5</v>
      </c>
      <c r="S57" s="653"/>
    </row>
    <row r="58" spans="2:19" x14ac:dyDescent="0.3">
      <c r="B58" s="648" t="s">
        <v>282</v>
      </c>
      <c r="C58" s="648">
        <v>2016</v>
      </c>
      <c r="D58" s="648" t="s">
        <v>53</v>
      </c>
      <c r="E58" s="648" t="s">
        <v>125</v>
      </c>
      <c r="F58" s="648" t="s">
        <v>307</v>
      </c>
      <c r="G58" s="648">
        <v>4</v>
      </c>
      <c r="H58" s="648">
        <v>17</v>
      </c>
      <c r="I58" s="648">
        <v>42000</v>
      </c>
      <c r="J58" s="648" t="s">
        <v>280</v>
      </c>
      <c r="P58" s="654">
        <v>7</v>
      </c>
      <c r="Q58" s="652">
        <v>41400</v>
      </c>
      <c r="R58" s="653">
        <v>5</v>
      </c>
      <c r="S58" s="653"/>
    </row>
    <row r="59" spans="2:19" x14ac:dyDescent="0.3">
      <c r="B59" s="648" t="s">
        <v>282</v>
      </c>
      <c r="C59" s="648">
        <v>2016</v>
      </c>
      <c r="D59" s="648" t="s">
        <v>53</v>
      </c>
      <c r="E59" s="648" t="s">
        <v>125</v>
      </c>
      <c r="F59" s="648" t="s">
        <v>307</v>
      </c>
      <c r="G59" s="648">
        <v>4</v>
      </c>
      <c r="H59" s="648">
        <v>18</v>
      </c>
      <c r="I59" s="648">
        <v>42000</v>
      </c>
      <c r="J59" s="648" t="s">
        <v>280</v>
      </c>
      <c r="P59" s="654">
        <v>8</v>
      </c>
      <c r="Q59" s="652">
        <v>41333.333333333336</v>
      </c>
      <c r="R59" s="653">
        <v>6</v>
      </c>
      <c r="S59" s="653"/>
    </row>
    <row r="60" spans="2:19" x14ac:dyDescent="0.3">
      <c r="B60" s="648" t="s">
        <v>282</v>
      </c>
      <c r="C60" s="648">
        <v>2016</v>
      </c>
      <c r="D60" s="648" t="s">
        <v>53</v>
      </c>
      <c r="E60" s="648" t="s">
        <v>125</v>
      </c>
      <c r="F60" s="648" t="s">
        <v>307</v>
      </c>
      <c r="G60" s="648">
        <v>4</v>
      </c>
      <c r="H60" s="648">
        <v>19</v>
      </c>
      <c r="I60" s="648">
        <v>42000</v>
      </c>
      <c r="J60" s="648" t="s">
        <v>280</v>
      </c>
      <c r="P60" s="654">
        <v>9</v>
      </c>
      <c r="Q60" s="652">
        <v>44666.666666666664</v>
      </c>
      <c r="R60" s="653">
        <v>6</v>
      </c>
      <c r="S60" s="653"/>
    </row>
    <row r="61" spans="2:19" x14ac:dyDescent="0.3">
      <c r="B61" s="648" t="s">
        <v>282</v>
      </c>
      <c r="C61" s="648">
        <v>2016</v>
      </c>
      <c r="D61" s="648" t="s">
        <v>53</v>
      </c>
      <c r="E61" s="648" t="s">
        <v>125</v>
      </c>
      <c r="F61" s="648" t="s">
        <v>307</v>
      </c>
      <c r="G61" s="648">
        <v>4</v>
      </c>
      <c r="H61" s="648">
        <v>20</v>
      </c>
      <c r="I61" s="648">
        <v>42000</v>
      </c>
      <c r="J61" s="648" t="s">
        <v>280</v>
      </c>
      <c r="P61" s="654">
        <v>10</v>
      </c>
      <c r="Q61" s="652">
        <v>46357.142857142855</v>
      </c>
      <c r="R61" s="653">
        <v>7</v>
      </c>
      <c r="S61" s="653"/>
    </row>
    <row r="62" spans="2:19" x14ac:dyDescent="0.3">
      <c r="B62" s="648" t="s">
        <v>283</v>
      </c>
      <c r="C62" s="648">
        <v>2016</v>
      </c>
      <c r="D62" s="648" t="s">
        <v>53</v>
      </c>
      <c r="E62" s="648" t="s">
        <v>71</v>
      </c>
      <c r="F62" s="648" t="s">
        <v>71</v>
      </c>
      <c r="G62" s="648">
        <v>2</v>
      </c>
      <c r="H62" s="648">
        <v>11</v>
      </c>
      <c r="I62" s="648">
        <v>55000</v>
      </c>
      <c r="J62" s="648" t="s">
        <v>280</v>
      </c>
      <c r="P62" s="654">
        <v>11</v>
      </c>
      <c r="Q62" s="652">
        <v>47250</v>
      </c>
      <c r="R62" s="653">
        <v>8</v>
      </c>
      <c r="S62" s="653"/>
    </row>
    <row r="63" spans="2:19" x14ac:dyDescent="0.3">
      <c r="B63" s="648" t="s">
        <v>283</v>
      </c>
      <c r="C63" s="648">
        <v>2016</v>
      </c>
      <c r="D63" s="648" t="s">
        <v>53</v>
      </c>
      <c r="E63" s="648" t="s">
        <v>71</v>
      </c>
      <c r="F63" s="648" t="s">
        <v>71</v>
      </c>
      <c r="G63" s="648">
        <v>2</v>
      </c>
      <c r="H63" s="648">
        <v>12</v>
      </c>
      <c r="I63" s="648">
        <v>55000</v>
      </c>
      <c r="J63" s="648" t="s">
        <v>280</v>
      </c>
      <c r="P63" s="654">
        <v>12</v>
      </c>
      <c r="Q63" s="652">
        <v>47687.5</v>
      </c>
      <c r="R63" s="653">
        <v>8</v>
      </c>
      <c r="S63" s="653"/>
    </row>
    <row r="64" spans="2:19" x14ac:dyDescent="0.3">
      <c r="B64" s="648" t="s">
        <v>283</v>
      </c>
      <c r="C64" s="648">
        <v>2016</v>
      </c>
      <c r="D64" s="648" t="s">
        <v>53</v>
      </c>
      <c r="E64" s="648" t="s">
        <v>71</v>
      </c>
      <c r="F64" s="648" t="s">
        <v>71</v>
      </c>
      <c r="G64" s="648">
        <v>2</v>
      </c>
      <c r="H64" s="648">
        <v>13</v>
      </c>
      <c r="I64" s="648">
        <v>59000</v>
      </c>
      <c r="J64" s="648" t="s">
        <v>280</v>
      </c>
      <c r="P64" s="654">
        <v>13</v>
      </c>
      <c r="Q64" s="652">
        <v>45772.727272727272</v>
      </c>
      <c r="R64" s="653">
        <v>11</v>
      </c>
      <c r="S64" s="653"/>
    </row>
    <row r="65" spans="2:19" x14ac:dyDescent="0.3">
      <c r="B65" s="648" t="s">
        <v>283</v>
      </c>
      <c r="C65" s="648">
        <v>2016</v>
      </c>
      <c r="D65" s="648" t="s">
        <v>53</v>
      </c>
      <c r="E65" s="648" t="s">
        <v>71</v>
      </c>
      <c r="F65" s="648" t="s">
        <v>71</v>
      </c>
      <c r="G65" s="648">
        <v>2</v>
      </c>
      <c r="H65" s="648">
        <v>14</v>
      </c>
      <c r="I65" s="648">
        <v>59000</v>
      </c>
      <c r="J65" s="648" t="s">
        <v>280</v>
      </c>
      <c r="P65" s="654">
        <v>14</v>
      </c>
      <c r="Q65" s="652">
        <v>46181.818181818184</v>
      </c>
      <c r="R65" s="653">
        <v>11</v>
      </c>
      <c r="S65" s="653"/>
    </row>
    <row r="66" spans="2:19" x14ac:dyDescent="0.3">
      <c r="B66" s="648" t="s">
        <v>283</v>
      </c>
      <c r="C66" s="648">
        <v>2016</v>
      </c>
      <c r="D66" s="648" t="s">
        <v>53</v>
      </c>
      <c r="E66" s="648" t="s">
        <v>71</v>
      </c>
      <c r="F66" s="648" t="s">
        <v>71</v>
      </c>
      <c r="G66" s="648">
        <v>2</v>
      </c>
      <c r="H66" s="648">
        <v>15</v>
      </c>
      <c r="I66" s="648">
        <v>59000</v>
      </c>
      <c r="J66" s="648" t="s">
        <v>280</v>
      </c>
      <c r="P66" s="654">
        <v>15</v>
      </c>
      <c r="Q66" s="652">
        <v>47045.454545454544</v>
      </c>
      <c r="R66" s="653">
        <v>11</v>
      </c>
      <c r="S66" s="653"/>
    </row>
    <row r="67" spans="2:19" x14ac:dyDescent="0.3">
      <c r="B67" s="648" t="s">
        <v>283</v>
      </c>
      <c r="C67" s="648">
        <v>2016</v>
      </c>
      <c r="D67" s="648" t="s">
        <v>53</v>
      </c>
      <c r="E67" s="648" t="s">
        <v>71</v>
      </c>
      <c r="F67" s="648" t="s">
        <v>71</v>
      </c>
      <c r="G67" s="648">
        <v>2</v>
      </c>
      <c r="H67" s="648">
        <v>16</v>
      </c>
      <c r="I67" s="648">
        <v>59000</v>
      </c>
      <c r="J67" s="648" t="s">
        <v>280</v>
      </c>
      <c r="P67" s="654">
        <v>16</v>
      </c>
      <c r="Q67" s="652">
        <v>49818.181818181816</v>
      </c>
      <c r="R67" s="653">
        <v>11</v>
      </c>
      <c r="S67" s="653"/>
    </row>
    <row r="68" spans="2:19" x14ac:dyDescent="0.3">
      <c r="B68" s="648" t="s">
        <v>283</v>
      </c>
      <c r="C68" s="648">
        <v>2016</v>
      </c>
      <c r="D68" s="648" t="s">
        <v>53</v>
      </c>
      <c r="E68" s="648" t="s">
        <v>71</v>
      </c>
      <c r="F68" s="648" t="s">
        <v>71</v>
      </c>
      <c r="G68" s="648">
        <v>2</v>
      </c>
      <c r="H68" s="648">
        <v>17</v>
      </c>
      <c r="I68" s="648">
        <v>64000</v>
      </c>
      <c r="J68" s="648" t="s">
        <v>280</v>
      </c>
      <c r="P68" s="654">
        <v>17</v>
      </c>
      <c r="Q68" s="652">
        <v>50136.36363636364</v>
      </c>
      <c r="R68" s="653">
        <v>11</v>
      </c>
      <c r="S68" s="653"/>
    </row>
    <row r="69" spans="2:19" x14ac:dyDescent="0.3">
      <c r="B69" s="648" t="s">
        <v>283</v>
      </c>
      <c r="C69" s="648">
        <v>2016</v>
      </c>
      <c r="D69" s="648" t="s">
        <v>53</v>
      </c>
      <c r="E69" s="648" t="s">
        <v>71</v>
      </c>
      <c r="F69" s="648" t="s">
        <v>71</v>
      </c>
      <c r="G69" s="648">
        <v>2</v>
      </c>
      <c r="H69" s="648">
        <v>18</v>
      </c>
      <c r="I69" s="648">
        <v>64000</v>
      </c>
      <c r="J69" s="648" t="s">
        <v>280</v>
      </c>
      <c r="P69" s="654">
        <v>18</v>
      </c>
      <c r="Q69" s="652">
        <v>51454.545454545456</v>
      </c>
      <c r="R69" s="653">
        <v>11</v>
      </c>
      <c r="S69" s="653"/>
    </row>
    <row r="70" spans="2:19" collapsed="1" x14ac:dyDescent="0.3">
      <c r="B70" s="648" t="s">
        <v>283</v>
      </c>
      <c r="C70" s="648">
        <v>2016</v>
      </c>
      <c r="D70" s="648" t="s">
        <v>53</v>
      </c>
      <c r="E70" s="648" t="s">
        <v>71</v>
      </c>
      <c r="F70" s="648" t="s">
        <v>71</v>
      </c>
      <c r="G70" s="648">
        <v>2</v>
      </c>
      <c r="H70" s="648">
        <v>19</v>
      </c>
      <c r="I70" s="648">
        <v>64000</v>
      </c>
      <c r="J70" s="648" t="s">
        <v>280</v>
      </c>
      <c r="P70" s="654">
        <v>19</v>
      </c>
      <c r="Q70" s="652">
        <v>51454.545454545456</v>
      </c>
      <c r="R70" s="653">
        <v>11</v>
      </c>
      <c r="S70" s="653"/>
    </row>
    <row r="71" spans="2:19" x14ac:dyDescent="0.3">
      <c r="B71" s="648" t="s">
        <v>283</v>
      </c>
      <c r="C71" s="648">
        <v>2016</v>
      </c>
      <c r="D71" s="648" t="s">
        <v>53</v>
      </c>
      <c r="E71" s="648" t="s">
        <v>71</v>
      </c>
      <c r="F71" s="648" t="s">
        <v>71</v>
      </c>
      <c r="G71" s="648">
        <v>2</v>
      </c>
      <c r="H71" s="648">
        <v>20</v>
      </c>
      <c r="I71" s="648">
        <v>64000</v>
      </c>
      <c r="J71" s="648" t="s">
        <v>280</v>
      </c>
      <c r="P71" s="654">
        <v>20</v>
      </c>
      <c r="Q71" s="652">
        <v>51454.545454545456</v>
      </c>
      <c r="R71" s="653">
        <v>11</v>
      </c>
      <c r="S71" s="653"/>
    </row>
    <row r="72" spans="2:19" x14ac:dyDescent="0.3">
      <c r="B72" s="648" t="s">
        <v>283</v>
      </c>
      <c r="C72" s="648">
        <v>2016</v>
      </c>
      <c r="D72" s="648" t="s">
        <v>53</v>
      </c>
      <c r="E72" s="648" t="s">
        <v>125</v>
      </c>
      <c r="F72" s="648" t="s">
        <v>307</v>
      </c>
      <c r="G72" s="648">
        <v>1</v>
      </c>
      <c r="H72" s="648">
        <v>11</v>
      </c>
      <c r="I72" s="648">
        <v>40000</v>
      </c>
      <c r="J72" s="648" t="s">
        <v>280</v>
      </c>
      <c r="P72" s="651" t="s">
        <v>311</v>
      </c>
      <c r="Q72" s="652">
        <v>46078.947368421053</v>
      </c>
      <c r="R72" s="653">
        <v>152</v>
      </c>
      <c r="S72" s="653"/>
    </row>
    <row r="73" spans="2:19" x14ac:dyDescent="0.3">
      <c r="B73" s="648" t="s">
        <v>283</v>
      </c>
      <c r="C73" s="648">
        <v>2016</v>
      </c>
      <c r="D73" s="648" t="s">
        <v>53</v>
      </c>
      <c r="E73" s="648" t="s">
        <v>125</v>
      </c>
      <c r="F73" s="648" t="s">
        <v>307</v>
      </c>
      <c r="G73" s="648">
        <v>1</v>
      </c>
      <c r="H73" s="648">
        <v>12</v>
      </c>
      <c r="I73" s="648">
        <v>40000</v>
      </c>
      <c r="J73" s="648" t="s">
        <v>280</v>
      </c>
      <c r="P73" s="651" t="s">
        <v>259</v>
      </c>
      <c r="Q73" s="652"/>
      <c r="R73" s="653"/>
      <c r="S73" s="653"/>
    </row>
    <row r="74" spans="2:19" x14ac:dyDescent="0.3">
      <c r="B74" s="648" t="s">
        <v>283</v>
      </c>
      <c r="C74" s="648">
        <v>2016</v>
      </c>
      <c r="D74" s="648" t="s">
        <v>53</v>
      </c>
      <c r="E74" s="648" t="s">
        <v>125</v>
      </c>
      <c r="F74" s="648" t="s">
        <v>307</v>
      </c>
      <c r="G74" s="648">
        <v>1</v>
      </c>
      <c r="H74" s="648">
        <v>13</v>
      </c>
      <c r="I74" s="648">
        <v>43500</v>
      </c>
      <c r="J74" s="648" t="s">
        <v>280</v>
      </c>
      <c r="P74" s="654">
        <v>1</v>
      </c>
      <c r="Q74" s="652">
        <v>20000</v>
      </c>
      <c r="R74" s="653">
        <v>1</v>
      </c>
      <c r="S74" s="653"/>
    </row>
    <row r="75" spans="2:19" x14ac:dyDescent="0.3">
      <c r="B75" s="648" t="s">
        <v>283</v>
      </c>
      <c r="C75" s="648">
        <v>2016</v>
      </c>
      <c r="D75" s="648" t="s">
        <v>53</v>
      </c>
      <c r="E75" s="648" t="s">
        <v>125</v>
      </c>
      <c r="F75" s="648" t="s">
        <v>307</v>
      </c>
      <c r="G75" s="648">
        <v>1</v>
      </c>
      <c r="H75" s="648">
        <v>14</v>
      </c>
      <c r="I75" s="648">
        <v>43500</v>
      </c>
      <c r="J75" s="648" t="s">
        <v>280</v>
      </c>
      <c r="P75" s="654">
        <v>2</v>
      </c>
      <c r="Q75" s="652">
        <v>20000</v>
      </c>
      <c r="R75" s="653">
        <v>1</v>
      </c>
      <c r="S75" s="653"/>
    </row>
    <row r="76" spans="2:19" x14ac:dyDescent="0.3">
      <c r="B76" s="648" t="s">
        <v>283</v>
      </c>
      <c r="C76" s="648">
        <v>2016</v>
      </c>
      <c r="D76" s="648" t="s">
        <v>53</v>
      </c>
      <c r="E76" s="648" t="s">
        <v>125</v>
      </c>
      <c r="F76" s="648" t="s">
        <v>307</v>
      </c>
      <c r="G76" s="648">
        <v>1</v>
      </c>
      <c r="H76" s="648">
        <v>15</v>
      </c>
      <c r="I76" s="648">
        <v>43500</v>
      </c>
      <c r="J76" s="648" t="s">
        <v>280</v>
      </c>
      <c r="P76" s="654">
        <v>3</v>
      </c>
      <c r="Q76" s="652">
        <v>52250</v>
      </c>
      <c r="R76" s="653">
        <v>4</v>
      </c>
      <c r="S76" s="653"/>
    </row>
    <row r="77" spans="2:19" x14ac:dyDescent="0.3">
      <c r="B77" s="648" t="s">
        <v>283</v>
      </c>
      <c r="C77" s="648">
        <v>2016</v>
      </c>
      <c r="D77" s="648" t="s">
        <v>53</v>
      </c>
      <c r="E77" s="648" t="s">
        <v>125</v>
      </c>
      <c r="F77" s="648" t="s">
        <v>307</v>
      </c>
      <c r="G77" s="648">
        <v>1</v>
      </c>
      <c r="H77" s="648">
        <v>16</v>
      </c>
      <c r="I77" s="648">
        <v>43500</v>
      </c>
      <c r="J77" s="648" t="s">
        <v>280</v>
      </c>
      <c r="P77" s="654">
        <v>4</v>
      </c>
      <c r="Q77" s="652">
        <v>50400</v>
      </c>
      <c r="R77" s="653">
        <v>5</v>
      </c>
      <c r="S77" s="653"/>
    </row>
    <row r="78" spans="2:19" x14ac:dyDescent="0.3">
      <c r="B78" s="648" t="s">
        <v>283</v>
      </c>
      <c r="C78" s="648">
        <v>2016</v>
      </c>
      <c r="D78" s="648" t="s">
        <v>53</v>
      </c>
      <c r="E78" s="648" t="s">
        <v>125</v>
      </c>
      <c r="F78" s="648" t="s">
        <v>307</v>
      </c>
      <c r="G78" s="648">
        <v>1</v>
      </c>
      <c r="H78" s="648">
        <v>17</v>
      </c>
      <c r="I78" s="648">
        <v>47000</v>
      </c>
      <c r="J78" s="648" t="s">
        <v>280</v>
      </c>
      <c r="P78" s="654">
        <v>5</v>
      </c>
      <c r="Q78" s="652">
        <v>50400</v>
      </c>
      <c r="R78" s="653">
        <v>5</v>
      </c>
      <c r="S78" s="653"/>
    </row>
    <row r="79" spans="2:19" x14ac:dyDescent="0.3">
      <c r="B79" s="648" t="s">
        <v>283</v>
      </c>
      <c r="C79" s="648">
        <v>2016</v>
      </c>
      <c r="D79" s="648" t="s">
        <v>53</v>
      </c>
      <c r="E79" s="648" t="s">
        <v>125</v>
      </c>
      <c r="F79" s="648" t="s">
        <v>307</v>
      </c>
      <c r="G79" s="648">
        <v>1</v>
      </c>
      <c r="H79" s="648">
        <v>18</v>
      </c>
      <c r="I79" s="648">
        <v>47000</v>
      </c>
      <c r="J79" s="648" t="s">
        <v>280</v>
      </c>
      <c r="P79" s="654">
        <v>6</v>
      </c>
      <c r="Q79" s="652">
        <v>55700</v>
      </c>
      <c r="R79" s="653">
        <v>5</v>
      </c>
      <c r="S79" s="653"/>
    </row>
    <row r="80" spans="2:19" x14ac:dyDescent="0.3">
      <c r="B80" s="648" t="s">
        <v>283</v>
      </c>
      <c r="C80" s="648">
        <v>2016</v>
      </c>
      <c r="D80" s="648" t="s">
        <v>53</v>
      </c>
      <c r="E80" s="648" t="s">
        <v>125</v>
      </c>
      <c r="F80" s="648" t="s">
        <v>307</v>
      </c>
      <c r="G80" s="648">
        <v>1</v>
      </c>
      <c r="H80" s="648">
        <v>19</v>
      </c>
      <c r="I80" s="648">
        <v>47000</v>
      </c>
      <c r="J80" s="648" t="s">
        <v>280</v>
      </c>
      <c r="P80" s="654">
        <v>7</v>
      </c>
      <c r="Q80" s="652">
        <v>55700</v>
      </c>
      <c r="R80" s="653">
        <v>5</v>
      </c>
      <c r="S80" s="653"/>
    </row>
    <row r="81" spans="2:19" x14ac:dyDescent="0.3">
      <c r="B81" s="648" t="s">
        <v>283</v>
      </c>
      <c r="C81" s="648">
        <v>2016</v>
      </c>
      <c r="D81" s="648" t="s">
        <v>53</v>
      </c>
      <c r="E81" s="648" t="s">
        <v>125</v>
      </c>
      <c r="F81" s="648" t="s">
        <v>307</v>
      </c>
      <c r="G81" s="648">
        <v>1</v>
      </c>
      <c r="H81" s="648">
        <v>20</v>
      </c>
      <c r="I81" s="648">
        <v>47000</v>
      </c>
      <c r="J81" s="648" t="s">
        <v>280</v>
      </c>
      <c r="P81" s="654">
        <v>8</v>
      </c>
      <c r="Q81" s="652">
        <v>55700</v>
      </c>
      <c r="R81" s="653">
        <v>5</v>
      </c>
      <c r="S81" s="653"/>
    </row>
    <row r="82" spans="2:19" x14ac:dyDescent="0.3">
      <c r="B82" s="648" t="s">
        <v>257</v>
      </c>
      <c r="C82" s="648">
        <v>2015</v>
      </c>
      <c r="D82" s="648" t="s">
        <v>53</v>
      </c>
      <c r="E82" s="648" t="s">
        <v>71</v>
      </c>
      <c r="F82" s="648" t="s">
        <v>71</v>
      </c>
      <c r="G82" s="648">
        <v>12</v>
      </c>
      <c r="H82" s="648">
        <v>15</v>
      </c>
      <c r="I82" s="648">
        <v>54500</v>
      </c>
      <c r="J82" s="648" t="s">
        <v>255</v>
      </c>
      <c r="P82" s="654">
        <v>9</v>
      </c>
      <c r="Q82" s="652">
        <v>55700</v>
      </c>
      <c r="R82" s="653">
        <v>5</v>
      </c>
      <c r="S82" s="653"/>
    </row>
    <row r="83" spans="2:19" x14ac:dyDescent="0.3">
      <c r="B83" s="648" t="s">
        <v>257</v>
      </c>
      <c r="C83" s="648">
        <v>2015</v>
      </c>
      <c r="D83" s="648" t="s">
        <v>53</v>
      </c>
      <c r="E83" s="648" t="s">
        <v>71</v>
      </c>
      <c r="F83" s="648" t="s">
        <v>71</v>
      </c>
      <c r="G83" s="648">
        <v>12</v>
      </c>
      <c r="H83" s="648">
        <v>8</v>
      </c>
      <c r="I83" s="648">
        <v>44500</v>
      </c>
      <c r="J83" s="648" t="s">
        <v>255</v>
      </c>
      <c r="P83" s="654">
        <v>10</v>
      </c>
      <c r="Q83" s="652">
        <v>55700</v>
      </c>
      <c r="R83" s="653">
        <v>5</v>
      </c>
      <c r="S83" s="653"/>
    </row>
    <row r="84" spans="2:19" x14ac:dyDescent="0.3">
      <c r="B84" s="648" t="s">
        <v>257</v>
      </c>
      <c r="C84" s="648">
        <v>2015</v>
      </c>
      <c r="D84" s="648" t="s">
        <v>53</v>
      </c>
      <c r="E84" s="648" t="s">
        <v>71</v>
      </c>
      <c r="F84" s="648" t="s">
        <v>71</v>
      </c>
      <c r="G84" s="648">
        <v>12</v>
      </c>
      <c r="H84" s="648">
        <v>9</v>
      </c>
      <c r="I84" s="648">
        <v>44500</v>
      </c>
      <c r="J84" s="648" t="s">
        <v>255</v>
      </c>
      <c r="P84" s="654">
        <v>11</v>
      </c>
      <c r="Q84" s="652">
        <v>60700</v>
      </c>
      <c r="R84" s="653">
        <v>5</v>
      </c>
      <c r="S84" s="653"/>
    </row>
    <row r="85" spans="2:19" x14ac:dyDescent="0.3">
      <c r="B85" s="648" t="s">
        <v>257</v>
      </c>
      <c r="C85" s="648">
        <v>2015</v>
      </c>
      <c r="D85" s="648" t="s">
        <v>53</v>
      </c>
      <c r="E85" s="648" t="s">
        <v>71</v>
      </c>
      <c r="F85" s="648" t="s">
        <v>71</v>
      </c>
      <c r="G85" s="648">
        <v>12</v>
      </c>
      <c r="H85" s="648">
        <v>10</v>
      </c>
      <c r="I85" s="648">
        <v>49500</v>
      </c>
      <c r="J85" s="648" t="s">
        <v>255</v>
      </c>
      <c r="P85" s="654">
        <v>12</v>
      </c>
      <c r="Q85" s="652">
        <v>60700</v>
      </c>
      <c r="R85" s="653">
        <v>5</v>
      </c>
      <c r="S85" s="653"/>
    </row>
    <row r="86" spans="2:19" collapsed="1" x14ac:dyDescent="0.3">
      <c r="B86" s="648" t="s">
        <v>257</v>
      </c>
      <c r="C86" s="648">
        <v>2015</v>
      </c>
      <c r="D86" s="648" t="s">
        <v>53</v>
      </c>
      <c r="E86" s="648" t="s">
        <v>71</v>
      </c>
      <c r="F86" s="648" t="s">
        <v>71</v>
      </c>
      <c r="G86" s="648">
        <v>12</v>
      </c>
      <c r="H86" s="648">
        <v>11</v>
      </c>
      <c r="I86" s="648">
        <v>49500</v>
      </c>
      <c r="J86" s="648" t="s">
        <v>255</v>
      </c>
      <c r="P86" s="654">
        <v>13</v>
      </c>
      <c r="Q86" s="652">
        <v>60700</v>
      </c>
      <c r="R86" s="653">
        <v>5</v>
      </c>
      <c r="S86" s="653"/>
    </row>
    <row r="87" spans="2:19" x14ac:dyDescent="0.3">
      <c r="B87" s="648" t="s">
        <v>257</v>
      </c>
      <c r="C87" s="648">
        <v>2015</v>
      </c>
      <c r="D87" s="648" t="s">
        <v>53</v>
      </c>
      <c r="E87" s="648" t="s">
        <v>71</v>
      </c>
      <c r="F87" s="648" t="s">
        <v>71</v>
      </c>
      <c r="G87" s="648">
        <v>12</v>
      </c>
      <c r="H87" s="648">
        <v>12</v>
      </c>
      <c r="I87" s="648">
        <v>49500</v>
      </c>
      <c r="J87" s="648" t="s">
        <v>255</v>
      </c>
      <c r="P87" s="654">
        <v>14</v>
      </c>
      <c r="Q87" s="652">
        <v>60700</v>
      </c>
      <c r="R87" s="653">
        <v>5</v>
      </c>
      <c r="S87" s="653"/>
    </row>
    <row r="88" spans="2:19" x14ac:dyDescent="0.3">
      <c r="B88" s="648" t="s">
        <v>257</v>
      </c>
      <c r="C88" s="648">
        <v>2015</v>
      </c>
      <c r="D88" s="648" t="s">
        <v>53</v>
      </c>
      <c r="E88" s="648" t="s">
        <v>71</v>
      </c>
      <c r="F88" s="648" t="s">
        <v>71</v>
      </c>
      <c r="G88" s="648">
        <v>12</v>
      </c>
      <c r="H88" s="648">
        <v>13</v>
      </c>
      <c r="I88" s="648">
        <v>49500</v>
      </c>
      <c r="J88" s="648" t="s">
        <v>255</v>
      </c>
      <c r="P88" s="654">
        <v>15</v>
      </c>
      <c r="Q88" s="652">
        <v>60700</v>
      </c>
      <c r="R88" s="653">
        <v>5</v>
      </c>
      <c r="S88" s="653"/>
    </row>
    <row r="89" spans="2:19" x14ac:dyDescent="0.3">
      <c r="B89" s="648" t="s">
        <v>257</v>
      </c>
      <c r="C89" s="648">
        <v>2015</v>
      </c>
      <c r="D89" s="648" t="s">
        <v>53</v>
      </c>
      <c r="E89" s="648" t="s">
        <v>71</v>
      </c>
      <c r="F89" s="648" t="s">
        <v>71</v>
      </c>
      <c r="G89" s="648">
        <v>12</v>
      </c>
      <c r="H89" s="648">
        <v>14</v>
      </c>
      <c r="I89" s="648">
        <v>54500</v>
      </c>
      <c r="J89" s="648" t="s">
        <v>255</v>
      </c>
      <c r="P89" s="654">
        <v>16</v>
      </c>
      <c r="Q89" s="652">
        <v>66700</v>
      </c>
      <c r="R89" s="653">
        <v>5</v>
      </c>
      <c r="S89" s="653"/>
    </row>
    <row r="90" spans="2:19" x14ac:dyDescent="0.3">
      <c r="B90" s="648" t="s">
        <v>257</v>
      </c>
      <c r="C90" s="648">
        <v>2015</v>
      </c>
      <c r="D90" s="648" t="s">
        <v>53</v>
      </c>
      <c r="E90" s="648" t="s">
        <v>71</v>
      </c>
      <c r="F90" s="648" t="s">
        <v>71</v>
      </c>
      <c r="G90" s="648">
        <v>12</v>
      </c>
      <c r="H90" s="648">
        <v>16</v>
      </c>
      <c r="I90" s="648">
        <v>54500</v>
      </c>
      <c r="J90" s="648" t="s">
        <v>255</v>
      </c>
      <c r="P90" s="654">
        <v>17</v>
      </c>
      <c r="Q90" s="652">
        <v>66700</v>
      </c>
      <c r="R90" s="653">
        <v>5</v>
      </c>
      <c r="S90" s="653"/>
    </row>
    <row r="91" spans="2:19" x14ac:dyDescent="0.3">
      <c r="B91" s="648" t="s">
        <v>257</v>
      </c>
      <c r="C91" s="648">
        <v>2015</v>
      </c>
      <c r="D91" s="648" t="s">
        <v>53</v>
      </c>
      <c r="E91" s="648" t="s">
        <v>71</v>
      </c>
      <c r="F91" s="648" t="s">
        <v>71</v>
      </c>
      <c r="G91" s="648">
        <v>12</v>
      </c>
      <c r="H91" s="648">
        <v>17</v>
      </c>
      <c r="I91" s="648">
        <v>54500</v>
      </c>
      <c r="J91" s="648" t="s">
        <v>255</v>
      </c>
      <c r="P91" s="654">
        <v>18</v>
      </c>
      <c r="Q91" s="652">
        <v>66700</v>
      </c>
      <c r="R91" s="653">
        <v>5</v>
      </c>
      <c r="S91" s="653"/>
    </row>
    <row r="92" spans="2:19" x14ac:dyDescent="0.3">
      <c r="B92" s="648" t="s">
        <v>257</v>
      </c>
      <c r="C92" s="648">
        <v>2015</v>
      </c>
      <c r="D92" s="648" t="s">
        <v>53</v>
      </c>
      <c r="E92" s="648" t="s">
        <v>71</v>
      </c>
      <c r="F92" s="648" t="s">
        <v>71</v>
      </c>
      <c r="G92" s="648">
        <v>12</v>
      </c>
      <c r="H92" s="648">
        <v>18</v>
      </c>
      <c r="I92" s="648">
        <v>54500</v>
      </c>
      <c r="J92" s="648" t="s">
        <v>255</v>
      </c>
      <c r="P92" s="654">
        <v>19</v>
      </c>
      <c r="Q92" s="652">
        <v>66700</v>
      </c>
      <c r="R92" s="653">
        <v>5</v>
      </c>
      <c r="S92" s="653"/>
    </row>
    <row r="93" spans="2:19" x14ac:dyDescent="0.3">
      <c r="B93" s="648" t="s">
        <v>257</v>
      </c>
      <c r="C93" s="648">
        <v>2015</v>
      </c>
      <c r="D93" s="648" t="s">
        <v>53</v>
      </c>
      <c r="E93" s="648" t="s">
        <v>71</v>
      </c>
      <c r="F93" s="648" t="s">
        <v>71</v>
      </c>
      <c r="G93" s="648">
        <v>12</v>
      </c>
      <c r="H93" s="648">
        <v>19</v>
      </c>
      <c r="I93" s="648">
        <v>59500</v>
      </c>
      <c r="J93" s="648" t="s">
        <v>255</v>
      </c>
      <c r="P93" s="654">
        <v>20</v>
      </c>
      <c r="Q93" s="652">
        <v>66700</v>
      </c>
      <c r="R93" s="653">
        <v>5</v>
      </c>
      <c r="S93" s="653"/>
    </row>
    <row r="94" spans="2:19" x14ac:dyDescent="0.3">
      <c r="B94" s="648" t="s">
        <v>257</v>
      </c>
      <c r="C94" s="648">
        <v>2015</v>
      </c>
      <c r="D94" s="648" t="s">
        <v>53</v>
      </c>
      <c r="E94" s="648" t="s">
        <v>71</v>
      </c>
      <c r="F94" s="648" t="s">
        <v>71</v>
      </c>
      <c r="G94" s="648">
        <v>12</v>
      </c>
      <c r="H94" s="648">
        <v>20</v>
      </c>
      <c r="I94" s="648">
        <v>59500</v>
      </c>
      <c r="J94" s="648" t="s">
        <v>255</v>
      </c>
      <c r="P94" s="654">
        <v>21</v>
      </c>
      <c r="Q94" s="652">
        <v>76500</v>
      </c>
      <c r="R94" s="653">
        <v>1</v>
      </c>
      <c r="S94" s="653"/>
    </row>
    <row r="95" spans="2:19" x14ac:dyDescent="0.3">
      <c r="B95" s="648" t="s">
        <v>337</v>
      </c>
      <c r="C95" s="648">
        <v>2016</v>
      </c>
      <c r="D95" s="648" t="s">
        <v>54</v>
      </c>
      <c r="E95" s="648" t="s">
        <v>55</v>
      </c>
      <c r="F95" s="648" t="s">
        <v>55</v>
      </c>
      <c r="G95" s="648">
        <v>3</v>
      </c>
      <c r="H95" s="648">
        <v>7</v>
      </c>
      <c r="I95" s="648">
        <v>59100</v>
      </c>
      <c r="J95" s="648" t="s">
        <v>280</v>
      </c>
      <c r="P95" s="654">
        <v>22</v>
      </c>
      <c r="Q95" s="652">
        <v>76500</v>
      </c>
      <c r="R95" s="653">
        <v>1</v>
      </c>
      <c r="S95" s="653"/>
    </row>
    <row r="96" spans="2:19" x14ac:dyDescent="0.3">
      <c r="B96" s="648" t="s">
        <v>337</v>
      </c>
      <c r="C96" s="648">
        <v>2016</v>
      </c>
      <c r="D96" s="648" t="s">
        <v>54</v>
      </c>
      <c r="E96" s="648" t="s">
        <v>55</v>
      </c>
      <c r="F96" s="648" t="s">
        <v>55</v>
      </c>
      <c r="G96" s="648">
        <v>3</v>
      </c>
      <c r="H96" s="648">
        <v>8</v>
      </c>
      <c r="I96" s="648">
        <v>59100</v>
      </c>
      <c r="J96" s="648" t="s">
        <v>280</v>
      </c>
      <c r="P96" s="654">
        <v>23</v>
      </c>
      <c r="Q96" s="652">
        <v>76500</v>
      </c>
      <c r="R96" s="653">
        <v>1</v>
      </c>
      <c r="S96" s="653"/>
    </row>
    <row r="97" spans="2:19" x14ac:dyDescent="0.3">
      <c r="B97" s="648" t="s">
        <v>337</v>
      </c>
      <c r="C97" s="648">
        <v>2016</v>
      </c>
      <c r="D97" s="648" t="s">
        <v>54</v>
      </c>
      <c r="E97" s="648" t="s">
        <v>55</v>
      </c>
      <c r="F97" s="648" t="s">
        <v>55</v>
      </c>
      <c r="G97" s="648">
        <v>3</v>
      </c>
      <c r="H97" s="648">
        <v>9</v>
      </c>
      <c r="I97" s="648">
        <v>59100</v>
      </c>
      <c r="J97" s="648" t="s">
        <v>280</v>
      </c>
      <c r="P97" s="654">
        <v>24</v>
      </c>
      <c r="Q97" s="652">
        <v>76500</v>
      </c>
      <c r="R97" s="653">
        <v>1</v>
      </c>
      <c r="S97" s="653"/>
    </row>
    <row r="98" spans="2:19" collapsed="1" x14ac:dyDescent="0.3">
      <c r="B98" s="648" t="s">
        <v>337</v>
      </c>
      <c r="C98" s="648">
        <v>2016</v>
      </c>
      <c r="D98" s="648" t="s">
        <v>54</v>
      </c>
      <c r="E98" s="648" t="s">
        <v>55</v>
      </c>
      <c r="F98" s="648" t="s">
        <v>55</v>
      </c>
      <c r="G98" s="648">
        <v>3</v>
      </c>
      <c r="H98" s="648">
        <v>10</v>
      </c>
      <c r="I98" s="648">
        <v>59100</v>
      </c>
      <c r="J98" s="648" t="s">
        <v>280</v>
      </c>
      <c r="P98" s="654">
        <v>25</v>
      </c>
      <c r="Q98" s="652">
        <v>76500</v>
      </c>
      <c r="R98" s="653">
        <v>1</v>
      </c>
      <c r="S98" s="653"/>
    </row>
    <row r="99" spans="2:19" x14ac:dyDescent="0.3">
      <c r="B99" s="648" t="s">
        <v>337</v>
      </c>
      <c r="C99" s="648">
        <v>2016</v>
      </c>
      <c r="D99" s="648" t="s">
        <v>54</v>
      </c>
      <c r="E99" s="648" t="s">
        <v>55</v>
      </c>
      <c r="F99" s="648" t="s">
        <v>55</v>
      </c>
      <c r="G99" s="648">
        <v>3</v>
      </c>
      <c r="H99" s="648">
        <v>11</v>
      </c>
      <c r="I99" s="648">
        <v>66400</v>
      </c>
      <c r="J99" s="648" t="s">
        <v>280</v>
      </c>
      <c r="P99" s="651" t="s">
        <v>301</v>
      </c>
      <c r="Q99" s="652">
        <v>59510.416666666664</v>
      </c>
      <c r="R99" s="653">
        <v>96</v>
      </c>
      <c r="S99" s="653"/>
    </row>
    <row r="100" spans="2:19" x14ac:dyDescent="0.3">
      <c r="B100" s="648" t="s">
        <v>337</v>
      </c>
      <c r="C100" s="648">
        <v>2016</v>
      </c>
      <c r="D100" s="648" t="s">
        <v>54</v>
      </c>
      <c r="E100" s="648" t="s">
        <v>55</v>
      </c>
      <c r="F100" s="648" t="s">
        <v>55</v>
      </c>
      <c r="G100" s="648">
        <v>3</v>
      </c>
      <c r="H100" s="648">
        <v>12</v>
      </c>
      <c r="I100" s="648">
        <v>66400</v>
      </c>
      <c r="J100" s="648" t="s">
        <v>280</v>
      </c>
      <c r="P100" s="651" t="s">
        <v>57</v>
      </c>
      <c r="Q100" s="652"/>
      <c r="R100" s="653"/>
      <c r="S100" s="653"/>
    </row>
    <row r="101" spans="2:19" x14ac:dyDescent="0.3">
      <c r="B101" s="648" t="s">
        <v>337</v>
      </c>
      <c r="C101" s="648">
        <v>2016</v>
      </c>
      <c r="D101" s="648" t="s">
        <v>54</v>
      </c>
      <c r="E101" s="648" t="s">
        <v>55</v>
      </c>
      <c r="F101" s="648" t="s">
        <v>55</v>
      </c>
      <c r="G101" s="648">
        <v>3</v>
      </c>
      <c r="H101" s="648">
        <v>13</v>
      </c>
      <c r="I101" s="648">
        <v>66400</v>
      </c>
      <c r="J101" s="648" t="s">
        <v>280</v>
      </c>
      <c r="P101" s="654">
        <v>17</v>
      </c>
      <c r="Q101" s="652">
        <v>40000</v>
      </c>
      <c r="R101" s="653">
        <v>2</v>
      </c>
      <c r="S101" s="653"/>
    </row>
    <row r="102" spans="2:19" x14ac:dyDescent="0.3">
      <c r="B102" s="648" t="s">
        <v>337</v>
      </c>
      <c r="C102" s="648">
        <v>2016</v>
      </c>
      <c r="D102" s="648" t="s">
        <v>54</v>
      </c>
      <c r="E102" s="648" t="s">
        <v>55</v>
      </c>
      <c r="F102" s="648" t="s">
        <v>55</v>
      </c>
      <c r="G102" s="648">
        <v>3</v>
      </c>
      <c r="H102" s="648">
        <v>14</v>
      </c>
      <c r="I102" s="648">
        <v>66400</v>
      </c>
      <c r="J102" s="648" t="s">
        <v>280</v>
      </c>
      <c r="P102" s="654">
        <v>18</v>
      </c>
      <c r="Q102" s="652">
        <v>40000</v>
      </c>
      <c r="R102" s="653">
        <v>2</v>
      </c>
      <c r="S102" s="653"/>
    </row>
    <row r="103" spans="2:19" x14ac:dyDescent="0.3">
      <c r="B103" s="648" t="s">
        <v>337</v>
      </c>
      <c r="C103" s="648">
        <v>2016</v>
      </c>
      <c r="D103" s="648" t="s">
        <v>54</v>
      </c>
      <c r="E103" s="648" t="s">
        <v>55</v>
      </c>
      <c r="F103" s="648" t="s">
        <v>55</v>
      </c>
      <c r="G103" s="648">
        <v>3</v>
      </c>
      <c r="H103" s="648">
        <v>15</v>
      </c>
      <c r="I103" s="648">
        <v>76900</v>
      </c>
      <c r="J103" s="648" t="s">
        <v>280</v>
      </c>
      <c r="P103" s="654">
        <v>19</v>
      </c>
      <c r="Q103" s="652">
        <v>40000</v>
      </c>
      <c r="R103" s="653">
        <v>2</v>
      </c>
      <c r="S103" s="653"/>
    </row>
    <row r="104" spans="2:19" x14ac:dyDescent="0.3">
      <c r="B104" s="648" t="s">
        <v>337</v>
      </c>
      <c r="C104" s="648">
        <v>2016</v>
      </c>
      <c r="D104" s="648" t="s">
        <v>54</v>
      </c>
      <c r="E104" s="648" t="s">
        <v>55</v>
      </c>
      <c r="F104" s="648" t="s">
        <v>55</v>
      </c>
      <c r="G104" s="648">
        <v>3</v>
      </c>
      <c r="H104" s="648">
        <v>16</v>
      </c>
      <c r="I104" s="648">
        <v>76900</v>
      </c>
      <c r="J104" s="648" t="s">
        <v>280</v>
      </c>
      <c r="P104" s="654">
        <v>20</v>
      </c>
      <c r="Q104" s="652">
        <v>40000</v>
      </c>
      <c r="R104" s="653">
        <v>2</v>
      </c>
      <c r="S104" s="653"/>
    </row>
    <row r="105" spans="2:19" x14ac:dyDescent="0.3">
      <c r="B105" s="648" t="s">
        <v>337</v>
      </c>
      <c r="C105" s="648">
        <v>2016</v>
      </c>
      <c r="D105" s="648" t="s">
        <v>54</v>
      </c>
      <c r="E105" s="648" t="s">
        <v>55</v>
      </c>
      <c r="F105" s="648" t="s">
        <v>55</v>
      </c>
      <c r="G105" s="648">
        <v>3</v>
      </c>
      <c r="H105" s="648">
        <v>17</v>
      </c>
      <c r="I105" s="648">
        <v>76900</v>
      </c>
      <c r="J105" s="648" t="s">
        <v>280</v>
      </c>
      <c r="P105" s="651" t="s">
        <v>302</v>
      </c>
      <c r="Q105" s="652">
        <v>40000</v>
      </c>
      <c r="R105" s="653">
        <v>8</v>
      </c>
      <c r="S105" s="653"/>
    </row>
    <row r="106" spans="2:19" x14ac:dyDescent="0.3">
      <c r="B106" s="648" t="s">
        <v>337</v>
      </c>
      <c r="C106" s="648">
        <v>2016</v>
      </c>
      <c r="D106" s="648" t="s">
        <v>54</v>
      </c>
      <c r="E106" s="648" t="s">
        <v>55</v>
      </c>
      <c r="F106" s="648" t="s">
        <v>55</v>
      </c>
      <c r="G106" s="648">
        <v>3</v>
      </c>
      <c r="H106" s="648">
        <v>18</v>
      </c>
      <c r="I106" s="648">
        <v>76900</v>
      </c>
      <c r="J106" s="648" t="s">
        <v>280</v>
      </c>
      <c r="P106" s="651" t="s">
        <v>71</v>
      </c>
      <c r="Q106" s="652"/>
      <c r="R106" s="653"/>
      <c r="S106" s="653"/>
    </row>
    <row r="107" spans="2:19" x14ac:dyDescent="0.3">
      <c r="B107" s="648" t="s">
        <v>337</v>
      </c>
      <c r="C107" s="648">
        <v>2016</v>
      </c>
      <c r="D107" s="648" t="s">
        <v>54</v>
      </c>
      <c r="E107" s="648" t="s">
        <v>55</v>
      </c>
      <c r="F107" s="648" t="s">
        <v>55</v>
      </c>
      <c r="G107" s="648">
        <v>3</v>
      </c>
      <c r="H107" s="648">
        <v>19</v>
      </c>
      <c r="I107" s="648">
        <v>83200</v>
      </c>
      <c r="J107" s="648" t="s">
        <v>280</v>
      </c>
      <c r="P107" s="654">
        <v>8</v>
      </c>
      <c r="Q107" s="652">
        <v>44500</v>
      </c>
      <c r="R107" s="653">
        <v>1</v>
      </c>
      <c r="S107" s="653"/>
    </row>
    <row r="108" spans="2:19" x14ac:dyDescent="0.3">
      <c r="B108" s="648" t="s">
        <v>337</v>
      </c>
      <c r="C108" s="648">
        <v>2016</v>
      </c>
      <c r="D108" s="648" t="s">
        <v>54</v>
      </c>
      <c r="E108" s="648" t="s">
        <v>55</v>
      </c>
      <c r="F108" s="648" t="s">
        <v>55</v>
      </c>
      <c r="G108" s="648">
        <v>3</v>
      </c>
      <c r="H108" s="648">
        <v>20</v>
      </c>
      <c r="I108" s="648">
        <v>83200</v>
      </c>
      <c r="J108" s="648" t="s">
        <v>280</v>
      </c>
      <c r="P108" s="654">
        <v>9</v>
      </c>
      <c r="Q108" s="652">
        <v>52750</v>
      </c>
      <c r="R108" s="653">
        <v>2</v>
      </c>
      <c r="S108" s="653"/>
    </row>
    <row r="109" spans="2:19" x14ac:dyDescent="0.3">
      <c r="B109" s="648" t="s">
        <v>284</v>
      </c>
      <c r="C109" s="648">
        <v>2015</v>
      </c>
      <c r="D109" s="648" t="s">
        <v>54</v>
      </c>
      <c r="E109" s="648" t="s">
        <v>130</v>
      </c>
      <c r="F109" s="648" t="s">
        <v>307</v>
      </c>
      <c r="G109" s="648">
        <v>2</v>
      </c>
      <c r="H109" s="648">
        <v>15</v>
      </c>
      <c r="I109" s="648">
        <v>46000</v>
      </c>
      <c r="J109" s="648" t="s">
        <v>280</v>
      </c>
      <c r="P109" s="654">
        <v>10</v>
      </c>
      <c r="Q109" s="652">
        <v>56125</v>
      </c>
      <c r="R109" s="653">
        <v>4</v>
      </c>
      <c r="S109" s="653"/>
    </row>
    <row r="110" spans="2:19" x14ac:dyDescent="0.3">
      <c r="B110" s="648" t="s">
        <v>284</v>
      </c>
      <c r="C110" s="648">
        <v>2015</v>
      </c>
      <c r="D110" s="648" t="s">
        <v>54</v>
      </c>
      <c r="E110" s="648" t="s">
        <v>130</v>
      </c>
      <c r="F110" s="648" t="s">
        <v>307</v>
      </c>
      <c r="G110" s="648">
        <v>2</v>
      </c>
      <c r="H110" s="648">
        <v>16</v>
      </c>
      <c r="I110" s="648">
        <v>46000</v>
      </c>
      <c r="J110" s="648" t="s">
        <v>280</v>
      </c>
      <c r="P110" s="654">
        <v>11</v>
      </c>
      <c r="Q110" s="652">
        <v>56166.666666666664</v>
      </c>
      <c r="R110" s="653">
        <v>6</v>
      </c>
      <c r="S110" s="653"/>
    </row>
    <row r="111" spans="2:19" x14ac:dyDescent="0.3">
      <c r="B111" s="648" t="s">
        <v>284</v>
      </c>
      <c r="C111" s="648">
        <v>2015</v>
      </c>
      <c r="D111" s="648" t="s">
        <v>54</v>
      </c>
      <c r="E111" s="648" t="s">
        <v>130</v>
      </c>
      <c r="F111" s="648" t="s">
        <v>307</v>
      </c>
      <c r="G111" s="648">
        <v>2</v>
      </c>
      <c r="H111" s="648">
        <v>17</v>
      </c>
      <c r="I111" s="648">
        <v>46000</v>
      </c>
      <c r="J111" s="648" t="s">
        <v>280</v>
      </c>
      <c r="P111" s="654">
        <v>12</v>
      </c>
      <c r="Q111" s="652">
        <v>56166.666666666664</v>
      </c>
      <c r="R111" s="653">
        <v>6</v>
      </c>
      <c r="S111" s="653"/>
    </row>
    <row r="112" spans="2:19" x14ac:dyDescent="0.3">
      <c r="B112" s="648" t="s">
        <v>284</v>
      </c>
      <c r="C112" s="648">
        <v>2015</v>
      </c>
      <c r="D112" s="648" t="s">
        <v>54</v>
      </c>
      <c r="E112" s="648" t="s">
        <v>130</v>
      </c>
      <c r="F112" s="648" t="s">
        <v>307</v>
      </c>
      <c r="G112" s="648">
        <v>2</v>
      </c>
      <c r="H112" s="648">
        <v>18</v>
      </c>
      <c r="I112" s="648">
        <v>46000</v>
      </c>
      <c r="J112" s="648" t="s">
        <v>280</v>
      </c>
      <c r="P112" s="654">
        <v>13</v>
      </c>
      <c r="Q112" s="652">
        <v>57416.666666666664</v>
      </c>
      <c r="R112" s="653">
        <v>6</v>
      </c>
      <c r="S112" s="653"/>
    </row>
    <row r="113" spans="2:18" collapsed="1" x14ac:dyDescent="0.3">
      <c r="B113" s="648" t="s">
        <v>284</v>
      </c>
      <c r="C113" s="648">
        <v>2015</v>
      </c>
      <c r="D113" s="648" t="s">
        <v>54</v>
      </c>
      <c r="E113" s="648" t="s">
        <v>130</v>
      </c>
      <c r="F113" s="648" t="s">
        <v>307</v>
      </c>
      <c r="G113" s="648">
        <v>2</v>
      </c>
      <c r="H113" s="648">
        <v>19</v>
      </c>
      <c r="I113" s="648">
        <v>46000</v>
      </c>
      <c r="J113" s="648" t="s">
        <v>280</v>
      </c>
      <c r="P113" s="654">
        <v>14</v>
      </c>
      <c r="Q113" s="652">
        <v>58916.666666666664</v>
      </c>
      <c r="R113" s="653">
        <v>6</v>
      </c>
    </row>
    <row r="114" spans="2:18" x14ac:dyDescent="0.3">
      <c r="B114" s="648" t="s">
        <v>284</v>
      </c>
      <c r="C114" s="648">
        <v>2015</v>
      </c>
      <c r="D114" s="648" t="s">
        <v>54</v>
      </c>
      <c r="E114" s="648" t="s">
        <v>130</v>
      </c>
      <c r="F114" s="648" t="s">
        <v>307</v>
      </c>
      <c r="G114" s="648">
        <v>2</v>
      </c>
      <c r="H114" s="648">
        <v>20</v>
      </c>
      <c r="I114" s="648">
        <v>46000</v>
      </c>
      <c r="J114" s="648" t="s">
        <v>280</v>
      </c>
      <c r="P114" s="654">
        <v>15</v>
      </c>
      <c r="Q114" s="652">
        <v>59333.333333333336</v>
      </c>
      <c r="R114" s="653">
        <v>6</v>
      </c>
    </row>
    <row r="115" spans="2:18" x14ac:dyDescent="0.3">
      <c r="B115" s="648" t="s">
        <v>284</v>
      </c>
      <c r="C115" s="648">
        <v>2016</v>
      </c>
      <c r="D115" s="648" t="s">
        <v>53</v>
      </c>
      <c r="E115" s="648" t="s">
        <v>125</v>
      </c>
      <c r="F115" s="648" t="s">
        <v>307</v>
      </c>
      <c r="G115" s="648">
        <v>3</v>
      </c>
      <c r="H115" s="648">
        <v>15</v>
      </c>
      <c r="I115" s="648">
        <v>46000</v>
      </c>
      <c r="J115" s="648" t="s">
        <v>280</v>
      </c>
      <c r="P115" s="654">
        <v>16</v>
      </c>
      <c r="Q115" s="652">
        <v>59750</v>
      </c>
      <c r="R115" s="653">
        <v>6</v>
      </c>
    </row>
    <row r="116" spans="2:18" x14ac:dyDescent="0.3">
      <c r="B116" s="648" t="s">
        <v>284</v>
      </c>
      <c r="C116" s="648">
        <v>2016</v>
      </c>
      <c r="D116" s="648" t="s">
        <v>53</v>
      </c>
      <c r="E116" s="648" t="s">
        <v>125</v>
      </c>
      <c r="F116" s="648" t="s">
        <v>307</v>
      </c>
      <c r="G116" s="648">
        <v>3</v>
      </c>
      <c r="H116" s="648">
        <v>16</v>
      </c>
      <c r="I116" s="648">
        <v>46000</v>
      </c>
      <c r="J116" s="648" t="s">
        <v>280</v>
      </c>
      <c r="P116" s="654">
        <v>17</v>
      </c>
      <c r="Q116" s="652">
        <v>62083.333333333336</v>
      </c>
      <c r="R116" s="653">
        <v>6</v>
      </c>
    </row>
    <row r="117" spans="2:18" x14ac:dyDescent="0.3">
      <c r="B117" s="648" t="s">
        <v>284</v>
      </c>
      <c r="C117" s="648">
        <v>2016</v>
      </c>
      <c r="D117" s="648" t="s">
        <v>53</v>
      </c>
      <c r="E117" s="648" t="s">
        <v>125</v>
      </c>
      <c r="F117" s="648" t="s">
        <v>307</v>
      </c>
      <c r="G117" s="648">
        <v>3</v>
      </c>
      <c r="H117" s="648">
        <v>17</v>
      </c>
      <c r="I117" s="648">
        <v>46000</v>
      </c>
      <c r="J117" s="648" t="s">
        <v>280</v>
      </c>
      <c r="P117" s="654">
        <v>18</v>
      </c>
      <c r="Q117" s="652">
        <v>62333.333333333336</v>
      </c>
      <c r="R117" s="653">
        <v>6</v>
      </c>
    </row>
    <row r="118" spans="2:18" x14ac:dyDescent="0.3">
      <c r="B118" s="648" t="s">
        <v>284</v>
      </c>
      <c r="C118" s="648">
        <v>2016</v>
      </c>
      <c r="D118" s="648" t="s">
        <v>53</v>
      </c>
      <c r="E118" s="648" t="s">
        <v>125</v>
      </c>
      <c r="F118" s="648" t="s">
        <v>307</v>
      </c>
      <c r="G118" s="648">
        <v>3</v>
      </c>
      <c r="H118" s="648">
        <v>18</v>
      </c>
      <c r="I118" s="648">
        <v>46000</v>
      </c>
      <c r="J118" s="648" t="s">
        <v>280</v>
      </c>
      <c r="P118" s="654">
        <v>19</v>
      </c>
      <c r="Q118" s="652">
        <v>63500</v>
      </c>
      <c r="R118" s="653">
        <v>6</v>
      </c>
    </row>
    <row r="119" spans="2:18" x14ac:dyDescent="0.3">
      <c r="B119" s="648" t="s">
        <v>284</v>
      </c>
      <c r="C119" s="648">
        <v>2016</v>
      </c>
      <c r="D119" s="648" t="s">
        <v>53</v>
      </c>
      <c r="E119" s="648" t="s">
        <v>125</v>
      </c>
      <c r="F119" s="648" t="s">
        <v>307</v>
      </c>
      <c r="G119" s="648">
        <v>3</v>
      </c>
      <c r="H119" s="648">
        <v>19</v>
      </c>
      <c r="I119" s="648">
        <v>46000</v>
      </c>
      <c r="J119" s="648" t="s">
        <v>280</v>
      </c>
      <c r="P119" s="654">
        <v>20</v>
      </c>
      <c r="Q119" s="652">
        <v>63500</v>
      </c>
      <c r="R119" s="653">
        <v>6</v>
      </c>
    </row>
    <row r="120" spans="2:18" x14ac:dyDescent="0.3">
      <c r="B120" s="648" t="s">
        <v>284</v>
      </c>
      <c r="C120" s="648">
        <v>2016</v>
      </c>
      <c r="D120" s="648" t="s">
        <v>53</v>
      </c>
      <c r="E120" s="648" t="s">
        <v>125</v>
      </c>
      <c r="F120" s="648" t="s">
        <v>307</v>
      </c>
      <c r="G120" s="648">
        <v>3</v>
      </c>
      <c r="H120" s="648">
        <v>20</v>
      </c>
      <c r="I120" s="648">
        <v>46000</v>
      </c>
      <c r="J120" s="648" t="s">
        <v>280</v>
      </c>
      <c r="P120" s="651" t="s">
        <v>303</v>
      </c>
      <c r="Q120" s="652">
        <v>59246.26865671642</v>
      </c>
      <c r="R120" s="653">
        <v>67</v>
      </c>
    </row>
    <row r="121" spans="2:18" x14ac:dyDescent="0.3">
      <c r="B121" s="648" t="s">
        <v>285</v>
      </c>
      <c r="C121" s="648">
        <v>2015</v>
      </c>
      <c r="D121" s="648" t="s">
        <v>54</v>
      </c>
      <c r="E121" s="648" t="s">
        <v>130</v>
      </c>
      <c r="F121" s="648" t="s">
        <v>307</v>
      </c>
      <c r="G121" s="648">
        <v>2</v>
      </c>
      <c r="H121" s="648">
        <v>9</v>
      </c>
      <c r="I121" s="648">
        <v>40500</v>
      </c>
      <c r="J121" s="648" t="s">
        <v>280</v>
      </c>
      <c r="P121" s="651" t="s">
        <v>300</v>
      </c>
      <c r="Q121" s="652">
        <v>52643.34470989761</v>
      </c>
      <c r="R121" s="653">
        <v>586</v>
      </c>
    </row>
    <row r="122" spans="2:18" x14ac:dyDescent="0.3">
      <c r="B122" s="648" t="s">
        <v>285</v>
      </c>
      <c r="C122" s="648">
        <v>2015</v>
      </c>
      <c r="D122" s="648" t="s">
        <v>54</v>
      </c>
      <c r="E122" s="648" t="s">
        <v>130</v>
      </c>
      <c r="F122" s="648" t="s">
        <v>307</v>
      </c>
      <c r="G122" s="648">
        <v>2</v>
      </c>
      <c r="H122" s="648">
        <v>10</v>
      </c>
      <c r="I122" s="648">
        <v>40500</v>
      </c>
      <c r="J122" s="648" t="s">
        <v>280</v>
      </c>
    </row>
    <row r="123" spans="2:18" x14ac:dyDescent="0.3">
      <c r="B123" s="648" t="s">
        <v>285</v>
      </c>
      <c r="C123" s="648">
        <v>2015</v>
      </c>
      <c r="D123" s="648" t="s">
        <v>54</v>
      </c>
      <c r="E123" s="648" t="s">
        <v>130</v>
      </c>
      <c r="F123" s="648" t="s">
        <v>307</v>
      </c>
      <c r="G123" s="648">
        <v>2</v>
      </c>
      <c r="H123" s="648">
        <v>11</v>
      </c>
      <c r="I123" s="648">
        <v>40500</v>
      </c>
      <c r="J123" s="648" t="s">
        <v>280</v>
      </c>
    </row>
    <row r="124" spans="2:18" x14ac:dyDescent="0.3">
      <c r="B124" s="648" t="s">
        <v>285</v>
      </c>
      <c r="C124" s="648">
        <v>2015</v>
      </c>
      <c r="D124" s="648" t="s">
        <v>54</v>
      </c>
      <c r="E124" s="648" t="s">
        <v>130</v>
      </c>
      <c r="F124" s="648" t="s">
        <v>307</v>
      </c>
      <c r="G124" s="648">
        <v>2</v>
      </c>
      <c r="H124" s="648">
        <v>12</v>
      </c>
      <c r="I124" s="648">
        <v>40500</v>
      </c>
      <c r="J124" s="648" t="s">
        <v>280</v>
      </c>
    </row>
    <row r="125" spans="2:18" x14ac:dyDescent="0.3">
      <c r="B125" s="648" t="s">
        <v>285</v>
      </c>
      <c r="C125" s="648">
        <v>2015</v>
      </c>
      <c r="D125" s="648" t="s">
        <v>54</v>
      </c>
      <c r="E125" s="648" t="s">
        <v>130</v>
      </c>
      <c r="F125" s="648" t="s">
        <v>307</v>
      </c>
      <c r="G125" s="648">
        <v>2</v>
      </c>
      <c r="H125" s="648">
        <v>13</v>
      </c>
      <c r="I125" s="648">
        <v>43500</v>
      </c>
      <c r="J125" s="648" t="s">
        <v>280</v>
      </c>
    </row>
    <row r="126" spans="2:18" x14ac:dyDescent="0.3">
      <c r="B126" s="648" t="s">
        <v>285</v>
      </c>
      <c r="C126" s="648">
        <v>2015</v>
      </c>
      <c r="D126" s="648" t="s">
        <v>54</v>
      </c>
      <c r="E126" s="648" t="s">
        <v>130</v>
      </c>
      <c r="F126" s="648" t="s">
        <v>307</v>
      </c>
      <c r="G126" s="648">
        <v>2</v>
      </c>
      <c r="H126" s="648">
        <v>14</v>
      </c>
      <c r="I126" s="648">
        <v>43500</v>
      </c>
      <c r="J126" s="648" t="s">
        <v>280</v>
      </c>
    </row>
    <row r="127" spans="2:18" collapsed="1" x14ac:dyDescent="0.3">
      <c r="B127" s="648" t="s">
        <v>285</v>
      </c>
      <c r="C127" s="648">
        <v>2015</v>
      </c>
      <c r="D127" s="648" t="s">
        <v>54</v>
      </c>
      <c r="E127" s="648" t="s">
        <v>130</v>
      </c>
      <c r="F127" s="648" t="s">
        <v>307</v>
      </c>
      <c r="G127" s="648">
        <v>2</v>
      </c>
      <c r="H127" s="648">
        <v>15</v>
      </c>
      <c r="I127" s="648">
        <v>43500</v>
      </c>
      <c r="J127" s="648" t="s">
        <v>280</v>
      </c>
    </row>
    <row r="128" spans="2:18" x14ac:dyDescent="0.3">
      <c r="B128" s="648" t="s">
        <v>285</v>
      </c>
      <c r="C128" s="648">
        <v>2015</v>
      </c>
      <c r="D128" s="648" t="s">
        <v>54</v>
      </c>
      <c r="E128" s="648" t="s">
        <v>130</v>
      </c>
      <c r="F128" s="648" t="s">
        <v>307</v>
      </c>
      <c r="G128" s="648">
        <v>2</v>
      </c>
      <c r="H128" s="648">
        <v>16</v>
      </c>
      <c r="I128" s="648">
        <v>43500</v>
      </c>
      <c r="J128" s="648" t="s">
        <v>280</v>
      </c>
    </row>
    <row r="129" spans="2:10" x14ac:dyDescent="0.3">
      <c r="B129" s="648" t="s">
        <v>285</v>
      </c>
      <c r="C129" s="648">
        <v>2015</v>
      </c>
      <c r="D129" s="648" t="s">
        <v>54</v>
      </c>
      <c r="E129" s="648" t="s">
        <v>130</v>
      </c>
      <c r="F129" s="648" t="s">
        <v>307</v>
      </c>
      <c r="G129" s="648">
        <v>2</v>
      </c>
      <c r="H129" s="648">
        <v>17</v>
      </c>
      <c r="I129" s="648">
        <v>46500</v>
      </c>
      <c r="J129" s="648" t="s">
        <v>280</v>
      </c>
    </row>
    <row r="130" spans="2:10" x14ac:dyDescent="0.3">
      <c r="B130" s="648" t="s">
        <v>285</v>
      </c>
      <c r="C130" s="648">
        <v>2015</v>
      </c>
      <c r="D130" s="648" t="s">
        <v>54</v>
      </c>
      <c r="E130" s="648" t="s">
        <v>130</v>
      </c>
      <c r="F130" s="648" t="s">
        <v>307</v>
      </c>
      <c r="G130" s="648">
        <v>2</v>
      </c>
      <c r="H130" s="648">
        <v>18</v>
      </c>
      <c r="I130" s="648">
        <v>46500</v>
      </c>
      <c r="J130" s="648" t="s">
        <v>280</v>
      </c>
    </row>
    <row r="131" spans="2:10" x14ac:dyDescent="0.3">
      <c r="B131" s="648" t="s">
        <v>285</v>
      </c>
      <c r="C131" s="648">
        <v>2015</v>
      </c>
      <c r="D131" s="648" t="s">
        <v>54</v>
      </c>
      <c r="E131" s="648" t="s">
        <v>130</v>
      </c>
      <c r="F131" s="648" t="s">
        <v>307</v>
      </c>
      <c r="G131" s="648">
        <v>2</v>
      </c>
      <c r="H131" s="648">
        <v>19</v>
      </c>
      <c r="I131" s="648">
        <v>46500</v>
      </c>
      <c r="J131" s="648" t="s">
        <v>280</v>
      </c>
    </row>
    <row r="132" spans="2:10" x14ac:dyDescent="0.3">
      <c r="B132" s="648" t="s">
        <v>285</v>
      </c>
      <c r="C132" s="648">
        <v>2015</v>
      </c>
      <c r="D132" s="648" t="s">
        <v>54</v>
      </c>
      <c r="E132" s="648" t="s">
        <v>130</v>
      </c>
      <c r="F132" s="648" t="s">
        <v>307</v>
      </c>
      <c r="G132" s="648">
        <v>2</v>
      </c>
      <c r="H132" s="648">
        <v>20</v>
      </c>
      <c r="I132" s="648">
        <v>46500</v>
      </c>
      <c r="J132" s="648" t="s">
        <v>280</v>
      </c>
    </row>
    <row r="133" spans="2:10" x14ac:dyDescent="0.3">
      <c r="B133" s="648" t="s">
        <v>323</v>
      </c>
      <c r="C133" s="648">
        <v>2016</v>
      </c>
      <c r="D133" s="648" t="s">
        <v>53</v>
      </c>
      <c r="E133" s="648" t="s">
        <v>71</v>
      </c>
      <c r="F133" s="648" t="s">
        <v>71</v>
      </c>
      <c r="G133" s="648">
        <v>4</v>
      </c>
      <c r="H133" s="648">
        <v>10</v>
      </c>
      <c r="I133" s="648">
        <v>53000</v>
      </c>
      <c r="J133" s="648" t="s">
        <v>255</v>
      </c>
    </row>
    <row r="134" spans="2:10" x14ac:dyDescent="0.3">
      <c r="B134" s="648" t="s">
        <v>323</v>
      </c>
      <c r="C134" s="648">
        <v>2016</v>
      </c>
      <c r="D134" s="648" t="s">
        <v>53</v>
      </c>
      <c r="E134" s="648" t="s">
        <v>71</v>
      </c>
      <c r="F134" s="648" t="s">
        <v>71</v>
      </c>
      <c r="G134" s="648">
        <v>4</v>
      </c>
      <c r="H134" s="648">
        <v>11</v>
      </c>
      <c r="I134" s="648">
        <v>53000</v>
      </c>
      <c r="J134" s="648" t="s">
        <v>255</v>
      </c>
    </row>
    <row r="135" spans="2:10" x14ac:dyDescent="0.3">
      <c r="B135" s="648" t="s">
        <v>323</v>
      </c>
      <c r="C135" s="648">
        <v>2016</v>
      </c>
      <c r="D135" s="648" t="s">
        <v>53</v>
      </c>
      <c r="E135" s="648" t="s">
        <v>71</v>
      </c>
      <c r="F135" s="648" t="s">
        <v>71</v>
      </c>
      <c r="G135" s="648">
        <v>4</v>
      </c>
      <c r="H135" s="648">
        <v>12</v>
      </c>
      <c r="I135" s="648">
        <v>53000</v>
      </c>
      <c r="J135" s="648" t="s">
        <v>255</v>
      </c>
    </row>
    <row r="136" spans="2:10" x14ac:dyDescent="0.3">
      <c r="B136" s="648" t="s">
        <v>323</v>
      </c>
      <c r="C136" s="648">
        <v>2016</v>
      </c>
      <c r="D136" s="648" t="s">
        <v>53</v>
      </c>
      <c r="E136" s="648" t="s">
        <v>71</v>
      </c>
      <c r="F136" s="648" t="s">
        <v>71</v>
      </c>
      <c r="G136" s="648">
        <v>4</v>
      </c>
      <c r="H136" s="648">
        <v>13</v>
      </c>
      <c r="I136" s="648">
        <v>53000</v>
      </c>
      <c r="J136" s="648" t="s">
        <v>255</v>
      </c>
    </row>
    <row r="137" spans="2:10" x14ac:dyDescent="0.3">
      <c r="B137" s="648" t="s">
        <v>323</v>
      </c>
      <c r="C137" s="648">
        <v>2016</v>
      </c>
      <c r="D137" s="648" t="s">
        <v>53</v>
      </c>
      <c r="E137" s="648" t="s">
        <v>71</v>
      </c>
      <c r="F137" s="648" t="s">
        <v>71</v>
      </c>
      <c r="G137" s="648">
        <v>4</v>
      </c>
      <c r="H137" s="648">
        <v>14</v>
      </c>
      <c r="I137" s="648">
        <v>57000</v>
      </c>
      <c r="J137" s="648" t="s">
        <v>255</v>
      </c>
    </row>
    <row r="138" spans="2:10" x14ac:dyDescent="0.3">
      <c r="B138" s="648" t="s">
        <v>323</v>
      </c>
      <c r="C138" s="648">
        <v>2016</v>
      </c>
      <c r="D138" s="648" t="s">
        <v>53</v>
      </c>
      <c r="E138" s="648" t="s">
        <v>71</v>
      </c>
      <c r="F138" s="648" t="s">
        <v>71</v>
      </c>
      <c r="G138" s="648">
        <v>4</v>
      </c>
      <c r="H138" s="648">
        <v>15</v>
      </c>
      <c r="I138" s="648">
        <v>57000</v>
      </c>
      <c r="J138" s="648" t="s">
        <v>255</v>
      </c>
    </row>
    <row r="139" spans="2:10" x14ac:dyDescent="0.3">
      <c r="B139" s="648" t="s">
        <v>323</v>
      </c>
      <c r="C139" s="648">
        <v>2016</v>
      </c>
      <c r="D139" s="648" t="s">
        <v>53</v>
      </c>
      <c r="E139" s="648" t="s">
        <v>71</v>
      </c>
      <c r="F139" s="648" t="s">
        <v>71</v>
      </c>
      <c r="G139" s="648">
        <v>4</v>
      </c>
      <c r="H139" s="648">
        <v>16</v>
      </c>
      <c r="I139" s="648">
        <v>57000</v>
      </c>
      <c r="J139" s="648" t="s">
        <v>255</v>
      </c>
    </row>
    <row r="140" spans="2:10" x14ac:dyDescent="0.3">
      <c r="B140" s="648" t="s">
        <v>323</v>
      </c>
      <c r="C140" s="648">
        <v>2016</v>
      </c>
      <c r="D140" s="648" t="s">
        <v>53</v>
      </c>
      <c r="E140" s="648" t="s">
        <v>71</v>
      </c>
      <c r="F140" s="648" t="s">
        <v>71</v>
      </c>
      <c r="G140" s="648">
        <v>4</v>
      </c>
      <c r="H140" s="648">
        <v>17</v>
      </c>
      <c r="I140" s="648">
        <v>62000</v>
      </c>
      <c r="J140" s="648" t="s">
        <v>255</v>
      </c>
    </row>
    <row r="141" spans="2:10" x14ac:dyDescent="0.3">
      <c r="B141" s="648" t="s">
        <v>323</v>
      </c>
      <c r="C141" s="648">
        <v>2016</v>
      </c>
      <c r="D141" s="648" t="s">
        <v>53</v>
      </c>
      <c r="E141" s="648" t="s">
        <v>71</v>
      </c>
      <c r="F141" s="648" t="s">
        <v>71</v>
      </c>
      <c r="G141" s="648">
        <v>4</v>
      </c>
      <c r="H141" s="648">
        <v>18</v>
      </c>
      <c r="I141" s="648">
        <v>62000</v>
      </c>
      <c r="J141" s="648" t="s">
        <v>255</v>
      </c>
    </row>
    <row r="142" spans="2:10" x14ac:dyDescent="0.3">
      <c r="B142" s="648" t="s">
        <v>323</v>
      </c>
      <c r="C142" s="648">
        <v>2016</v>
      </c>
      <c r="D142" s="648" t="s">
        <v>53</v>
      </c>
      <c r="E142" s="648" t="s">
        <v>71</v>
      </c>
      <c r="F142" s="648" t="s">
        <v>71</v>
      </c>
      <c r="G142" s="648">
        <v>4</v>
      </c>
      <c r="H142" s="648">
        <v>19</v>
      </c>
      <c r="I142" s="648">
        <v>64000</v>
      </c>
      <c r="J142" s="648" t="s">
        <v>255</v>
      </c>
    </row>
    <row r="143" spans="2:10" x14ac:dyDescent="0.3">
      <c r="B143" s="648" t="s">
        <v>323</v>
      </c>
      <c r="C143" s="648">
        <v>2016</v>
      </c>
      <c r="D143" s="648" t="s">
        <v>53</v>
      </c>
      <c r="E143" s="648" t="s">
        <v>71</v>
      </c>
      <c r="F143" s="648" t="s">
        <v>71</v>
      </c>
      <c r="G143" s="648">
        <v>4</v>
      </c>
      <c r="H143" s="648">
        <v>20</v>
      </c>
      <c r="I143" s="648">
        <v>64000</v>
      </c>
      <c r="J143" s="648" t="s">
        <v>255</v>
      </c>
    </row>
    <row r="144" spans="2:10" x14ac:dyDescent="0.3">
      <c r="B144" s="648" t="s">
        <v>286</v>
      </c>
      <c r="C144" s="648">
        <v>2016</v>
      </c>
      <c r="D144" s="648" t="s">
        <v>51</v>
      </c>
      <c r="E144" s="648" t="s">
        <v>56</v>
      </c>
      <c r="F144" s="648" t="s">
        <v>306</v>
      </c>
      <c r="G144" s="648">
        <v>7</v>
      </c>
      <c r="H144" s="648">
        <v>6</v>
      </c>
      <c r="I144" s="648">
        <v>38500</v>
      </c>
      <c r="J144" s="648" t="s">
        <v>280</v>
      </c>
    </row>
    <row r="145" spans="2:10" x14ac:dyDescent="0.3">
      <c r="B145" s="648" t="s">
        <v>286</v>
      </c>
      <c r="C145" s="648">
        <v>2016</v>
      </c>
      <c r="D145" s="648" t="s">
        <v>51</v>
      </c>
      <c r="E145" s="648" t="s">
        <v>56</v>
      </c>
      <c r="F145" s="648" t="s">
        <v>306</v>
      </c>
      <c r="G145" s="648">
        <v>7</v>
      </c>
      <c r="H145" s="648">
        <v>7</v>
      </c>
      <c r="I145" s="648">
        <v>38500</v>
      </c>
      <c r="J145" s="648" t="s">
        <v>280</v>
      </c>
    </row>
    <row r="146" spans="2:10" x14ac:dyDescent="0.3">
      <c r="B146" s="648" t="s">
        <v>286</v>
      </c>
      <c r="C146" s="648">
        <v>2016</v>
      </c>
      <c r="D146" s="648" t="s">
        <v>51</v>
      </c>
      <c r="E146" s="648" t="s">
        <v>56</v>
      </c>
      <c r="F146" s="648" t="s">
        <v>306</v>
      </c>
      <c r="G146" s="648">
        <v>7</v>
      </c>
      <c r="H146" s="648">
        <v>8</v>
      </c>
      <c r="I146" s="648">
        <v>38500</v>
      </c>
      <c r="J146" s="648" t="s">
        <v>280</v>
      </c>
    </row>
    <row r="147" spans="2:10" x14ac:dyDescent="0.3">
      <c r="B147" s="648" t="s">
        <v>286</v>
      </c>
      <c r="C147" s="648">
        <v>2016</v>
      </c>
      <c r="D147" s="648" t="s">
        <v>51</v>
      </c>
      <c r="E147" s="648" t="s">
        <v>56</v>
      </c>
      <c r="F147" s="648" t="s">
        <v>306</v>
      </c>
      <c r="G147" s="648">
        <v>7</v>
      </c>
      <c r="H147" s="648">
        <v>9</v>
      </c>
      <c r="I147" s="648">
        <v>41500</v>
      </c>
      <c r="J147" s="648" t="s">
        <v>280</v>
      </c>
    </row>
    <row r="148" spans="2:10" x14ac:dyDescent="0.3">
      <c r="B148" s="648" t="s">
        <v>286</v>
      </c>
      <c r="C148" s="648">
        <v>2016</v>
      </c>
      <c r="D148" s="648" t="s">
        <v>51</v>
      </c>
      <c r="E148" s="648" t="s">
        <v>56</v>
      </c>
      <c r="F148" s="648" t="s">
        <v>306</v>
      </c>
      <c r="G148" s="648">
        <v>7</v>
      </c>
      <c r="H148" s="648">
        <v>10</v>
      </c>
      <c r="I148" s="648">
        <v>41500</v>
      </c>
      <c r="J148" s="648" t="s">
        <v>280</v>
      </c>
    </row>
    <row r="149" spans="2:10" x14ac:dyDescent="0.3">
      <c r="B149" s="648" t="s">
        <v>286</v>
      </c>
      <c r="C149" s="648">
        <v>2016</v>
      </c>
      <c r="D149" s="648" t="s">
        <v>51</v>
      </c>
      <c r="E149" s="648" t="s">
        <v>56</v>
      </c>
      <c r="F149" s="648" t="s">
        <v>306</v>
      </c>
      <c r="G149" s="648">
        <v>7</v>
      </c>
      <c r="H149" s="648">
        <v>11</v>
      </c>
      <c r="I149" s="648">
        <v>41500</v>
      </c>
      <c r="J149" s="648" t="s">
        <v>280</v>
      </c>
    </row>
    <row r="150" spans="2:10" x14ac:dyDescent="0.3">
      <c r="B150" s="648" t="s">
        <v>286</v>
      </c>
      <c r="C150" s="648">
        <v>2016</v>
      </c>
      <c r="D150" s="648" t="s">
        <v>51</v>
      </c>
      <c r="E150" s="648" t="s">
        <v>56</v>
      </c>
      <c r="F150" s="648" t="s">
        <v>306</v>
      </c>
      <c r="G150" s="648">
        <v>7</v>
      </c>
      <c r="H150" s="648">
        <v>12</v>
      </c>
      <c r="I150" s="648">
        <v>45000</v>
      </c>
      <c r="J150" s="648" t="s">
        <v>280</v>
      </c>
    </row>
    <row r="151" spans="2:10" x14ac:dyDescent="0.3">
      <c r="B151" s="648" t="s">
        <v>286</v>
      </c>
      <c r="C151" s="648">
        <v>2016</v>
      </c>
      <c r="D151" s="648" t="s">
        <v>51</v>
      </c>
      <c r="E151" s="648" t="s">
        <v>56</v>
      </c>
      <c r="F151" s="648" t="s">
        <v>306</v>
      </c>
      <c r="G151" s="648">
        <v>7</v>
      </c>
      <c r="H151" s="648">
        <v>13</v>
      </c>
      <c r="I151" s="648">
        <v>45000</v>
      </c>
      <c r="J151" s="648" t="s">
        <v>280</v>
      </c>
    </row>
    <row r="152" spans="2:10" x14ac:dyDescent="0.3">
      <c r="B152" s="648" t="s">
        <v>286</v>
      </c>
      <c r="C152" s="648">
        <v>2016</v>
      </c>
      <c r="D152" s="648" t="s">
        <v>51</v>
      </c>
      <c r="E152" s="648" t="s">
        <v>56</v>
      </c>
      <c r="F152" s="648" t="s">
        <v>306</v>
      </c>
      <c r="G152" s="648">
        <v>7</v>
      </c>
      <c r="H152" s="648">
        <v>14</v>
      </c>
      <c r="I152" s="648">
        <v>45000</v>
      </c>
      <c r="J152" s="648" t="s">
        <v>280</v>
      </c>
    </row>
    <row r="153" spans="2:10" x14ac:dyDescent="0.3">
      <c r="B153" s="648" t="s">
        <v>286</v>
      </c>
      <c r="C153" s="648">
        <v>2016</v>
      </c>
      <c r="D153" s="648" t="s">
        <v>51</v>
      </c>
      <c r="E153" s="648" t="s">
        <v>56</v>
      </c>
      <c r="F153" s="648" t="s">
        <v>306</v>
      </c>
      <c r="G153" s="648">
        <v>7</v>
      </c>
      <c r="H153" s="648">
        <v>15</v>
      </c>
      <c r="I153" s="648">
        <v>45000</v>
      </c>
      <c r="J153" s="648" t="s">
        <v>280</v>
      </c>
    </row>
    <row r="154" spans="2:10" x14ac:dyDescent="0.3">
      <c r="B154" s="648" t="s">
        <v>286</v>
      </c>
      <c r="C154" s="648">
        <v>2016</v>
      </c>
      <c r="D154" s="648" t="s">
        <v>51</v>
      </c>
      <c r="E154" s="648" t="s">
        <v>56</v>
      </c>
      <c r="F154" s="648" t="s">
        <v>306</v>
      </c>
      <c r="G154" s="648">
        <v>7</v>
      </c>
      <c r="H154" s="648">
        <v>16</v>
      </c>
      <c r="I154" s="648">
        <v>49500</v>
      </c>
      <c r="J154" s="648" t="s">
        <v>280</v>
      </c>
    </row>
    <row r="155" spans="2:10" collapsed="1" x14ac:dyDescent="0.3">
      <c r="B155" s="648" t="s">
        <v>286</v>
      </c>
      <c r="C155" s="648">
        <v>2016</v>
      </c>
      <c r="D155" s="648" t="s">
        <v>51</v>
      </c>
      <c r="E155" s="648" t="s">
        <v>56</v>
      </c>
      <c r="F155" s="648" t="s">
        <v>306</v>
      </c>
      <c r="G155" s="648">
        <v>7</v>
      </c>
      <c r="H155" s="648">
        <v>17</v>
      </c>
      <c r="I155" s="648">
        <v>49500</v>
      </c>
      <c r="J155" s="648" t="s">
        <v>280</v>
      </c>
    </row>
    <row r="156" spans="2:10" x14ac:dyDescent="0.3">
      <c r="B156" s="648" t="s">
        <v>286</v>
      </c>
      <c r="C156" s="648">
        <v>2016</v>
      </c>
      <c r="D156" s="648" t="s">
        <v>51</v>
      </c>
      <c r="E156" s="648" t="s">
        <v>56</v>
      </c>
      <c r="F156" s="648" t="s">
        <v>306</v>
      </c>
      <c r="G156" s="648">
        <v>7</v>
      </c>
      <c r="H156" s="648">
        <v>18</v>
      </c>
      <c r="I156" s="648">
        <v>49500</v>
      </c>
      <c r="J156" s="648" t="s">
        <v>280</v>
      </c>
    </row>
    <row r="157" spans="2:10" x14ac:dyDescent="0.3">
      <c r="B157" s="648" t="s">
        <v>286</v>
      </c>
      <c r="C157" s="648">
        <v>2016</v>
      </c>
      <c r="D157" s="648" t="s">
        <v>51</v>
      </c>
      <c r="E157" s="648" t="s">
        <v>56</v>
      </c>
      <c r="F157" s="648" t="s">
        <v>306</v>
      </c>
      <c r="G157" s="648">
        <v>7</v>
      </c>
      <c r="H157" s="648">
        <v>19</v>
      </c>
      <c r="I157" s="648">
        <v>49500</v>
      </c>
      <c r="J157" s="648" t="s">
        <v>280</v>
      </c>
    </row>
    <row r="158" spans="2:10" x14ac:dyDescent="0.3">
      <c r="B158" s="648" t="s">
        <v>286</v>
      </c>
      <c r="C158" s="648">
        <v>2016</v>
      </c>
      <c r="D158" s="648" t="s">
        <v>51</v>
      </c>
      <c r="E158" s="648" t="s">
        <v>56</v>
      </c>
      <c r="F158" s="648" t="s">
        <v>306</v>
      </c>
      <c r="G158" s="648">
        <v>7</v>
      </c>
      <c r="H158" s="648">
        <v>20</v>
      </c>
      <c r="I158" s="648">
        <v>49500</v>
      </c>
      <c r="J158" s="648" t="s">
        <v>280</v>
      </c>
    </row>
    <row r="159" spans="2:10" x14ac:dyDescent="0.3">
      <c r="B159" s="648" t="s">
        <v>287</v>
      </c>
      <c r="C159" s="648">
        <v>2015</v>
      </c>
      <c r="D159" s="648" t="s">
        <v>51</v>
      </c>
      <c r="E159" s="648" t="s">
        <v>288</v>
      </c>
      <c r="F159" s="648" t="s">
        <v>307</v>
      </c>
      <c r="G159" s="648">
        <v>1</v>
      </c>
      <c r="H159" s="648">
        <v>13</v>
      </c>
      <c r="I159" s="648">
        <v>41000</v>
      </c>
      <c r="J159" s="648" t="s">
        <v>280</v>
      </c>
    </row>
    <row r="160" spans="2:10" x14ac:dyDescent="0.3">
      <c r="B160" s="648" t="s">
        <v>287</v>
      </c>
      <c r="C160" s="648">
        <v>2015</v>
      </c>
      <c r="D160" s="648" t="s">
        <v>51</v>
      </c>
      <c r="E160" s="648" t="s">
        <v>288</v>
      </c>
      <c r="F160" s="648" t="s">
        <v>307</v>
      </c>
      <c r="G160" s="648">
        <v>1</v>
      </c>
      <c r="H160" s="648">
        <v>14</v>
      </c>
      <c r="I160" s="648">
        <v>41000</v>
      </c>
      <c r="J160" s="648" t="s">
        <v>280</v>
      </c>
    </row>
    <row r="161" spans="2:10" x14ac:dyDescent="0.3">
      <c r="B161" s="648" t="s">
        <v>287</v>
      </c>
      <c r="C161" s="648">
        <v>2015</v>
      </c>
      <c r="D161" s="648" t="s">
        <v>51</v>
      </c>
      <c r="E161" s="648" t="s">
        <v>288</v>
      </c>
      <c r="F161" s="648" t="s">
        <v>307</v>
      </c>
      <c r="G161" s="648">
        <v>1</v>
      </c>
      <c r="H161" s="648">
        <v>15</v>
      </c>
      <c r="I161" s="648">
        <v>41000</v>
      </c>
      <c r="J161" s="648" t="s">
        <v>280</v>
      </c>
    </row>
    <row r="162" spans="2:10" x14ac:dyDescent="0.3">
      <c r="B162" s="648" t="s">
        <v>287</v>
      </c>
      <c r="C162" s="648">
        <v>2015</v>
      </c>
      <c r="D162" s="648" t="s">
        <v>51</v>
      </c>
      <c r="E162" s="648" t="s">
        <v>288</v>
      </c>
      <c r="F162" s="648" t="s">
        <v>307</v>
      </c>
      <c r="G162" s="648">
        <v>1</v>
      </c>
      <c r="H162" s="648">
        <v>16</v>
      </c>
      <c r="I162" s="648">
        <v>45000</v>
      </c>
      <c r="J162" s="648" t="s">
        <v>280</v>
      </c>
    </row>
    <row r="163" spans="2:10" collapsed="1" x14ac:dyDescent="0.3">
      <c r="B163" s="648" t="s">
        <v>287</v>
      </c>
      <c r="C163" s="648">
        <v>2015</v>
      </c>
      <c r="D163" s="648" t="s">
        <v>51</v>
      </c>
      <c r="E163" s="648" t="s">
        <v>288</v>
      </c>
      <c r="F163" s="648" t="s">
        <v>307</v>
      </c>
      <c r="G163" s="648">
        <v>1</v>
      </c>
      <c r="H163" s="648">
        <v>17</v>
      </c>
      <c r="I163" s="648">
        <v>45000</v>
      </c>
      <c r="J163" s="648" t="s">
        <v>280</v>
      </c>
    </row>
    <row r="164" spans="2:10" x14ac:dyDescent="0.3">
      <c r="B164" s="648" t="s">
        <v>287</v>
      </c>
      <c r="C164" s="648">
        <v>2015</v>
      </c>
      <c r="D164" s="648" t="s">
        <v>51</v>
      </c>
      <c r="E164" s="648" t="s">
        <v>288</v>
      </c>
      <c r="F164" s="648" t="s">
        <v>307</v>
      </c>
      <c r="G164" s="648">
        <v>1</v>
      </c>
      <c r="H164" s="648">
        <v>18</v>
      </c>
      <c r="I164" s="648">
        <v>45000</v>
      </c>
      <c r="J164" s="648" t="s">
        <v>280</v>
      </c>
    </row>
    <row r="165" spans="2:10" x14ac:dyDescent="0.3">
      <c r="B165" s="648" t="s">
        <v>287</v>
      </c>
      <c r="C165" s="648">
        <v>2015</v>
      </c>
      <c r="D165" s="648" t="s">
        <v>51</v>
      </c>
      <c r="E165" s="648" t="s">
        <v>288</v>
      </c>
      <c r="F165" s="648" t="s">
        <v>307</v>
      </c>
      <c r="G165" s="648">
        <v>1</v>
      </c>
      <c r="H165" s="648">
        <v>19</v>
      </c>
      <c r="I165" s="648">
        <v>45000</v>
      </c>
      <c r="J165" s="648" t="s">
        <v>280</v>
      </c>
    </row>
    <row r="166" spans="2:10" x14ac:dyDescent="0.3">
      <c r="B166" s="648" t="s">
        <v>287</v>
      </c>
      <c r="C166" s="648">
        <v>2015</v>
      </c>
      <c r="D166" s="648" t="s">
        <v>51</v>
      </c>
      <c r="E166" s="648" t="s">
        <v>288</v>
      </c>
      <c r="F166" s="648" t="s">
        <v>307</v>
      </c>
      <c r="G166" s="648">
        <v>1</v>
      </c>
      <c r="H166" s="648">
        <v>20</v>
      </c>
      <c r="I166" s="648">
        <v>45000</v>
      </c>
      <c r="J166" s="648" t="s">
        <v>280</v>
      </c>
    </row>
    <row r="167" spans="2:10" x14ac:dyDescent="0.3">
      <c r="B167" s="648" t="s">
        <v>287</v>
      </c>
      <c r="C167" s="648">
        <v>2015</v>
      </c>
      <c r="D167" s="648" t="s">
        <v>51</v>
      </c>
      <c r="E167" s="648" t="s">
        <v>288</v>
      </c>
      <c r="F167" s="648" t="s">
        <v>306</v>
      </c>
      <c r="G167" s="648">
        <v>1</v>
      </c>
      <c r="H167" s="648">
        <v>13</v>
      </c>
      <c r="I167" s="648">
        <v>45500</v>
      </c>
      <c r="J167" s="648" t="s">
        <v>280</v>
      </c>
    </row>
    <row r="168" spans="2:10" x14ac:dyDescent="0.3">
      <c r="B168" s="648" t="s">
        <v>287</v>
      </c>
      <c r="C168" s="648">
        <v>2015</v>
      </c>
      <c r="D168" s="648" t="s">
        <v>51</v>
      </c>
      <c r="E168" s="648" t="s">
        <v>288</v>
      </c>
      <c r="F168" s="648" t="s">
        <v>306</v>
      </c>
      <c r="G168" s="648">
        <v>1</v>
      </c>
      <c r="H168" s="648">
        <v>14</v>
      </c>
      <c r="I168" s="648">
        <v>45500</v>
      </c>
      <c r="J168" s="648" t="s">
        <v>280</v>
      </c>
    </row>
    <row r="169" spans="2:10" x14ac:dyDescent="0.3">
      <c r="B169" s="648" t="s">
        <v>287</v>
      </c>
      <c r="C169" s="648">
        <v>2015</v>
      </c>
      <c r="D169" s="648" t="s">
        <v>51</v>
      </c>
      <c r="E169" s="648" t="s">
        <v>288</v>
      </c>
      <c r="F169" s="648" t="s">
        <v>306</v>
      </c>
      <c r="G169" s="648">
        <v>1</v>
      </c>
      <c r="H169" s="648">
        <v>15</v>
      </c>
      <c r="I169" s="648">
        <v>45500</v>
      </c>
      <c r="J169" s="648" t="s">
        <v>280</v>
      </c>
    </row>
    <row r="170" spans="2:10" x14ac:dyDescent="0.3">
      <c r="B170" s="648" t="s">
        <v>287</v>
      </c>
      <c r="C170" s="648">
        <v>2015</v>
      </c>
      <c r="D170" s="648" t="s">
        <v>51</v>
      </c>
      <c r="E170" s="648" t="s">
        <v>288</v>
      </c>
      <c r="F170" s="648" t="s">
        <v>306</v>
      </c>
      <c r="G170" s="648">
        <v>1</v>
      </c>
      <c r="H170" s="648">
        <v>16</v>
      </c>
      <c r="I170" s="648">
        <v>50500</v>
      </c>
      <c r="J170" s="648" t="s">
        <v>280</v>
      </c>
    </row>
    <row r="171" spans="2:10" x14ac:dyDescent="0.3">
      <c r="B171" s="648" t="s">
        <v>287</v>
      </c>
      <c r="C171" s="648">
        <v>2015</v>
      </c>
      <c r="D171" s="648" t="s">
        <v>51</v>
      </c>
      <c r="E171" s="648" t="s">
        <v>288</v>
      </c>
      <c r="F171" s="648" t="s">
        <v>306</v>
      </c>
      <c r="G171" s="648">
        <v>1</v>
      </c>
      <c r="H171" s="648">
        <v>17</v>
      </c>
      <c r="I171" s="648">
        <v>50500</v>
      </c>
      <c r="J171" s="648" t="s">
        <v>280</v>
      </c>
    </row>
    <row r="172" spans="2:10" x14ac:dyDescent="0.3">
      <c r="B172" s="648" t="s">
        <v>287</v>
      </c>
      <c r="C172" s="648">
        <v>2015</v>
      </c>
      <c r="D172" s="648" t="s">
        <v>51</v>
      </c>
      <c r="E172" s="648" t="s">
        <v>288</v>
      </c>
      <c r="F172" s="648" t="s">
        <v>306</v>
      </c>
      <c r="G172" s="648">
        <v>1</v>
      </c>
      <c r="H172" s="648">
        <v>18</v>
      </c>
      <c r="I172" s="648">
        <v>50500</v>
      </c>
      <c r="J172" s="648" t="s">
        <v>280</v>
      </c>
    </row>
    <row r="173" spans="2:10" x14ac:dyDescent="0.3">
      <c r="B173" s="648" t="s">
        <v>287</v>
      </c>
      <c r="C173" s="648">
        <v>2015</v>
      </c>
      <c r="D173" s="648" t="s">
        <v>51</v>
      </c>
      <c r="E173" s="648" t="s">
        <v>288</v>
      </c>
      <c r="F173" s="648" t="s">
        <v>306</v>
      </c>
      <c r="G173" s="648">
        <v>1</v>
      </c>
      <c r="H173" s="648">
        <v>19</v>
      </c>
      <c r="I173" s="648">
        <v>50500</v>
      </c>
      <c r="J173" s="648" t="s">
        <v>280</v>
      </c>
    </row>
    <row r="174" spans="2:10" x14ac:dyDescent="0.3">
      <c r="B174" s="648" t="s">
        <v>287</v>
      </c>
      <c r="C174" s="648">
        <v>2015</v>
      </c>
      <c r="D174" s="648" t="s">
        <v>51</v>
      </c>
      <c r="E174" s="648" t="s">
        <v>288</v>
      </c>
      <c r="F174" s="648" t="s">
        <v>306</v>
      </c>
      <c r="G174" s="648">
        <v>1</v>
      </c>
      <c r="H174" s="648">
        <v>20</v>
      </c>
      <c r="I174" s="648">
        <v>50500</v>
      </c>
      <c r="J174" s="648" t="s">
        <v>280</v>
      </c>
    </row>
    <row r="175" spans="2:10" x14ac:dyDescent="0.3">
      <c r="B175" s="648" t="s">
        <v>289</v>
      </c>
      <c r="C175" s="648">
        <v>2016</v>
      </c>
      <c r="D175" s="648" t="s">
        <v>53</v>
      </c>
      <c r="E175" s="648" t="s">
        <v>266</v>
      </c>
      <c r="F175" s="648" t="s">
        <v>57</v>
      </c>
      <c r="G175" s="648">
        <v>1</v>
      </c>
      <c r="H175" s="648">
        <v>15</v>
      </c>
      <c r="I175" s="648">
        <v>38150</v>
      </c>
      <c r="J175" s="648" t="s">
        <v>280</v>
      </c>
    </row>
    <row r="176" spans="2:10" x14ac:dyDescent="0.3">
      <c r="B176" s="648" t="s">
        <v>289</v>
      </c>
      <c r="C176" s="648">
        <v>2016</v>
      </c>
      <c r="D176" s="648" t="s">
        <v>53</v>
      </c>
      <c r="E176" s="648" t="s">
        <v>266</v>
      </c>
      <c r="F176" s="648" t="s">
        <v>57</v>
      </c>
      <c r="G176" s="648">
        <v>1</v>
      </c>
      <c r="H176" s="648">
        <v>16</v>
      </c>
      <c r="I176" s="648">
        <v>38150</v>
      </c>
      <c r="J176" s="648" t="s">
        <v>280</v>
      </c>
    </row>
    <row r="177" spans="2:10" x14ac:dyDescent="0.3">
      <c r="B177" s="648" t="s">
        <v>289</v>
      </c>
      <c r="C177" s="648">
        <v>2016</v>
      </c>
      <c r="D177" s="648" t="s">
        <v>53</v>
      </c>
      <c r="E177" s="648" t="s">
        <v>266</v>
      </c>
      <c r="F177" s="648" t="s">
        <v>57</v>
      </c>
      <c r="G177" s="648">
        <v>1</v>
      </c>
      <c r="H177" s="648">
        <v>17</v>
      </c>
      <c r="I177" s="648">
        <v>38150</v>
      </c>
      <c r="J177" s="648" t="s">
        <v>280</v>
      </c>
    </row>
    <row r="178" spans="2:10" x14ac:dyDescent="0.3">
      <c r="B178" s="648" t="s">
        <v>289</v>
      </c>
      <c r="C178" s="648">
        <v>2016</v>
      </c>
      <c r="D178" s="648" t="s">
        <v>53</v>
      </c>
      <c r="E178" s="648" t="s">
        <v>266</v>
      </c>
      <c r="F178" s="648" t="s">
        <v>57</v>
      </c>
      <c r="G178" s="648">
        <v>1</v>
      </c>
      <c r="H178" s="648">
        <v>18</v>
      </c>
      <c r="I178" s="648">
        <v>38150</v>
      </c>
      <c r="J178" s="648" t="s">
        <v>280</v>
      </c>
    </row>
    <row r="179" spans="2:10" x14ac:dyDescent="0.3">
      <c r="B179" s="648" t="s">
        <v>289</v>
      </c>
      <c r="C179" s="648">
        <v>2016</v>
      </c>
      <c r="D179" s="648" t="s">
        <v>53</v>
      </c>
      <c r="E179" s="648" t="s">
        <v>266</v>
      </c>
      <c r="F179" s="648" t="s">
        <v>57</v>
      </c>
      <c r="G179" s="648">
        <v>1</v>
      </c>
      <c r="H179" s="648">
        <v>19</v>
      </c>
      <c r="I179" s="648">
        <v>38150</v>
      </c>
      <c r="J179" s="648" t="s">
        <v>280</v>
      </c>
    </row>
    <row r="180" spans="2:10" x14ac:dyDescent="0.3">
      <c r="B180" s="648" t="s">
        <v>289</v>
      </c>
      <c r="C180" s="648">
        <v>2016</v>
      </c>
      <c r="D180" s="648" t="s">
        <v>53</v>
      </c>
      <c r="E180" s="648" t="s">
        <v>266</v>
      </c>
      <c r="F180" s="648" t="s">
        <v>57</v>
      </c>
      <c r="G180" s="648">
        <v>1</v>
      </c>
      <c r="H180" s="648">
        <v>20</v>
      </c>
      <c r="I180" s="648">
        <v>38150</v>
      </c>
      <c r="J180" s="648" t="s">
        <v>280</v>
      </c>
    </row>
    <row r="181" spans="2:10" collapsed="1" x14ac:dyDescent="0.3">
      <c r="B181" s="648" t="s">
        <v>258</v>
      </c>
      <c r="C181" s="648">
        <v>2016</v>
      </c>
      <c r="D181" s="648" t="s">
        <v>53</v>
      </c>
      <c r="E181" s="648" t="s">
        <v>259</v>
      </c>
      <c r="F181" s="648" t="s">
        <v>259</v>
      </c>
      <c r="G181" s="648">
        <v>1</v>
      </c>
      <c r="H181" s="648">
        <v>10</v>
      </c>
      <c r="I181" s="648">
        <v>59000</v>
      </c>
      <c r="J181" s="648" t="s">
        <v>255</v>
      </c>
    </row>
    <row r="182" spans="2:10" x14ac:dyDescent="0.3">
      <c r="B182" s="648" t="s">
        <v>258</v>
      </c>
      <c r="C182" s="648">
        <v>2016</v>
      </c>
      <c r="D182" s="648" t="s">
        <v>53</v>
      </c>
      <c r="E182" s="648" t="s">
        <v>259</v>
      </c>
      <c r="F182" s="648" t="s">
        <v>259</v>
      </c>
      <c r="G182" s="648">
        <v>1</v>
      </c>
      <c r="H182" s="648">
        <v>3</v>
      </c>
      <c r="I182" s="648">
        <v>54000</v>
      </c>
      <c r="J182" s="648" t="s">
        <v>255</v>
      </c>
    </row>
    <row r="183" spans="2:10" x14ac:dyDescent="0.3">
      <c r="B183" s="648" t="s">
        <v>258</v>
      </c>
      <c r="C183" s="648">
        <v>2016</v>
      </c>
      <c r="D183" s="648" t="s">
        <v>53</v>
      </c>
      <c r="E183" s="648" t="s">
        <v>259</v>
      </c>
      <c r="F183" s="648" t="s">
        <v>259</v>
      </c>
      <c r="G183" s="648">
        <v>1</v>
      </c>
      <c r="H183" s="648">
        <v>4</v>
      </c>
      <c r="I183" s="648">
        <v>54000</v>
      </c>
      <c r="J183" s="648" t="s">
        <v>255</v>
      </c>
    </row>
    <row r="184" spans="2:10" x14ac:dyDescent="0.3">
      <c r="B184" s="648" t="s">
        <v>258</v>
      </c>
      <c r="C184" s="648">
        <v>2016</v>
      </c>
      <c r="D184" s="648" t="s">
        <v>53</v>
      </c>
      <c r="E184" s="648" t="s">
        <v>259</v>
      </c>
      <c r="F184" s="648" t="s">
        <v>259</v>
      </c>
      <c r="G184" s="648">
        <v>1</v>
      </c>
      <c r="H184" s="648">
        <v>5</v>
      </c>
      <c r="I184" s="648">
        <v>54000</v>
      </c>
      <c r="J184" s="648" t="s">
        <v>255</v>
      </c>
    </row>
    <row r="185" spans="2:10" x14ac:dyDescent="0.3">
      <c r="B185" s="648" t="s">
        <v>258</v>
      </c>
      <c r="C185" s="648">
        <v>2016</v>
      </c>
      <c r="D185" s="648" t="s">
        <v>53</v>
      </c>
      <c r="E185" s="648" t="s">
        <v>259</v>
      </c>
      <c r="F185" s="648" t="s">
        <v>259</v>
      </c>
      <c r="G185" s="648">
        <v>1</v>
      </c>
      <c r="H185" s="648">
        <v>6</v>
      </c>
      <c r="I185" s="648">
        <v>59000</v>
      </c>
      <c r="J185" s="648" t="s">
        <v>255</v>
      </c>
    </row>
    <row r="186" spans="2:10" x14ac:dyDescent="0.3">
      <c r="B186" s="648" t="s">
        <v>258</v>
      </c>
      <c r="C186" s="648">
        <v>2016</v>
      </c>
      <c r="D186" s="648" t="s">
        <v>53</v>
      </c>
      <c r="E186" s="648" t="s">
        <v>259</v>
      </c>
      <c r="F186" s="648" t="s">
        <v>259</v>
      </c>
      <c r="G186" s="648">
        <v>1</v>
      </c>
      <c r="H186" s="648">
        <v>7</v>
      </c>
      <c r="I186" s="648">
        <v>59000</v>
      </c>
      <c r="J186" s="648" t="s">
        <v>255</v>
      </c>
    </row>
    <row r="187" spans="2:10" x14ac:dyDescent="0.3">
      <c r="B187" s="648" t="s">
        <v>258</v>
      </c>
      <c r="C187" s="648">
        <v>2016</v>
      </c>
      <c r="D187" s="648" t="s">
        <v>53</v>
      </c>
      <c r="E187" s="648" t="s">
        <v>259</v>
      </c>
      <c r="F187" s="648" t="s">
        <v>259</v>
      </c>
      <c r="G187" s="648">
        <v>1</v>
      </c>
      <c r="H187" s="648">
        <v>8</v>
      </c>
      <c r="I187" s="648">
        <v>59000</v>
      </c>
      <c r="J187" s="648" t="s">
        <v>255</v>
      </c>
    </row>
    <row r="188" spans="2:10" x14ac:dyDescent="0.3">
      <c r="B188" s="648" t="s">
        <v>258</v>
      </c>
      <c r="C188" s="648">
        <v>2016</v>
      </c>
      <c r="D188" s="648" t="s">
        <v>53</v>
      </c>
      <c r="E188" s="648" t="s">
        <v>259</v>
      </c>
      <c r="F188" s="648" t="s">
        <v>259</v>
      </c>
      <c r="G188" s="648">
        <v>1</v>
      </c>
      <c r="H188" s="648">
        <v>9</v>
      </c>
      <c r="I188" s="648">
        <v>59000</v>
      </c>
      <c r="J188" s="648" t="s">
        <v>255</v>
      </c>
    </row>
    <row r="189" spans="2:10" x14ac:dyDescent="0.3">
      <c r="B189" s="648" t="s">
        <v>258</v>
      </c>
      <c r="C189" s="648">
        <v>2016</v>
      </c>
      <c r="D189" s="648" t="s">
        <v>53</v>
      </c>
      <c r="E189" s="648" t="s">
        <v>259</v>
      </c>
      <c r="F189" s="648" t="s">
        <v>259</v>
      </c>
      <c r="G189" s="648">
        <v>1</v>
      </c>
      <c r="H189" s="648">
        <v>11</v>
      </c>
      <c r="I189" s="648">
        <v>64000</v>
      </c>
      <c r="J189" s="648" t="s">
        <v>255</v>
      </c>
    </row>
    <row r="190" spans="2:10" x14ac:dyDescent="0.3">
      <c r="B190" s="648" t="s">
        <v>258</v>
      </c>
      <c r="C190" s="648">
        <v>2016</v>
      </c>
      <c r="D190" s="648" t="s">
        <v>53</v>
      </c>
      <c r="E190" s="648" t="s">
        <v>259</v>
      </c>
      <c r="F190" s="648" t="s">
        <v>259</v>
      </c>
      <c r="G190" s="648">
        <v>1</v>
      </c>
      <c r="H190" s="648">
        <v>12</v>
      </c>
      <c r="I190" s="648">
        <v>64000</v>
      </c>
      <c r="J190" s="648" t="s">
        <v>255</v>
      </c>
    </row>
    <row r="191" spans="2:10" x14ac:dyDescent="0.3">
      <c r="B191" s="648" t="s">
        <v>258</v>
      </c>
      <c r="C191" s="648">
        <v>2016</v>
      </c>
      <c r="D191" s="648" t="s">
        <v>53</v>
      </c>
      <c r="E191" s="648" t="s">
        <v>259</v>
      </c>
      <c r="F191" s="648" t="s">
        <v>259</v>
      </c>
      <c r="G191" s="648">
        <v>1</v>
      </c>
      <c r="H191" s="648">
        <v>13</v>
      </c>
      <c r="I191" s="648">
        <v>64000</v>
      </c>
      <c r="J191" s="648" t="s">
        <v>255</v>
      </c>
    </row>
    <row r="192" spans="2:10" collapsed="1" x14ac:dyDescent="0.3">
      <c r="B192" s="648" t="s">
        <v>258</v>
      </c>
      <c r="C192" s="648">
        <v>2016</v>
      </c>
      <c r="D192" s="648" t="s">
        <v>53</v>
      </c>
      <c r="E192" s="648" t="s">
        <v>259</v>
      </c>
      <c r="F192" s="648" t="s">
        <v>259</v>
      </c>
      <c r="G192" s="648">
        <v>1</v>
      </c>
      <c r="H192" s="648">
        <v>14</v>
      </c>
      <c r="I192" s="648">
        <v>64000</v>
      </c>
      <c r="J192" s="648" t="s">
        <v>255</v>
      </c>
    </row>
    <row r="193" spans="2:10" x14ac:dyDescent="0.3">
      <c r="B193" s="648" t="s">
        <v>258</v>
      </c>
      <c r="C193" s="648">
        <v>2016</v>
      </c>
      <c r="D193" s="648" t="s">
        <v>53</v>
      </c>
      <c r="E193" s="648" t="s">
        <v>259</v>
      </c>
      <c r="F193" s="648" t="s">
        <v>259</v>
      </c>
      <c r="G193" s="648">
        <v>1</v>
      </c>
      <c r="H193" s="648">
        <v>15</v>
      </c>
      <c r="I193" s="648">
        <v>64000</v>
      </c>
      <c r="J193" s="648" t="s">
        <v>255</v>
      </c>
    </row>
    <row r="194" spans="2:10" x14ac:dyDescent="0.3">
      <c r="B194" s="648" t="s">
        <v>258</v>
      </c>
      <c r="C194" s="648">
        <v>2016</v>
      </c>
      <c r="D194" s="648" t="s">
        <v>53</v>
      </c>
      <c r="E194" s="648" t="s">
        <v>259</v>
      </c>
      <c r="F194" s="648" t="s">
        <v>259</v>
      </c>
      <c r="G194" s="648">
        <v>1</v>
      </c>
      <c r="H194" s="648">
        <v>16</v>
      </c>
      <c r="I194" s="648">
        <v>70000</v>
      </c>
      <c r="J194" s="648" t="s">
        <v>255</v>
      </c>
    </row>
    <row r="195" spans="2:10" x14ac:dyDescent="0.3">
      <c r="B195" s="648" t="s">
        <v>258</v>
      </c>
      <c r="C195" s="648">
        <v>2016</v>
      </c>
      <c r="D195" s="648" t="s">
        <v>53</v>
      </c>
      <c r="E195" s="648" t="s">
        <v>259</v>
      </c>
      <c r="F195" s="648" t="s">
        <v>259</v>
      </c>
      <c r="G195" s="648">
        <v>1</v>
      </c>
      <c r="H195" s="648">
        <v>17</v>
      </c>
      <c r="I195" s="648">
        <v>70000</v>
      </c>
      <c r="J195" s="648" t="s">
        <v>255</v>
      </c>
    </row>
    <row r="196" spans="2:10" x14ac:dyDescent="0.3">
      <c r="B196" s="648" t="s">
        <v>258</v>
      </c>
      <c r="C196" s="648">
        <v>2016</v>
      </c>
      <c r="D196" s="648" t="s">
        <v>53</v>
      </c>
      <c r="E196" s="648" t="s">
        <v>259</v>
      </c>
      <c r="F196" s="648" t="s">
        <v>259</v>
      </c>
      <c r="G196" s="648">
        <v>1</v>
      </c>
      <c r="H196" s="648">
        <v>18</v>
      </c>
      <c r="I196" s="648">
        <v>70000</v>
      </c>
      <c r="J196" s="648" t="s">
        <v>255</v>
      </c>
    </row>
    <row r="197" spans="2:10" x14ac:dyDescent="0.3">
      <c r="B197" s="648" t="s">
        <v>258</v>
      </c>
      <c r="C197" s="648">
        <v>2016</v>
      </c>
      <c r="D197" s="648" t="s">
        <v>53</v>
      </c>
      <c r="E197" s="648" t="s">
        <v>259</v>
      </c>
      <c r="F197" s="648" t="s">
        <v>259</v>
      </c>
      <c r="G197" s="648">
        <v>1</v>
      </c>
      <c r="H197" s="648">
        <v>19</v>
      </c>
      <c r="I197" s="648">
        <v>70000</v>
      </c>
      <c r="J197" s="648" t="s">
        <v>255</v>
      </c>
    </row>
    <row r="198" spans="2:10" x14ac:dyDescent="0.3">
      <c r="B198" s="648" t="s">
        <v>258</v>
      </c>
      <c r="C198" s="648">
        <v>2016</v>
      </c>
      <c r="D198" s="648" t="s">
        <v>53</v>
      </c>
      <c r="E198" s="648" t="s">
        <v>259</v>
      </c>
      <c r="F198" s="648" t="s">
        <v>259</v>
      </c>
      <c r="G198" s="648">
        <v>1</v>
      </c>
      <c r="H198" s="648">
        <v>20</v>
      </c>
      <c r="I198" s="648">
        <v>70000</v>
      </c>
      <c r="J198" s="648" t="s">
        <v>255</v>
      </c>
    </row>
    <row r="199" spans="2:10" x14ac:dyDescent="0.3">
      <c r="B199" s="648" t="s">
        <v>290</v>
      </c>
      <c r="C199" s="648">
        <v>2015</v>
      </c>
      <c r="D199" s="648" t="s">
        <v>51</v>
      </c>
      <c r="E199" s="648" t="s">
        <v>127</v>
      </c>
      <c r="F199" s="648" t="s">
        <v>307</v>
      </c>
      <c r="G199" s="648">
        <v>2</v>
      </c>
      <c r="H199" s="648">
        <v>8</v>
      </c>
      <c r="I199" s="648">
        <v>35000</v>
      </c>
      <c r="J199" s="648" t="s">
        <v>280</v>
      </c>
    </row>
    <row r="200" spans="2:10" x14ac:dyDescent="0.3">
      <c r="B200" s="648" t="s">
        <v>290</v>
      </c>
      <c r="C200" s="648">
        <v>2015</v>
      </c>
      <c r="D200" s="648" t="s">
        <v>51</v>
      </c>
      <c r="E200" s="648" t="s">
        <v>127</v>
      </c>
      <c r="F200" s="648" t="s">
        <v>307</v>
      </c>
      <c r="G200" s="648">
        <v>2</v>
      </c>
      <c r="H200" s="648">
        <v>9</v>
      </c>
      <c r="I200" s="648">
        <v>35000</v>
      </c>
      <c r="J200" s="648" t="s">
        <v>280</v>
      </c>
    </row>
    <row r="201" spans="2:10" x14ac:dyDescent="0.3">
      <c r="B201" s="648" t="s">
        <v>290</v>
      </c>
      <c r="C201" s="648">
        <v>2015</v>
      </c>
      <c r="D201" s="648" t="s">
        <v>51</v>
      </c>
      <c r="E201" s="648" t="s">
        <v>127</v>
      </c>
      <c r="F201" s="648" t="s">
        <v>307</v>
      </c>
      <c r="G201" s="648">
        <v>2</v>
      </c>
      <c r="H201" s="648">
        <v>10</v>
      </c>
      <c r="I201" s="648">
        <v>35000</v>
      </c>
      <c r="J201" s="648" t="s">
        <v>280</v>
      </c>
    </row>
    <row r="202" spans="2:10" x14ac:dyDescent="0.3">
      <c r="B202" s="648" t="s">
        <v>290</v>
      </c>
      <c r="C202" s="648">
        <v>2015</v>
      </c>
      <c r="D202" s="648" t="s">
        <v>51</v>
      </c>
      <c r="E202" s="648" t="s">
        <v>127</v>
      </c>
      <c r="F202" s="648" t="s">
        <v>307</v>
      </c>
      <c r="G202" s="648">
        <v>2</v>
      </c>
      <c r="H202" s="648">
        <v>11</v>
      </c>
      <c r="I202" s="648">
        <v>35000</v>
      </c>
      <c r="J202" s="648" t="s">
        <v>280</v>
      </c>
    </row>
    <row r="203" spans="2:10" x14ac:dyDescent="0.3">
      <c r="B203" s="648" t="s">
        <v>290</v>
      </c>
      <c r="C203" s="648">
        <v>2015</v>
      </c>
      <c r="D203" s="648" t="s">
        <v>51</v>
      </c>
      <c r="E203" s="648" t="s">
        <v>127</v>
      </c>
      <c r="F203" s="648" t="s">
        <v>307</v>
      </c>
      <c r="G203" s="648">
        <v>2</v>
      </c>
      <c r="H203" s="648">
        <v>12</v>
      </c>
      <c r="I203" s="648">
        <v>35000</v>
      </c>
      <c r="J203" s="648" t="s">
        <v>280</v>
      </c>
    </row>
    <row r="204" spans="2:10" x14ac:dyDescent="0.3">
      <c r="B204" s="648" t="s">
        <v>290</v>
      </c>
      <c r="C204" s="648">
        <v>2015</v>
      </c>
      <c r="D204" s="648" t="s">
        <v>51</v>
      </c>
      <c r="E204" s="648" t="s">
        <v>127</v>
      </c>
      <c r="F204" s="648" t="s">
        <v>307</v>
      </c>
      <c r="G204" s="648">
        <v>2</v>
      </c>
      <c r="H204" s="648">
        <v>13</v>
      </c>
      <c r="I204" s="648">
        <v>35000</v>
      </c>
      <c r="J204" s="648" t="s">
        <v>280</v>
      </c>
    </row>
    <row r="205" spans="2:10" x14ac:dyDescent="0.3">
      <c r="B205" s="648" t="s">
        <v>290</v>
      </c>
      <c r="C205" s="648">
        <v>2015</v>
      </c>
      <c r="D205" s="648" t="s">
        <v>51</v>
      </c>
      <c r="E205" s="648" t="s">
        <v>127</v>
      </c>
      <c r="F205" s="648" t="s">
        <v>307</v>
      </c>
      <c r="G205" s="648">
        <v>2</v>
      </c>
      <c r="H205" s="648">
        <v>14</v>
      </c>
      <c r="I205" s="648">
        <v>35000</v>
      </c>
      <c r="J205" s="648" t="s">
        <v>280</v>
      </c>
    </row>
    <row r="206" spans="2:10" x14ac:dyDescent="0.3">
      <c r="B206" s="648" t="s">
        <v>290</v>
      </c>
      <c r="C206" s="648">
        <v>2015</v>
      </c>
      <c r="D206" s="648" t="s">
        <v>51</v>
      </c>
      <c r="E206" s="648" t="s">
        <v>127</v>
      </c>
      <c r="F206" s="648" t="s">
        <v>307</v>
      </c>
      <c r="G206" s="648">
        <v>2</v>
      </c>
      <c r="H206" s="648">
        <v>15</v>
      </c>
      <c r="I206" s="648">
        <v>35000</v>
      </c>
      <c r="J206" s="648" t="s">
        <v>280</v>
      </c>
    </row>
    <row r="207" spans="2:10" x14ac:dyDescent="0.3">
      <c r="B207" s="648" t="s">
        <v>290</v>
      </c>
      <c r="C207" s="648">
        <v>2015</v>
      </c>
      <c r="D207" s="648" t="s">
        <v>51</v>
      </c>
      <c r="E207" s="648" t="s">
        <v>127</v>
      </c>
      <c r="F207" s="648" t="s">
        <v>307</v>
      </c>
      <c r="G207" s="648">
        <v>2</v>
      </c>
      <c r="H207" s="648">
        <v>16</v>
      </c>
      <c r="I207" s="648">
        <v>35000</v>
      </c>
      <c r="J207" s="648" t="s">
        <v>280</v>
      </c>
    </row>
    <row r="208" spans="2:10" x14ac:dyDescent="0.3">
      <c r="B208" s="648" t="s">
        <v>290</v>
      </c>
      <c r="C208" s="648">
        <v>2015</v>
      </c>
      <c r="D208" s="648" t="s">
        <v>51</v>
      </c>
      <c r="E208" s="648" t="s">
        <v>127</v>
      </c>
      <c r="F208" s="648" t="s">
        <v>307</v>
      </c>
      <c r="G208" s="648">
        <v>2</v>
      </c>
      <c r="H208" s="648">
        <v>17</v>
      </c>
      <c r="I208" s="648">
        <v>35000</v>
      </c>
      <c r="J208" s="648" t="s">
        <v>280</v>
      </c>
    </row>
    <row r="209" spans="2:10" x14ac:dyDescent="0.3">
      <c r="B209" s="648" t="s">
        <v>290</v>
      </c>
      <c r="C209" s="648">
        <v>2015</v>
      </c>
      <c r="D209" s="648" t="s">
        <v>51</v>
      </c>
      <c r="E209" s="648" t="s">
        <v>127</v>
      </c>
      <c r="F209" s="648" t="s">
        <v>307</v>
      </c>
      <c r="G209" s="648">
        <v>2</v>
      </c>
      <c r="H209" s="648">
        <v>18</v>
      </c>
      <c r="I209" s="648">
        <v>35000</v>
      </c>
      <c r="J209" s="648" t="s">
        <v>280</v>
      </c>
    </row>
    <row r="210" spans="2:10" collapsed="1" x14ac:dyDescent="0.3">
      <c r="B210" s="648" t="s">
        <v>290</v>
      </c>
      <c r="C210" s="648">
        <v>2015</v>
      </c>
      <c r="D210" s="648" t="s">
        <v>51</v>
      </c>
      <c r="E210" s="648" t="s">
        <v>127</v>
      </c>
      <c r="F210" s="648" t="s">
        <v>307</v>
      </c>
      <c r="G210" s="648">
        <v>2</v>
      </c>
      <c r="H210" s="648">
        <v>19</v>
      </c>
      <c r="I210" s="648">
        <v>35000</v>
      </c>
      <c r="J210" s="648" t="s">
        <v>280</v>
      </c>
    </row>
    <row r="211" spans="2:10" x14ac:dyDescent="0.3">
      <c r="B211" s="648" t="s">
        <v>290</v>
      </c>
      <c r="C211" s="648">
        <v>2015</v>
      </c>
      <c r="D211" s="648" t="s">
        <v>51</v>
      </c>
      <c r="E211" s="648" t="s">
        <v>127</v>
      </c>
      <c r="F211" s="648" t="s">
        <v>307</v>
      </c>
      <c r="G211" s="648">
        <v>2</v>
      </c>
      <c r="H211" s="648">
        <v>20</v>
      </c>
      <c r="I211" s="648">
        <v>35000</v>
      </c>
      <c r="J211" s="648" t="s">
        <v>280</v>
      </c>
    </row>
    <row r="212" spans="2:10" x14ac:dyDescent="0.3">
      <c r="B212" s="648" t="s">
        <v>338</v>
      </c>
      <c r="C212" s="648">
        <v>2016</v>
      </c>
      <c r="D212" s="648" t="s">
        <v>51</v>
      </c>
      <c r="E212" s="648" t="s">
        <v>127</v>
      </c>
      <c r="F212" s="648" t="s">
        <v>307</v>
      </c>
      <c r="G212" s="648">
        <v>4</v>
      </c>
      <c r="H212" s="648">
        <v>12</v>
      </c>
      <c r="I212" s="648">
        <v>43600</v>
      </c>
      <c r="J212" s="648" t="s">
        <v>280</v>
      </c>
    </row>
    <row r="213" spans="2:10" x14ac:dyDescent="0.3">
      <c r="B213" s="648" t="s">
        <v>338</v>
      </c>
      <c r="C213" s="648">
        <v>2016</v>
      </c>
      <c r="D213" s="648" t="s">
        <v>51</v>
      </c>
      <c r="E213" s="648" t="s">
        <v>127</v>
      </c>
      <c r="F213" s="648" t="s">
        <v>307</v>
      </c>
      <c r="G213" s="648">
        <v>4</v>
      </c>
      <c r="H213" s="648">
        <v>13</v>
      </c>
      <c r="I213" s="648">
        <v>43600</v>
      </c>
      <c r="J213" s="648" t="s">
        <v>280</v>
      </c>
    </row>
    <row r="214" spans="2:10" x14ac:dyDescent="0.3">
      <c r="B214" s="648" t="s">
        <v>338</v>
      </c>
      <c r="C214" s="648">
        <v>2016</v>
      </c>
      <c r="D214" s="648" t="s">
        <v>51</v>
      </c>
      <c r="E214" s="648" t="s">
        <v>127</v>
      </c>
      <c r="F214" s="648" t="s">
        <v>307</v>
      </c>
      <c r="G214" s="648">
        <v>4</v>
      </c>
      <c r="H214" s="648">
        <v>14</v>
      </c>
      <c r="I214" s="648">
        <v>43600</v>
      </c>
      <c r="J214" s="648" t="s">
        <v>280</v>
      </c>
    </row>
    <row r="215" spans="2:10" x14ac:dyDescent="0.3">
      <c r="B215" s="648" t="s">
        <v>338</v>
      </c>
      <c r="C215" s="648">
        <v>2016</v>
      </c>
      <c r="D215" s="648" t="s">
        <v>51</v>
      </c>
      <c r="E215" s="648" t="s">
        <v>127</v>
      </c>
      <c r="F215" s="648" t="s">
        <v>307</v>
      </c>
      <c r="G215" s="648">
        <v>4</v>
      </c>
      <c r="H215" s="648">
        <v>15</v>
      </c>
      <c r="I215" s="648">
        <v>47600</v>
      </c>
      <c r="J215" s="648" t="s">
        <v>280</v>
      </c>
    </row>
    <row r="216" spans="2:10" x14ac:dyDescent="0.3">
      <c r="B216" s="648" t="s">
        <v>338</v>
      </c>
      <c r="C216" s="648">
        <v>2016</v>
      </c>
      <c r="D216" s="648" t="s">
        <v>51</v>
      </c>
      <c r="E216" s="648" t="s">
        <v>127</v>
      </c>
      <c r="F216" s="648" t="s">
        <v>307</v>
      </c>
      <c r="G216" s="648">
        <v>4</v>
      </c>
      <c r="H216" s="648">
        <v>16</v>
      </c>
      <c r="I216" s="648">
        <v>47600</v>
      </c>
      <c r="J216" s="648" t="s">
        <v>280</v>
      </c>
    </row>
    <row r="217" spans="2:10" x14ac:dyDescent="0.3">
      <c r="B217" s="648" t="s">
        <v>338</v>
      </c>
      <c r="C217" s="648">
        <v>2016</v>
      </c>
      <c r="D217" s="648" t="s">
        <v>51</v>
      </c>
      <c r="E217" s="648" t="s">
        <v>127</v>
      </c>
      <c r="F217" s="648" t="s">
        <v>307</v>
      </c>
      <c r="G217" s="648">
        <v>4</v>
      </c>
      <c r="H217" s="648">
        <v>17</v>
      </c>
      <c r="I217" s="648">
        <v>50600</v>
      </c>
      <c r="J217" s="648" t="s">
        <v>280</v>
      </c>
    </row>
    <row r="218" spans="2:10" collapsed="1" x14ac:dyDescent="0.3">
      <c r="B218" s="648" t="s">
        <v>338</v>
      </c>
      <c r="C218" s="648">
        <v>2016</v>
      </c>
      <c r="D218" s="648" t="s">
        <v>51</v>
      </c>
      <c r="E218" s="648" t="s">
        <v>127</v>
      </c>
      <c r="F218" s="648" t="s">
        <v>307</v>
      </c>
      <c r="G218" s="648">
        <v>4</v>
      </c>
      <c r="H218" s="648">
        <v>18</v>
      </c>
      <c r="I218" s="648">
        <v>50600</v>
      </c>
      <c r="J218" s="648" t="s">
        <v>280</v>
      </c>
    </row>
    <row r="219" spans="2:10" x14ac:dyDescent="0.3">
      <c r="B219" s="648" t="s">
        <v>338</v>
      </c>
      <c r="C219" s="648">
        <v>2016</v>
      </c>
      <c r="D219" s="648" t="s">
        <v>51</v>
      </c>
      <c r="E219" s="648" t="s">
        <v>127</v>
      </c>
      <c r="F219" s="648" t="s">
        <v>307</v>
      </c>
      <c r="G219" s="648">
        <v>4</v>
      </c>
      <c r="H219" s="648">
        <v>19</v>
      </c>
      <c r="I219" s="648">
        <v>50600</v>
      </c>
      <c r="J219" s="648" t="s">
        <v>280</v>
      </c>
    </row>
    <row r="220" spans="2:10" x14ac:dyDescent="0.3">
      <c r="B220" s="648" t="s">
        <v>338</v>
      </c>
      <c r="C220" s="648">
        <v>2016</v>
      </c>
      <c r="D220" s="648" t="s">
        <v>51</v>
      </c>
      <c r="E220" s="648" t="s">
        <v>127</v>
      </c>
      <c r="F220" s="648" t="s">
        <v>307</v>
      </c>
      <c r="G220" s="648">
        <v>4</v>
      </c>
      <c r="H220" s="648">
        <v>20</v>
      </c>
      <c r="I220" s="648">
        <v>50600</v>
      </c>
      <c r="J220" s="648" t="s">
        <v>280</v>
      </c>
    </row>
    <row r="221" spans="2:10" x14ac:dyDescent="0.3">
      <c r="B221" s="648" t="s">
        <v>292</v>
      </c>
      <c r="C221" s="648">
        <v>2016</v>
      </c>
      <c r="D221" s="648" t="s">
        <v>51</v>
      </c>
      <c r="E221" s="648" t="s">
        <v>127</v>
      </c>
      <c r="F221" s="648" t="s">
        <v>307</v>
      </c>
      <c r="G221" s="648">
        <v>8</v>
      </c>
      <c r="H221" s="648">
        <v>13</v>
      </c>
      <c r="I221" s="648">
        <v>40200</v>
      </c>
      <c r="J221" s="648" t="s">
        <v>280</v>
      </c>
    </row>
    <row r="222" spans="2:10" x14ac:dyDescent="0.3">
      <c r="B222" s="648" t="s">
        <v>292</v>
      </c>
      <c r="C222" s="648">
        <v>2016</v>
      </c>
      <c r="D222" s="648" t="s">
        <v>51</v>
      </c>
      <c r="E222" s="648" t="s">
        <v>127</v>
      </c>
      <c r="F222" s="648" t="s">
        <v>307</v>
      </c>
      <c r="G222" s="648">
        <v>8</v>
      </c>
      <c r="H222" s="648">
        <v>14</v>
      </c>
      <c r="I222" s="648">
        <v>40200</v>
      </c>
      <c r="J222" s="648" t="s">
        <v>280</v>
      </c>
    </row>
    <row r="223" spans="2:10" x14ac:dyDescent="0.3">
      <c r="B223" s="648" t="s">
        <v>292</v>
      </c>
      <c r="C223" s="648">
        <v>2016</v>
      </c>
      <c r="D223" s="648" t="s">
        <v>51</v>
      </c>
      <c r="E223" s="648" t="s">
        <v>127</v>
      </c>
      <c r="F223" s="648" t="s">
        <v>307</v>
      </c>
      <c r="G223" s="648">
        <v>8</v>
      </c>
      <c r="H223" s="648">
        <v>15</v>
      </c>
      <c r="I223" s="648">
        <v>43700</v>
      </c>
      <c r="J223" s="648" t="s">
        <v>280</v>
      </c>
    </row>
    <row r="224" spans="2:10" collapsed="1" x14ac:dyDescent="0.3">
      <c r="B224" s="648" t="s">
        <v>292</v>
      </c>
      <c r="C224" s="648">
        <v>2016</v>
      </c>
      <c r="D224" s="648" t="s">
        <v>51</v>
      </c>
      <c r="E224" s="648" t="s">
        <v>127</v>
      </c>
      <c r="F224" s="648" t="s">
        <v>307</v>
      </c>
      <c r="G224" s="648">
        <v>8</v>
      </c>
      <c r="H224" s="648">
        <v>16</v>
      </c>
      <c r="I224" s="648">
        <v>43700</v>
      </c>
      <c r="J224" s="648" t="s">
        <v>280</v>
      </c>
    </row>
    <row r="225" spans="2:10" x14ac:dyDescent="0.3">
      <c r="B225" s="648" t="s">
        <v>292</v>
      </c>
      <c r="C225" s="648">
        <v>2016</v>
      </c>
      <c r="D225" s="648" t="s">
        <v>51</v>
      </c>
      <c r="E225" s="648" t="s">
        <v>127</v>
      </c>
      <c r="F225" s="648" t="s">
        <v>307</v>
      </c>
      <c r="G225" s="648">
        <v>8</v>
      </c>
      <c r="H225" s="648">
        <v>17</v>
      </c>
      <c r="I225" s="648">
        <v>47000</v>
      </c>
      <c r="J225" s="648" t="s">
        <v>280</v>
      </c>
    </row>
    <row r="226" spans="2:10" x14ac:dyDescent="0.3">
      <c r="B226" s="648" t="s">
        <v>292</v>
      </c>
      <c r="C226" s="648">
        <v>2016</v>
      </c>
      <c r="D226" s="648" t="s">
        <v>51</v>
      </c>
      <c r="E226" s="648" t="s">
        <v>127</v>
      </c>
      <c r="F226" s="648" t="s">
        <v>307</v>
      </c>
      <c r="G226" s="648">
        <v>8</v>
      </c>
      <c r="H226" s="648">
        <v>18</v>
      </c>
      <c r="I226" s="648">
        <v>47000</v>
      </c>
      <c r="J226" s="648" t="s">
        <v>280</v>
      </c>
    </row>
    <row r="227" spans="2:10" x14ac:dyDescent="0.3">
      <c r="B227" s="648" t="s">
        <v>292</v>
      </c>
      <c r="C227" s="648">
        <v>2016</v>
      </c>
      <c r="D227" s="648" t="s">
        <v>51</v>
      </c>
      <c r="E227" s="648" t="s">
        <v>127</v>
      </c>
      <c r="F227" s="648" t="s">
        <v>307</v>
      </c>
      <c r="G227" s="648">
        <v>8</v>
      </c>
      <c r="H227" s="648">
        <v>19</v>
      </c>
      <c r="I227" s="648">
        <v>47000</v>
      </c>
      <c r="J227" s="648" t="s">
        <v>280</v>
      </c>
    </row>
    <row r="228" spans="2:10" x14ac:dyDescent="0.3">
      <c r="B228" s="648" t="s">
        <v>292</v>
      </c>
      <c r="C228" s="648">
        <v>2016</v>
      </c>
      <c r="D228" s="648" t="s">
        <v>51</v>
      </c>
      <c r="E228" s="648" t="s">
        <v>127</v>
      </c>
      <c r="F228" s="648" t="s">
        <v>307</v>
      </c>
      <c r="G228" s="648">
        <v>8</v>
      </c>
      <c r="H228" s="648">
        <v>20</v>
      </c>
      <c r="I228" s="648">
        <v>47000</v>
      </c>
      <c r="J228" s="648" t="s">
        <v>280</v>
      </c>
    </row>
    <row r="229" spans="2:10" x14ac:dyDescent="0.3">
      <c r="B229" s="648" t="s">
        <v>293</v>
      </c>
      <c r="C229" s="648">
        <v>2014</v>
      </c>
      <c r="D229" s="648" t="s">
        <v>53</v>
      </c>
      <c r="E229" s="648" t="s">
        <v>71</v>
      </c>
      <c r="F229" s="648" t="s">
        <v>71</v>
      </c>
      <c r="G229" s="648">
        <v>2</v>
      </c>
      <c r="H229" s="648">
        <v>10</v>
      </c>
      <c r="I229" s="648">
        <v>62500</v>
      </c>
      <c r="J229" s="648" t="s">
        <v>280</v>
      </c>
    </row>
    <row r="230" spans="2:10" x14ac:dyDescent="0.3">
      <c r="B230" s="648" t="s">
        <v>293</v>
      </c>
      <c r="C230" s="648">
        <v>2014</v>
      </c>
      <c r="D230" s="648" t="s">
        <v>53</v>
      </c>
      <c r="E230" s="648" t="s">
        <v>71</v>
      </c>
      <c r="F230" s="648" t="s">
        <v>71</v>
      </c>
      <c r="G230" s="648">
        <v>2</v>
      </c>
      <c r="H230" s="648">
        <v>11</v>
      </c>
      <c r="I230" s="648">
        <v>62500</v>
      </c>
      <c r="J230" s="648" t="s">
        <v>280</v>
      </c>
    </row>
    <row r="231" spans="2:10" x14ac:dyDescent="0.3">
      <c r="B231" s="648" t="s">
        <v>293</v>
      </c>
      <c r="C231" s="648">
        <v>2014</v>
      </c>
      <c r="D231" s="648" t="s">
        <v>53</v>
      </c>
      <c r="E231" s="648" t="s">
        <v>71</v>
      </c>
      <c r="F231" s="648" t="s">
        <v>71</v>
      </c>
      <c r="G231" s="648">
        <v>2</v>
      </c>
      <c r="H231" s="648">
        <v>12</v>
      </c>
      <c r="I231" s="648">
        <v>62500</v>
      </c>
      <c r="J231" s="648" t="s">
        <v>280</v>
      </c>
    </row>
    <row r="232" spans="2:10" x14ac:dyDescent="0.3">
      <c r="B232" s="648" t="s">
        <v>293</v>
      </c>
      <c r="C232" s="648">
        <v>2014</v>
      </c>
      <c r="D232" s="648" t="s">
        <v>53</v>
      </c>
      <c r="E232" s="648" t="s">
        <v>71</v>
      </c>
      <c r="F232" s="648" t="s">
        <v>71</v>
      </c>
      <c r="G232" s="648">
        <v>2</v>
      </c>
      <c r="H232" s="648">
        <v>13</v>
      </c>
      <c r="I232" s="648">
        <v>62500</v>
      </c>
      <c r="J232" s="648" t="s">
        <v>280</v>
      </c>
    </row>
    <row r="233" spans="2:10" collapsed="1" x14ac:dyDescent="0.3">
      <c r="B233" s="648" t="s">
        <v>293</v>
      </c>
      <c r="C233" s="648">
        <v>2014</v>
      </c>
      <c r="D233" s="648" t="s">
        <v>53</v>
      </c>
      <c r="E233" s="648" t="s">
        <v>71</v>
      </c>
      <c r="F233" s="648" t="s">
        <v>71</v>
      </c>
      <c r="G233" s="648">
        <v>2</v>
      </c>
      <c r="H233" s="648">
        <v>14</v>
      </c>
      <c r="I233" s="648">
        <v>62500</v>
      </c>
      <c r="J233" s="648" t="s">
        <v>280</v>
      </c>
    </row>
    <row r="234" spans="2:10" x14ac:dyDescent="0.3">
      <c r="B234" s="648" t="s">
        <v>293</v>
      </c>
      <c r="C234" s="648">
        <v>2014</v>
      </c>
      <c r="D234" s="648" t="s">
        <v>53</v>
      </c>
      <c r="E234" s="648" t="s">
        <v>71</v>
      </c>
      <c r="F234" s="648" t="s">
        <v>71</v>
      </c>
      <c r="G234" s="648">
        <v>2</v>
      </c>
      <c r="H234" s="648">
        <v>15</v>
      </c>
      <c r="I234" s="648">
        <v>64000</v>
      </c>
      <c r="J234" s="648" t="s">
        <v>280</v>
      </c>
    </row>
    <row r="235" spans="2:10" x14ac:dyDescent="0.3">
      <c r="B235" s="648" t="s">
        <v>293</v>
      </c>
      <c r="C235" s="648">
        <v>2014</v>
      </c>
      <c r="D235" s="648" t="s">
        <v>53</v>
      </c>
      <c r="E235" s="648" t="s">
        <v>71</v>
      </c>
      <c r="F235" s="648" t="s">
        <v>71</v>
      </c>
      <c r="G235" s="648">
        <v>2</v>
      </c>
      <c r="H235" s="648">
        <v>16</v>
      </c>
      <c r="I235" s="648">
        <v>64000</v>
      </c>
      <c r="J235" s="648" t="s">
        <v>280</v>
      </c>
    </row>
    <row r="236" spans="2:10" x14ac:dyDescent="0.3">
      <c r="B236" s="648" t="s">
        <v>293</v>
      </c>
      <c r="C236" s="648">
        <v>2014</v>
      </c>
      <c r="D236" s="648" t="s">
        <v>53</v>
      </c>
      <c r="E236" s="648" t="s">
        <v>71</v>
      </c>
      <c r="F236" s="648" t="s">
        <v>71</v>
      </c>
      <c r="G236" s="648">
        <v>2</v>
      </c>
      <c r="H236" s="648">
        <v>17</v>
      </c>
      <c r="I236" s="648">
        <v>64000</v>
      </c>
      <c r="J236" s="648" t="s">
        <v>280</v>
      </c>
    </row>
    <row r="237" spans="2:10" x14ac:dyDescent="0.3">
      <c r="B237" s="648" t="s">
        <v>293</v>
      </c>
      <c r="C237" s="648">
        <v>2014</v>
      </c>
      <c r="D237" s="648" t="s">
        <v>53</v>
      </c>
      <c r="E237" s="648" t="s">
        <v>71</v>
      </c>
      <c r="F237" s="648" t="s">
        <v>71</v>
      </c>
      <c r="G237" s="648">
        <v>2</v>
      </c>
      <c r="H237" s="648">
        <v>18</v>
      </c>
      <c r="I237" s="648">
        <v>64000</v>
      </c>
      <c r="J237" s="648" t="s">
        <v>280</v>
      </c>
    </row>
    <row r="238" spans="2:10" collapsed="1" x14ac:dyDescent="0.3">
      <c r="B238" s="648" t="s">
        <v>293</v>
      </c>
      <c r="C238" s="648">
        <v>2014</v>
      </c>
      <c r="D238" s="648" t="s">
        <v>53</v>
      </c>
      <c r="E238" s="648" t="s">
        <v>71</v>
      </c>
      <c r="F238" s="648" t="s">
        <v>71</v>
      </c>
      <c r="G238" s="648">
        <v>2</v>
      </c>
      <c r="H238" s="648">
        <v>19</v>
      </c>
      <c r="I238" s="648">
        <v>69000</v>
      </c>
      <c r="J238" s="648" t="s">
        <v>280</v>
      </c>
    </row>
    <row r="239" spans="2:10" x14ac:dyDescent="0.3">
      <c r="B239" s="648" t="s">
        <v>293</v>
      </c>
      <c r="C239" s="648">
        <v>2014</v>
      </c>
      <c r="D239" s="648" t="s">
        <v>53</v>
      </c>
      <c r="E239" s="648" t="s">
        <v>71</v>
      </c>
      <c r="F239" s="648" t="s">
        <v>71</v>
      </c>
      <c r="G239" s="648">
        <v>2</v>
      </c>
      <c r="H239" s="648">
        <v>20</v>
      </c>
      <c r="I239" s="648">
        <v>69000</v>
      </c>
      <c r="J239" s="648" t="s">
        <v>280</v>
      </c>
    </row>
    <row r="240" spans="2:10" x14ac:dyDescent="0.3">
      <c r="B240" s="648" t="s">
        <v>260</v>
      </c>
      <c r="C240" s="648">
        <v>2016</v>
      </c>
      <c r="D240" s="648" t="s">
        <v>53</v>
      </c>
      <c r="E240" s="648" t="s">
        <v>259</v>
      </c>
      <c r="F240" s="648" t="s">
        <v>259</v>
      </c>
      <c r="G240" s="648">
        <v>1</v>
      </c>
      <c r="H240" s="648">
        <v>3</v>
      </c>
      <c r="I240" s="648">
        <v>54000</v>
      </c>
      <c r="J240" s="648" t="s">
        <v>255</v>
      </c>
    </row>
    <row r="241" spans="2:10" x14ac:dyDescent="0.3">
      <c r="B241" s="648" t="s">
        <v>260</v>
      </c>
      <c r="C241" s="648">
        <v>2016</v>
      </c>
      <c r="D241" s="648" t="s">
        <v>53</v>
      </c>
      <c r="E241" s="648" t="s">
        <v>259</v>
      </c>
      <c r="F241" s="648" t="s">
        <v>259</v>
      </c>
      <c r="G241" s="648">
        <v>1</v>
      </c>
      <c r="H241" s="648">
        <v>4</v>
      </c>
      <c r="I241" s="648">
        <v>54000</v>
      </c>
      <c r="J241" s="648" t="s">
        <v>255</v>
      </c>
    </row>
    <row r="242" spans="2:10" x14ac:dyDescent="0.3">
      <c r="B242" s="648" t="s">
        <v>260</v>
      </c>
      <c r="C242" s="648">
        <v>2016</v>
      </c>
      <c r="D242" s="648" t="s">
        <v>53</v>
      </c>
      <c r="E242" s="648" t="s">
        <v>259</v>
      </c>
      <c r="F242" s="648" t="s">
        <v>259</v>
      </c>
      <c r="G242" s="648">
        <v>1</v>
      </c>
      <c r="H242" s="648">
        <v>5</v>
      </c>
      <c r="I242" s="648">
        <v>54000</v>
      </c>
      <c r="J242" s="648" t="s">
        <v>255</v>
      </c>
    </row>
    <row r="243" spans="2:10" x14ac:dyDescent="0.3">
      <c r="B243" s="648" t="s">
        <v>260</v>
      </c>
      <c r="C243" s="648">
        <v>2016</v>
      </c>
      <c r="D243" s="648" t="s">
        <v>53</v>
      </c>
      <c r="E243" s="648" t="s">
        <v>259</v>
      </c>
      <c r="F243" s="648" t="s">
        <v>259</v>
      </c>
      <c r="G243" s="648">
        <v>1</v>
      </c>
      <c r="H243" s="648">
        <v>6</v>
      </c>
      <c r="I243" s="648">
        <v>59000</v>
      </c>
      <c r="J243" s="648" t="s">
        <v>255</v>
      </c>
    </row>
    <row r="244" spans="2:10" x14ac:dyDescent="0.3">
      <c r="B244" s="648" t="s">
        <v>260</v>
      </c>
      <c r="C244" s="648">
        <v>2016</v>
      </c>
      <c r="D244" s="648" t="s">
        <v>53</v>
      </c>
      <c r="E244" s="648" t="s">
        <v>259</v>
      </c>
      <c r="F244" s="648" t="s">
        <v>259</v>
      </c>
      <c r="G244" s="648">
        <v>1</v>
      </c>
      <c r="H244" s="648">
        <v>7</v>
      </c>
      <c r="I244" s="648">
        <v>59000</v>
      </c>
      <c r="J244" s="648" t="s">
        <v>255</v>
      </c>
    </row>
    <row r="245" spans="2:10" x14ac:dyDescent="0.3">
      <c r="B245" s="648" t="s">
        <v>260</v>
      </c>
      <c r="C245" s="648">
        <v>2016</v>
      </c>
      <c r="D245" s="648" t="s">
        <v>53</v>
      </c>
      <c r="E245" s="648" t="s">
        <v>259</v>
      </c>
      <c r="F245" s="648" t="s">
        <v>259</v>
      </c>
      <c r="G245" s="648">
        <v>1</v>
      </c>
      <c r="H245" s="648">
        <v>8</v>
      </c>
      <c r="I245" s="648">
        <v>59000</v>
      </c>
      <c r="J245" s="648" t="s">
        <v>255</v>
      </c>
    </row>
    <row r="246" spans="2:10" x14ac:dyDescent="0.3">
      <c r="B246" s="648" t="s">
        <v>260</v>
      </c>
      <c r="C246" s="648">
        <v>2016</v>
      </c>
      <c r="D246" s="648" t="s">
        <v>53</v>
      </c>
      <c r="E246" s="648" t="s">
        <v>259</v>
      </c>
      <c r="F246" s="648" t="s">
        <v>259</v>
      </c>
      <c r="G246" s="648">
        <v>1</v>
      </c>
      <c r="H246" s="648">
        <v>9</v>
      </c>
      <c r="I246" s="648">
        <v>59000</v>
      </c>
      <c r="J246" s="648" t="s">
        <v>255</v>
      </c>
    </row>
    <row r="247" spans="2:10" x14ac:dyDescent="0.3">
      <c r="B247" s="648" t="s">
        <v>260</v>
      </c>
      <c r="C247" s="648">
        <v>2016</v>
      </c>
      <c r="D247" s="648" t="s">
        <v>53</v>
      </c>
      <c r="E247" s="648" t="s">
        <v>259</v>
      </c>
      <c r="F247" s="648" t="s">
        <v>259</v>
      </c>
      <c r="G247" s="648">
        <v>1</v>
      </c>
      <c r="H247" s="648">
        <v>10</v>
      </c>
      <c r="I247" s="648">
        <v>59000</v>
      </c>
      <c r="J247" s="648" t="s">
        <v>255</v>
      </c>
    </row>
    <row r="248" spans="2:10" collapsed="1" x14ac:dyDescent="0.3">
      <c r="B248" s="648" t="s">
        <v>260</v>
      </c>
      <c r="C248" s="648">
        <v>2016</v>
      </c>
      <c r="D248" s="648" t="s">
        <v>53</v>
      </c>
      <c r="E248" s="648" t="s">
        <v>259</v>
      </c>
      <c r="F248" s="648" t="s">
        <v>259</v>
      </c>
      <c r="G248" s="648">
        <v>1</v>
      </c>
      <c r="H248" s="648">
        <v>11</v>
      </c>
      <c r="I248" s="648">
        <v>64000</v>
      </c>
      <c r="J248" s="648" t="s">
        <v>255</v>
      </c>
    </row>
    <row r="249" spans="2:10" x14ac:dyDescent="0.3">
      <c r="B249" s="648" t="s">
        <v>260</v>
      </c>
      <c r="C249" s="648">
        <v>2016</v>
      </c>
      <c r="D249" s="648" t="s">
        <v>53</v>
      </c>
      <c r="E249" s="648" t="s">
        <v>259</v>
      </c>
      <c r="F249" s="648" t="s">
        <v>259</v>
      </c>
      <c r="G249" s="648">
        <v>1</v>
      </c>
      <c r="H249" s="648">
        <v>12</v>
      </c>
      <c r="I249" s="648">
        <v>64000</v>
      </c>
      <c r="J249" s="648" t="s">
        <v>255</v>
      </c>
    </row>
    <row r="250" spans="2:10" x14ac:dyDescent="0.3">
      <c r="B250" s="648" t="s">
        <v>260</v>
      </c>
      <c r="C250" s="648">
        <v>2016</v>
      </c>
      <c r="D250" s="648" t="s">
        <v>53</v>
      </c>
      <c r="E250" s="648" t="s">
        <v>259</v>
      </c>
      <c r="F250" s="648" t="s">
        <v>259</v>
      </c>
      <c r="G250" s="648">
        <v>1</v>
      </c>
      <c r="H250" s="648">
        <v>13</v>
      </c>
      <c r="I250" s="648">
        <v>64000</v>
      </c>
      <c r="J250" s="648" t="s">
        <v>255</v>
      </c>
    </row>
    <row r="251" spans="2:10" x14ac:dyDescent="0.3">
      <c r="B251" s="648" t="s">
        <v>260</v>
      </c>
      <c r="C251" s="648">
        <v>2016</v>
      </c>
      <c r="D251" s="648" t="s">
        <v>53</v>
      </c>
      <c r="E251" s="648" t="s">
        <v>259</v>
      </c>
      <c r="F251" s="648" t="s">
        <v>259</v>
      </c>
      <c r="G251" s="648">
        <v>1</v>
      </c>
      <c r="H251" s="648">
        <v>14</v>
      </c>
      <c r="I251" s="648">
        <v>64000</v>
      </c>
      <c r="J251" s="648" t="s">
        <v>255</v>
      </c>
    </row>
    <row r="252" spans="2:10" x14ac:dyDescent="0.3">
      <c r="B252" s="648" t="s">
        <v>260</v>
      </c>
      <c r="C252" s="648">
        <v>2016</v>
      </c>
      <c r="D252" s="648" t="s">
        <v>53</v>
      </c>
      <c r="E252" s="648" t="s">
        <v>259</v>
      </c>
      <c r="F252" s="648" t="s">
        <v>259</v>
      </c>
      <c r="G252" s="648">
        <v>1</v>
      </c>
      <c r="H252" s="648">
        <v>15</v>
      </c>
      <c r="I252" s="648">
        <v>64000</v>
      </c>
      <c r="J252" s="648" t="s">
        <v>255</v>
      </c>
    </row>
    <row r="253" spans="2:10" x14ac:dyDescent="0.3">
      <c r="B253" s="648" t="s">
        <v>260</v>
      </c>
      <c r="C253" s="648">
        <v>2016</v>
      </c>
      <c r="D253" s="648" t="s">
        <v>53</v>
      </c>
      <c r="E253" s="648" t="s">
        <v>259</v>
      </c>
      <c r="F253" s="648" t="s">
        <v>259</v>
      </c>
      <c r="G253" s="648">
        <v>1</v>
      </c>
      <c r="H253" s="648">
        <v>16</v>
      </c>
      <c r="I253" s="648">
        <v>70000</v>
      </c>
      <c r="J253" s="648" t="s">
        <v>255</v>
      </c>
    </row>
    <row r="254" spans="2:10" x14ac:dyDescent="0.3">
      <c r="B254" s="648" t="s">
        <v>260</v>
      </c>
      <c r="C254" s="648">
        <v>2016</v>
      </c>
      <c r="D254" s="648" t="s">
        <v>53</v>
      </c>
      <c r="E254" s="648" t="s">
        <v>259</v>
      </c>
      <c r="F254" s="648" t="s">
        <v>259</v>
      </c>
      <c r="G254" s="648">
        <v>1</v>
      </c>
      <c r="H254" s="648">
        <v>17</v>
      </c>
      <c r="I254" s="648">
        <v>70000</v>
      </c>
      <c r="J254" s="648" t="s">
        <v>255</v>
      </c>
    </row>
    <row r="255" spans="2:10" x14ac:dyDescent="0.3">
      <c r="B255" s="648" t="s">
        <v>260</v>
      </c>
      <c r="C255" s="648">
        <v>2016</v>
      </c>
      <c r="D255" s="648" t="s">
        <v>53</v>
      </c>
      <c r="E255" s="648" t="s">
        <v>259</v>
      </c>
      <c r="F255" s="648" t="s">
        <v>259</v>
      </c>
      <c r="G255" s="648">
        <v>1</v>
      </c>
      <c r="H255" s="648">
        <v>18</v>
      </c>
      <c r="I255" s="648">
        <v>70000</v>
      </c>
      <c r="J255" s="648" t="s">
        <v>255</v>
      </c>
    </row>
    <row r="256" spans="2:10" collapsed="1" x14ac:dyDescent="0.3">
      <c r="B256" s="648" t="s">
        <v>260</v>
      </c>
      <c r="C256" s="648">
        <v>2016</v>
      </c>
      <c r="D256" s="648" t="s">
        <v>53</v>
      </c>
      <c r="E256" s="648" t="s">
        <v>259</v>
      </c>
      <c r="F256" s="648" t="s">
        <v>259</v>
      </c>
      <c r="G256" s="648">
        <v>1</v>
      </c>
      <c r="H256" s="648">
        <v>19</v>
      </c>
      <c r="I256" s="648">
        <v>70000</v>
      </c>
      <c r="J256" s="648" t="s">
        <v>255</v>
      </c>
    </row>
    <row r="257" spans="2:10" x14ac:dyDescent="0.3">
      <c r="B257" s="648" t="s">
        <v>260</v>
      </c>
      <c r="C257" s="648">
        <v>2016</v>
      </c>
      <c r="D257" s="648" t="s">
        <v>53</v>
      </c>
      <c r="E257" s="648" t="s">
        <v>259</v>
      </c>
      <c r="F257" s="648" t="s">
        <v>259</v>
      </c>
      <c r="G257" s="648">
        <v>1</v>
      </c>
      <c r="H257" s="648">
        <v>20</v>
      </c>
      <c r="I257" s="648">
        <v>70000</v>
      </c>
      <c r="J257" s="648" t="s">
        <v>255</v>
      </c>
    </row>
    <row r="258" spans="2:10" x14ac:dyDescent="0.3">
      <c r="B258" s="648" t="s">
        <v>294</v>
      </c>
      <c r="C258" s="648">
        <v>2016</v>
      </c>
      <c r="D258" s="648" t="s">
        <v>51</v>
      </c>
      <c r="E258" s="648" t="s">
        <v>127</v>
      </c>
      <c r="F258" s="648" t="s">
        <v>307</v>
      </c>
      <c r="G258" s="648">
        <v>4</v>
      </c>
      <c r="H258" s="648">
        <v>13</v>
      </c>
      <c r="I258" s="648">
        <v>41150</v>
      </c>
      <c r="J258" s="648" t="s">
        <v>280</v>
      </c>
    </row>
    <row r="259" spans="2:10" x14ac:dyDescent="0.3">
      <c r="B259" s="648" t="s">
        <v>294</v>
      </c>
      <c r="C259" s="648">
        <v>2016</v>
      </c>
      <c r="D259" s="648" t="s">
        <v>51</v>
      </c>
      <c r="E259" s="648" t="s">
        <v>127</v>
      </c>
      <c r="F259" s="648" t="s">
        <v>307</v>
      </c>
      <c r="G259" s="648">
        <v>4</v>
      </c>
      <c r="H259" s="648">
        <v>14</v>
      </c>
      <c r="I259" s="648">
        <v>41150</v>
      </c>
      <c r="J259" s="648" t="s">
        <v>280</v>
      </c>
    </row>
    <row r="260" spans="2:10" x14ac:dyDescent="0.3">
      <c r="B260" s="648" t="s">
        <v>294</v>
      </c>
      <c r="C260" s="648">
        <v>2016</v>
      </c>
      <c r="D260" s="648" t="s">
        <v>51</v>
      </c>
      <c r="E260" s="648" t="s">
        <v>127</v>
      </c>
      <c r="F260" s="648" t="s">
        <v>307</v>
      </c>
      <c r="G260" s="648">
        <v>4</v>
      </c>
      <c r="H260" s="648">
        <v>15</v>
      </c>
      <c r="I260" s="648">
        <v>41150</v>
      </c>
      <c r="J260" s="648" t="s">
        <v>280</v>
      </c>
    </row>
    <row r="261" spans="2:10" x14ac:dyDescent="0.3">
      <c r="B261" s="648" t="s">
        <v>294</v>
      </c>
      <c r="C261" s="648">
        <v>2016</v>
      </c>
      <c r="D261" s="648" t="s">
        <v>51</v>
      </c>
      <c r="E261" s="648" t="s">
        <v>127</v>
      </c>
      <c r="F261" s="648" t="s">
        <v>307</v>
      </c>
      <c r="G261" s="648">
        <v>4</v>
      </c>
      <c r="H261" s="648">
        <v>16</v>
      </c>
      <c r="I261" s="648">
        <v>41150</v>
      </c>
      <c r="J261" s="648" t="s">
        <v>280</v>
      </c>
    </row>
    <row r="262" spans="2:10" collapsed="1" x14ac:dyDescent="0.3">
      <c r="B262" s="648" t="s">
        <v>294</v>
      </c>
      <c r="C262" s="648">
        <v>2016</v>
      </c>
      <c r="D262" s="648" t="s">
        <v>51</v>
      </c>
      <c r="E262" s="648" t="s">
        <v>127</v>
      </c>
      <c r="F262" s="648" t="s">
        <v>307</v>
      </c>
      <c r="G262" s="648">
        <v>4</v>
      </c>
      <c r="H262" s="648">
        <v>17</v>
      </c>
      <c r="I262" s="648">
        <v>44150</v>
      </c>
      <c r="J262" s="648" t="s">
        <v>280</v>
      </c>
    </row>
    <row r="263" spans="2:10" x14ac:dyDescent="0.3">
      <c r="B263" s="648" t="s">
        <v>294</v>
      </c>
      <c r="C263" s="648">
        <v>2016</v>
      </c>
      <c r="D263" s="648" t="s">
        <v>51</v>
      </c>
      <c r="E263" s="648" t="s">
        <v>127</v>
      </c>
      <c r="F263" s="648" t="s">
        <v>307</v>
      </c>
      <c r="G263" s="648">
        <v>4</v>
      </c>
      <c r="H263" s="648">
        <v>18</v>
      </c>
      <c r="I263" s="648">
        <v>44150</v>
      </c>
      <c r="J263" s="648" t="s">
        <v>280</v>
      </c>
    </row>
    <row r="264" spans="2:10" x14ac:dyDescent="0.3">
      <c r="B264" s="648" t="s">
        <v>294</v>
      </c>
      <c r="C264" s="648">
        <v>2016</v>
      </c>
      <c r="D264" s="648" t="s">
        <v>51</v>
      </c>
      <c r="E264" s="648" t="s">
        <v>127</v>
      </c>
      <c r="F264" s="648" t="s">
        <v>307</v>
      </c>
      <c r="G264" s="648">
        <v>4</v>
      </c>
      <c r="H264" s="648">
        <v>19</v>
      </c>
      <c r="I264" s="648">
        <v>44150</v>
      </c>
      <c r="J264" s="648" t="s">
        <v>280</v>
      </c>
    </row>
    <row r="265" spans="2:10" x14ac:dyDescent="0.3">
      <c r="B265" s="648" t="s">
        <v>294</v>
      </c>
      <c r="C265" s="648">
        <v>2016</v>
      </c>
      <c r="D265" s="648" t="s">
        <v>51</v>
      </c>
      <c r="E265" s="648" t="s">
        <v>127</v>
      </c>
      <c r="F265" s="648" t="s">
        <v>307</v>
      </c>
      <c r="G265" s="648">
        <v>4</v>
      </c>
      <c r="H265" s="648">
        <v>20</v>
      </c>
      <c r="I265" s="648">
        <v>44150</v>
      </c>
      <c r="J265" s="648" t="s">
        <v>280</v>
      </c>
    </row>
    <row r="266" spans="2:10" x14ac:dyDescent="0.3">
      <c r="B266" s="648" t="s">
        <v>261</v>
      </c>
      <c r="C266" s="648">
        <v>2014</v>
      </c>
      <c r="D266" s="648" t="s">
        <v>51</v>
      </c>
      <c r="E266" s="648" t="s">
        <v>126</v>
      </c>
      <c r="F266" s="648" t="s">
        <v>307</v>
      </c>
      <c r="G266" s="648">
        <v>13</v>
      </c>
      <c r="H266" s="648">
        <v>12</v>
      </c>
      <c r="I266" s="648">
        <v>24100</v>
      </c>
      <c r="J266" s="648" t="s">
        <v>255</v>
      </c>
    </row>
    <row r="267" spans="2:10" x14ac:dyDescent="0.3">
      <c r="B267" s="648" t="s">
        <v>261</v>
      </c>
      <c r="C267" s="648">
        <v>2014</v>
      </c>
      <c r="D267" s="648" t="s">
        <v>51</v>
      </c>
      <c r="E267" s="648" t="s">
        <v>126</v>
      </c>
      <c r="F267" s="648" t="s">
        <v>307</v>
      </c>
      <c r="G267" s="648">
        <v>13</v>
      </c>
      <c r="H267" s="648">
        <v>13</v>
      </c>
      <c r="I267" s="648">
        <v>24100</v>
      </c>
      <c r="J267" s="648" t="s">
        <v>255</v>
      </c>
    </row>
    <row r="268" spans="2:10" x14ac:dyDescent="0.3">
      <c r="B268" s="648" t="s">
        <v>261</v>
      </c>
      <c r="C268" s="648">
        <v>2014</v>
      </c>
      <c r="D268" s="648" t="s">
        <v>51</v>
      </c>
      <c r="E268" s="648" t="s">
        <v>126</v>
      </c>
      <c r="F268" s="648" t="s">
        <v>307</v>
      </c>
      <c r="G268" s="648">
        <v>13</v>
      </c>
      <c r="H268" s="648">
        <v>14</v>
      </c>
      <c r="I268" s="648">
        <v>24100</v>
      </c>
      <c r="J268" s="648" t="s">
        <v>255</v>
      </c>
    </row>
    <row r="269" spans="2:10" collapsed="1" x14ac:dyDescent="0.3">
      <c r="B269" s="648" t="s">
        <v>261</v>
      </c>
      <c r="C269" s="648">
        <v>2014</v>
      </c>
      <c r="D269" s="648" t="s">
        <v>51</v>
      </c>
      <c r="E269" s="648" t="s">
        <v>126</v>
      </c>
      <c r="F269" s="648" t="s">
        <v>307</v>
      </c>
      <c r="G269" s="648">
        <v>13</v>
      </c>
      <c r="H269" s="648">
        <v>15</v>
      </c>
      <c r="I269" s="648">
        <v>25900</v>
      </c>
      <c r="J269" s="648" t="s">
        <v>255</v>
      </c>
    </row>
    <row r="270" spans="2:10" x14ac:dyDescent="0.3">
      <c r="B270" s="648" t="s">
        <v>261</v>
      </c>
      <c r="C270" s="648">
        <v>2014</v>
      </c>
      <c r="D270" s="648" t="s">
        <v>51</v>
      </c>
      <c r="E270" s="648" t="s">
        <v>126</v>
      </c>
      <c r="F270" s="648" t="s">
        <v>307</v>
      </c>
      <c r="G270" s="648">
        <v>13</v>
      </c>
      <c r="H270" s="648">
        <v>16</v>
      </c>
      <c r="I270" s="648">
        <v>25900</v>
      </c>
      <c r="J270" s="648" t="s">
        <v>255</v>
      </c>
    </row>
    <row r="271" spans="2:10" x14ac:dyDescent="0.3">
      <c r="B271" s="648" t="s">
        <v>261</v>
      </c>
      <c r="C271" s="648">
        <v>2014</v>
      </c>
      <c r="D271" s="648" t="s">
        <v>51</v>
      </c>
      <c r="E271" s="648" t="s">
        <v>126</v>
      </c>
      <c r="F271" s="648" t="s">
        <v>307</v>
      </c>
      <c r="G271" s="648">
        <v>13</v>
      </c>
      <c r="H271" s="648">
        <v>17</v>
      </c>
      <c r="I271" s="648">
        <v>25900</v>
      </c>
      <c r="J271" s="648" t="s">
        <v>255</v>
      </c>
    </row>
    <row r="272" spans="2:10" x14ac:dyDescent="0.3">
      <c r="B272" s="648" t="s">
        <v>261</v>
      </c>
      <c r="C272" s="648">
        <v>2014</v>
      </c>
      <c r="D272" s="648" t="s">
        <v>51</v>
      </c>
      <c r="E272" s="648" t="s">
        <v>126</v>
      </c>
      <c r="F272" s="648" t="s">
        <v>307</v>
      </c>
      <c r="G272" s="648">
        <v>13</v>
      </c>
      <c r="H272" s="648">
        <v>18</v>
      </c>
      <c r="I272" s="648">
        <v>25900</v>
      </c>
      <c r="J272" s="648" t="s">
        <v>255</v>
      </c>
    </row>
    <row r="273" spans="2:10" x14ac:dyDescent="0.3">
      <c r="B273" s="648" t="s">
        <v>261</v>
      </c>
      <c r="C273" s="648">
        <v>2014</v>
      </c>
      <c r="D273" s="648" t="s">
        <v>51</v>
      </c>
      <c r="E273" s="648" t="s">
        <v>126</v>
      </c>
      <c r="F273" s="648" t="s">
        <v>307</v>
      </c>
      <c r="G273" s="648">
        <v>13</v>
      </c>
      <c r="H273" s="648">
        <v>19</v>
      </c>
      <c r="I273" s="648">
        <v>28800</v>
      </c>
      <c r="J273" s="648" t="s">
        <v>255</v>
      </c>
    </row>
    <row r="274" spans="2:10" x14ac:dyDescent="0.3">
      <c r="B274" s="648" t="s">
        <v>261</v>
      </c>
      <c r="C274" s="648">
        <v>2014</v>
      </c>
      <c r="D274" s="648" t="s">
        <v>51</v>
      </c>
      <c r="E274" s="648" t="s">
        <v>126</v>
      </c>
      <c r="F274" s="648" t="s">
        <v>307</v>
      </c>
      <c r="G274" s="648">
        <v>13</v>
      </c>
      <c r="H274" s="648">
        <v>20</v>
      </c>
      <c r="I274" s="648">
        <v>28800</v>
      </c>
      <c r="J274" s="648" t="s">
        <v>255</v>
      </c>
    </row>
    <row r="275" spans="2:10" x14ac:dyDescent="0.3">
      <c r="B275" s="648" t="s">
        <v>295</v>
      </c>
      <c r="C275" s="648">
        <v>2016</v>
      </c>
      <c r="D275" s="648" t="s">
        <v>51</v>
      </c>
      <c r="E275" s="648" t="s">
        <v>127</v>
      </c>
      <c r="F275" s="648" t="s">
        <v>307</v>
      </c>
      <c r="G275" s="648">
        <v>16</v>
      </c>
      <c r="H275" s="648">
        <v>15</v>
      </c>
      <c r="I275" s="648">
        <v>43800</v>
      </c>
      <c r="J275" s="648" t="s">
        <v>280</v>
      </c>
    </row>
    <row r="276" spans="2:10" x14ac:dyDescent="0.3">
      <c r="B276" s="648" t="s">
        <v>295</v>
      </c>
      <c r="C276" s="648">
        <v>2016</v>
      </c>
      <c r="D276" s="648" t="s">
        <v>51</v>
      </c>
      <c r="E276" s="648" t="s">
        <v>127</v>
      </c>
      <c r="F276" s="648" t="s">
        <v>307</v>
      </c>
      <c r="G276" s="648">
        <v>16</v>
      </c>
      <c r="H276" s="648">
        <v>16</v>
      </c>
      <c r="I276" s="648">
        <v>43800</v>
      </c>
      <c r="J276" s="648" t="s">
        <v>280</v>
      </c>
    </row>
    <row r="277" spans="2:10" collapsed="1" x14ac:dyDescent="0.3">
      <c r="B277" s="648" t="s">
        <v>295</v>
      </c>
      <c r="C277" s="648">
        <v>2016</v>
      </c>
      <c r="D277" s="648" t="s">
        <v>51</v>
      </c>
      <c r="E277" s="648" t="s">
        <v>127</v>
      </c>
      <c r="F277" s="648" t="s">
        <v>307</v>
      </c>
      <c r="G277" s="648">
        <v>16</v>
      </c>
      <c r="H277" s="648">
        <v>17</v>
      </c>
      <c r="I277" s="648">
        <v>47300</v>
      </c>
      <c r="J277" s="648" t="s">
        <v>280</v>
      </c>
    </row>
    <row r="278" spans="2:10" x14ac:dyDescent="0.3">
      <c r="B278" s="648" t="s">
        <v>295</v>
      </c>
      <c r="C278" s="648">
        <v>2016</v>
      </c>
      <c r="D278" s="648" t="s">
        <v>51</v>
      </c>
      <c r="E278" s="648" t="s">
        <v>127</v>
      </c>
      <c r="F278" s="648" t="s">
        <v>307</v>
      </c>
      <c r="G278" s="648">
        <v>16</v>
      </c>
      <c r="H278" s="648">
        <v>18</v>
      </c>
      <c r="I278" s="648">
        <v>47300</v>
      </c>
      <c r="J278" s="648" t="s">
        <v>280</v>
      </c>
    </row>
    <row r="279" spans="2:10" x14ac:dyDescent="0.3">
      <c r="B279" s="648" t="s">
        <v>295</v>
      </c>
      <c r="C279" s="648">
        <v>2016</v>
      </c>
      <c r="D279" s="648" t="s">
        <v>51</v>
      </c>
      <c r="E279" s="648" t="s">
        <v>127</v>
      </c>
      <c r="F279" s="648" t="s">
        <v>307</v>
      </c>
      <c r="G279" s="648">
        <v>16</v>
      </c>
      <c r="H279" s="648">
        <v>19</v>
      </c>
      <c r="I279" s="648">
        <v>47300</v>
      </c>
      <c r="J279" s="648" t="s">
        <v>280</v>
      </c>
    </row>
    <row r="280" spans="2:10" x14ac:dyDescent="0.3">
      <c r="B280" s="648" t="s">
        <v>295</v>
      </c>
      <c r="C280" s="648">
        <v>2016</v>
      </c>
      <c r="D280" s="648" t="s">
        <v>51</v>
      </c>
      <c r="E280" s="648" t="s">
        <v>127</v>
      </c>
      <c r="F280" s="648" t="s">
        <v>307</v>
      </c>
      <c r="G280" s="648">
        <v>16</v>
      </c>
      <c r="H280" s="648">
        <v>20</v>
      </c>
      <c r="I280" s="648">
        <v>47300</v>
      </c>
      <c r="J280" s="648" t="s">
        <v>280</v>
      </c>
    </row>
    <row r="281" spans="2:10" x14ac:dyDescent="0.3">
      <c r="B281" s="648" t="s">
        <v>296</v>
      </c>
      <c r="C281" s="648">
        <v>2016</v>
      </c>
      <c r="D281" s="648" t="s">
        <v>53</v>
      </c>
      <c r="E281" s="648" t="s">
        <v>266</v>
      </c>
      <c r="F281" s="648" t="s">
        <v>57</v>
      </c>
      <c r="G281" s="648">
        <v>1</v>
      </c>
      <c r="H281" s="648">
        <v>16</v>
      </c>
      <c r="I281" s="648">
        <v>41000</v>
      </c>
      <c r="J281" s="648" t="s">
        <v>280</v>
      </c>
    </row>
    <row r="282" spans="2:10" x14ac:dyDescent="0.3">
      <c r="B282" s="648" t="s">
        <v>296</v>
      </c>
      <c r="C282" s="648">
        <v>2016</v>
      </c>
      <c r="D282" s="648" t="s">
        <v>53</v>
      </c>
      <c r="E282" s="648" t="s">
        <v>266</v>
      </c>
      <c r="F282" s="648" t="s">
        <v>57</v>
      </c>
      <c r="G282" s="648">
        <v>1</v>
      </c>
      <c r="H282" s="648">
        <v>17</v>
      </c>
      <c r="I282" s="648">
        <v>41000</v>
      </c>
      <c r="J282" s="648" t="s">
        <v>280</v>
      </c>
    </row>
    <row r="283" spans="2:10" x14ac:dyDescent="0.3">
      <c r="B283" s="648" t="s">
        <v>296</v>
      </c>
      <c r="C283" s="648">
        <v>2016</v>
      </c>
      <c r="D283" s="648" t="s">
        <v>53</v>
      </c>
      <c r="E283" s="648" t="s">
        <v>266</v>
      </c>
      <c r="F283" s="648" t="s">
        <v>57</v>
      </c>
      <c r="G283" s="648">
        <v>1</v>
      </c>
      <c r="H283" s="648">
        <v>18</v>
      </c>
      <c r="I283" s="648">
        <v>41000</v>
      </c>
      <c r="J283" s="648" t="s">
        <v>280</v>
      </c>
    </row>
    <row r="284" spans="2:10" x14ac:dyDescent="0.3">
      <c r="B284" s="648" t="s">
        <v>296</v>
      </c>
      <c r="C284" s="648">
        <v>2016</v>
      </c>
      <c r="D284" s="648" t="s">
        <v>53</v>
      </c>
      <c r="E284" s="648" t="s">
        <v>266</v>
      </c>
      <c r="F284" s="648" t="s">
        <v>57</v>
      </c>
      <c r="G284" s="648">
        <v>1</v>
      </c>
      <c r="H284" s="648">
        <v>19</v>
      </c>
      <c r="I284" s="648">
        <v>41000</v>
      </c>
      <c r="J284" s="648" t="s">
        <v>280</v>
      </c>
    </row>
    <row r="285" spans="2:10" collapsed="1" x14ac:dyDescent="0.3">
      <c r="B285" s="648" t="s">
        <v>296</v>
      </c>
      <c r="C285" s="648">
        <v>2016</v>
      </c>
      <c r="D285" s="648" t="s">
        <v>53</v>
      </c>
      <c r="E285" s="648" t="s">
        <v>266</v>
      </c>
      <c r="F285" s="648" t="s">
        <v>57</v>
      </c>
      <c r="G285" s="648">
        <v>1</v>
      </c>
      <c r="H285" s="648">
        <v>20</v>
      </c>
      <c r="I285" s="648">
        <v>41000</v>
      </c>
      <c r="J285" s="648" t="s">
        <v>280</v>
      </c>
    </row>
    <row r="286" spans="2:10" x14ac:dyDescent="0.3">
      <c r="B286" s="648" t="s">
        <v>262</v>
      </c>
      <c r="C286" s="648">
        <v>2016</v>
      </c>
      <c r="D286" s="648" t="s">
        <v>51</v>
      </c>
      <c r="E286" s="648" t="s">
        <v>127</v>
      </c>
      <c r="F286" s="648" t="s">
        <v>307</v>
      </c>
      <c r="G286" s="648">
        <v>1</v>
      </c>
      <c r="H286" s="648">
        <v>16</v>
      </c>
      <c r="I286" s="648">
        <v>38000</v>
      </c>
      <c r="J286" s="648" t="s">
        <v>255</v>
      </c>
    </row>
    <row r="287" spans="2:10" x14ac:dyDescent="0.3">
      <c r="B287" s="648" t="s">
        <v>262</v>
      </c>
      <c r="C287" s="648">
        <v>2016</v>
      </c>
      <c r="D287" s="648" t="s">
        <v>51</v>
      </c>
      <c r="E287" s="648" t="s">
        <v>127</v>
      </c>
      <c r="F287" s="648" t="s">
        <v>307</v>
      </c>
      <c r="G287" s="648">
        <v>1</v>
      </c>
      <c r="H287" s="648">
        <v>14</v>
      </c>
      <c r="I287" s="648">
        <v>38000</v>
      </c>
      <c r="J287" s="648" t="s">
        <v>255</v>
      </c>
    </row>
    <row r="288" spans="2:10" x14ac:dyDescent="0.3">
      <c r="B288" s="648" t="s">
        <v>262</v>
      </c>
      <c r="C288" s="648">
        <v>2016</v>
      </c>
      <c r="D288" s="648" t="s">
        <v>51</v>
      </c>
      <c r="E288" s="648" t="s">
        <v>127</v>
      </c>
      <c r="F288" s="648" t="s">
        <v>307</v>
      </c>
      <c r="G288" s="648">
        <v>1</v>
      </c>
      <c r="H288" s="648">
        <v>15</v>
      </c>
      <c r="I288" s="648">
        <v>38000</v>
      </c>
      <c r="J288" s="648" t="s">
        <v>255</v>
      </c>
    </row>
    <row r="289" spans="2:10" collapsed="1" x14ac:dyDescent="0.3">
      <c r="B289" s="648" t="s">
        <v>262</v>
      </c>
      <c r="C289" s="648">
        <v>2016</v>
      </c>
      <c r="D289" s="648" t="s">
        <v>51</v>
      </c>
      <c r="E289" s="648" t="s">
        <v>127</v>
      </c>
      <c r="F289" s="648" t="s">
        <v>307</v>
      </c>
      <c r="G289" s="648">
        <v>1</v>
      </c>
      <c r="H289" s="648">
        <v>17</v>
      </c>
      <c r="I289" s="648">
        <v>40000</v>
      </c>
      <c r="J289" s="648" t="s">
        <v>255</v>
      </c>
    </row>
    <row r="290" spans="2:10" x14ac:dyDescent="0.3">
      <c r="B290" s="648" t="s">
        <v>262</v>
      </c>
      <c r="C290" s="648">
        <v>2016</v>
      </c>
      <c r="D290" s="648" t="s">
        <v>51</v>
      </c>
      <c r="E290" s="648" t="s">
        <v>127</v>
      </c>
      <c r="F290" s="648" t="s">
        <v>307</v>
      </c>
      <c r="G290" s="648">
        <v>1</v>
      </c>
      <c r="H290" s="648">
        <v>18</v>
      </c>
      <c r="I290" s="648">
        <v>40000</v>
      </c>
      <c r="J290" s="648" t="s">
        <v>255</v>
      </c>
    </row>
    <row r="291" spans="2:10" x14ac:dyDescent="0.3">
      <c r="B291" s="648" t="s">
        <v>262</v>
      </c>
      <c r="C291" s="648">
        <v>2016</v>
      </c>
      <c r="D291" s="648" t="s">
        <v>51</v>
      </c>
      <c r="E291" s="648" t="s">
        <v>127</v>
      </c>
      <c r="F291" s="648" t="s">
        <v>307</v>
      </c>
      <c r="G291" s="648">
        <v>1</v>
      </c>
      <c r="H291" s="648">
        <v>19</v>
      </c>
      <c r="I291" s="648">
        <v>40000</v>
      </c>
      <c r="J291" s="648" t="s">
        <v>255</v>
      </c>
    </row>
    <row r="292" spans="2:10" x14ac:dyDescent="0.3">
      <c r="B292" s="648" t="s">
        <v>262</v>
      </c>
      <c r="C292" s="648">
        <v>2016</v>
      </c>
      <c r="D292" s="648" t="s">
        <v>51</v>
      </c>
      <c r="E292" s="648" t="s">
        <v>127</v>
      </c>
      <c r="F292" s="648" t="s">
        <v>307</v>
      </c>
      <c r="G292" s="648">
        <v>1</v>
      </c>
      <c r="H292" s="648">
        <v>20</v>
      </c>
      <c r="I292" s="648">
        <v>40000</v>
      </c>
      <c r="J292" s="648" t="s">
        <v>255</v>
      </c>
    </row>
    <row r="293" spans="2:10" x14ac:dyDescent="0.3">
      <c r="B293" s="648" t="s">
        <v>297</v>
      </c>
      <c r="C293" s="648">
        <v>2016</v>
      </c>
      <c r="D293" s="648" t="s">
        <v>53</v>
      </c>
      <c r="E293" s="648" t="s">
        <v>128</v>
      </c>
      <c r="F293" s="648" t="s">
        <v>307</v>
      </c>
      <c r="G293" s="648">
        <v>2</v>
      </c>
      <c r="H293" s="648">
        <v>11</v>
      </c>
      <c r="I293" s="648">
        <v>41000</v>
      </c>
      <c r="J293" s="648" t="s">
        <v>280</v>
      </c>
    </row>
    <row r="294" spans="2:10" x14ac:dyDescent="0.3">
      <c r="B294" s="648" t="s">
        <v>297</v>
      </c>
      <c r="C294" s="648">
        <v>2016</v>
      </c>
      <c r="D294" s="648" t="s">
        <v>53</v>
      </c>
      <c r="E294" s="648" t="s">
        <v>128</v>
      </c>
      <c r="F294" s="648" t="s">
        <v>307</v>
      </c>
      <c r="G294" s="648">
        <v>2</v>
      </c>
      <c r="H294" s="648">
        <v>12</v>
      </c>
      <c r="I294" s="648">
        <v>41000</v>
      </c>
      <c r="J294" s="648" t="s">
        <v>280</v>
      </c>
    </row>
    <row r="295" spans="2:10" x14ac:dyDescent="0.3">
      <c r="B295" s="648" t="s">
        <v>297</v>
      </c>
      <c r="C295" s="648">
        <v>2016</v>
      </c>
      <c r="D295" s="648" t="s">
        <v>53</v>
      </c>
      <c r="E295" s="648" t="s">
        <v>128</v>
      </c>
      <c r="F295" s="648" t="s">
        <v>307</v>
      </c>
      <c r="G295" s="648">
        <v>2</v>
      </c>
      <c r="H295" s="648">
        <v>13</v>
      </c>
      <c r="I295" s="648">
        <v>45000</v>
      </c>
      <c r="J295" s="648" t="s">
        <v>280</v>
      </c>
    </row>
    <row r="296" spans="2:10" x14ac:dyDescent="0.3">
      <c r="B296" s="648" t="s">
        <v>297</v>
      </c>
      <c r="C296" s="648">
        <v>2016</v>
      </c>
      <c r="D296" s="648" t="s">
        <v>53</v>
      </c>
      <c r="E296" s="648" t="s">
        <v>128</v>
      </c>
      <c r="F296" s="648" t="s">
        <v>307</v>
      </c>
      <c r="G296" s="648">
        <v>2</v>
      </c>
      <c r="H296" s="648">
        <v>14</v>
      </c>
      <c r="I296" s="648">
        <v>45000</v>
      </c>
      <c r="J296" s="648" t="s">
        <v>280</v>
      </c>
    </row>
    <row r="297" spans="2:10" x14ac:dyDescent="0.3">
      <c r="B297" s="648" t="s">
        <v>297</v>
      </c>
      <c r="C297" s="648">
        <v>2016</v>
      </c>
      <c r="D297" s="648" t="s">
        <v>53</v>
      </c>
      <c r="E297" s="648" t="s">
        <v>128</v>
      </c>
      <c r="F297" s="648" t="s">
        <v>307</v>
      </c>
      <c r="G297" s="648">
        <v>2</v>
      </c>
      <c r="H297" s="648">
        <v>15</v>
      </c>
      <c r="I297" s="648">
        <v>45000</v>
      </c>
      <c r="J297" s="648" t="s">
        <v>280</v>
      </c>
    </row>
    <row r="298" spans="2:10" x14ac:dyDescent="0.3">
      <c r="B298" s="648" t="s">
        <v>297</v>
      </c>
      <c r="C298" s="648">
        <v>2016</v>
      </c>
      <c r="D298" s="648" t="s">
        <v>53</v>
      </c>
      <c r="E298" s="648" t="s">
        <v>128</v>
      </c>
      <c r="F298" s="648" t="s">
        <v>307</v>
      </c>
      <c r="G298" s="648">
        <v>2</v>
      </c>
      <c r="H298" s="648">
        <v>16</v>
      </c>
      <c r="I298" s="648">
        <v>45000</v>
      </c>
      <c r="J298" s="648" t="s">
        <v>280</v>
      </c>
    </row>
    <row r="299" spans="2:10" collapsed="1" x14ac:dyDescent="0.3">
      <c r="B299" s="648" t="s">
        <v>297</v>
      </c>
      <c r="C299" s="648">
        <v>2016</v>
      </c>
      <c r="D299" s="648" t="s">
        <v>53</v>
      </c>
      <c r="E299" s="648" t="s">
        <v>128</v>
      </c>
      <c r="F299" s="648" t="s">
        <v>307</v>
      </c>
      <c r="G299" s="648">
        <v>2</v>
      </c>
      <c r="H299" s="648">
        <v>17</v>
      </c>
      <c r="I299" s="648">
        <v>51500</v>
      </c>
      <c r="J299" s="648" t="s">
        <v>280</v>
      </c>
    </row>
    <row r="300" spans="2:10" x14ac:dyDescent="0.3">
      <c r="B300" s="648" t="s">
        <v>297</v>
      </c>
      <c r="C300" s="648">
        <v>2016</v>
      </c>
      <c r="D300" s="648" t="s">
        <v>53</v>
      </c>
      <c r="E300" s="648" t="s">
        <v>128</v>
      </c>
      <c r="F300" s="648" t="s">
        <v>307</v>
      </c>
      <c r="G300" s="648">
        <v>2</v>
      </c>
      <c r="H300" s="648">
        <v>18</v>
      </c>
      <c r="I300" s="648">
        <v>51500</v>
      </c>
      <c r="J300" s="648" t="s">
        <v>280</v>
      </c>
    </row>
    <row r="301" spans="2:10" x14ac:dyDescent="0.3">
      <c r="B301" s="648" t="s">
        <v>297</v>
      </c>
      <c r="C301" s="648">
        <v>2016</v>
      </c>
      <c r="D301" s="648" t="s">
        <v>53</v>
      </c>
      <c r="E301" s="648" t="s">
        <v>128</v>
      </c>
      <c r="F301" s="648" t="s">
        <v>307</v>
      </c>
      <c r="G301" s="648">
        <v>2</v>
      </c>
      <c r="H301" s="648">
        <v>19</v>
      </c>
      <c r="I301" s="648">
        <v>51500</v>
      </c>
      <c r="J301" s="648" t="s">
        <v>280</v>
      </c>
    </row>
    <row r="302" spans="2:10" x14ac:dyDescent="0.3">
      <c r="B302" s="648" t="s">
        <v>297</v>
      </c>
      <c r="C302" s="648">
        <v>2016</v>
      </c>
      <c r="D302" s="648" t="s">
        <v>53</v>
      </c>
      <c r="E302" s="648" t="s">
        <v>128</v>
      </c>
      <c r="F302" s="648" t="s">
        <v>307</v>
      </c>
      <c r="G302" s="648">
        <v>2</v>
      </c>
      <c r="H302" s="648">
        <v>20</v>
      </c>
      <c r="I302" s="648">
        <v>51500</v>
      </c>
      <c r="J302" s="648" t="s">
        <v>280</v>
      </c>
    </row>
    <row r="303" spans="2:10" x14ac:dyDescent="0.3">
      <c r="B303" s="648" t="s">
        <v>298</v>
      </c>
      <c r="C303" s="648">
        <v>2016</v>
      </c>
      <c r="D303" s="648" t="s">
        <v>51</v>
      </c>
      <c r="E303" s="648" t="s">
        <v>127</v>
      </c>
      <c r="F303" s="648" t="s">
        <v>307</v>
      </c>
      <c r="G303" s="648">
        <v>1</v>
      </c>
      <c r="H303" s="648">
        <v>13</v>
      </c>
      <c r="I303" s="648">
        <v>46800</v>
      </c>
      <c r="J303" s="648" t="s">
        <v>280</v>
      </c>
    </row>
    <row r="304" spans="2:10" collapsed="1" x14ac:dyDescent="0.3">
      <c r="B304" s="648" t="s">
        <v>298</v>
      </c>
      <c r="C304" s="648">
        <v>2016</v>
      </c>
      <c r="D304" s="648" t="s">
        <v>51</v>
      </c>
      <c r="E304" s="648" t="s">
        <v>127</v>
      </c>
      <c r="F304" s="648" t="s">
        <v>307</v>
      </c>
      <c r="G304" s="648">
        <v>1</v>
      </c>
      <c r="H304" s="648">
        <v>14</v>
      </c>
      <c r="I304" s="648">
        <v>46800</v>
      </c>
      <c r="J304" s="648" t="s">
        <v>280</v>
      </c>
    </row>
    <row r="305" spans="2:10" x14ac:dyDescent="0.3">
      <c r="B305" s="648" t="s">
        <v>298</v>
      </c>
      <c r="C305" s="648">
        <v>2016</v>
      </c>
      <c r="D305" s="648" t="s">
        <v>51</v>
      </c>
      <c r="E305" s="648" t="s">
        <v>127</v>
      </c>
      <c r="F305" s="648" t="s">
        <v>307</v>
      </c>
      <c r="G305" s="648">
        <v>1</v>
      </c>
      <c r="H305" s="648">
        <v>15</v>
      </c>
      <c r="I305" s="648">
        <v>50300</v>
      </c>
      <c r="J305" s="648" t="s">
        <v>280</v>
      </c>
    </row>
    <row r="306" spans="2:10" x14ac:dyDescent="0.3">
      <c r="B306" s="648" t="s">
        <v>298</v>
      </c>
      <c r="C306" s="648">
        <v>2016</v>
      </c>
      <c r="D306" s="648" t="s">
        <v>51</v>
      </c>
      <c r="E306" s="648" t="s">
        <v>127</v>
      </c>
      <c r="F306" s="648" t="s">
        <v>307</v>
      </c>
      <c r="G306" s="648">
        <v>1</v>
      </c>
      <c r="H306" s="648">
        <v>16</v>
      </c>
      <c r="I306" s="648">
        <v>50300</v>
      </c>
      <c r="J306" s="648" t="s">
        <v>280</v>
      </c>
    </row>
    <row r="307" spans="2:10" x14ac:dyDescent="0.3">
      <c r="B307" s="648" t="s">
        <v>298</v>
      </c>
      <c r="C307" s="648">
        <v>2016</v>
      </c>
      <c r="D307" s="648" t="s">
        <v>51</v>
      </c>
      <c r="E307" s="648" t="s">
        <v>127</v>
      </c>
      <c r="F307" s="648" t="s">
        <v>307</v>
      </c>
      <c r="G307" s="648">
        <v>1</v>
      </c>
      <c r="H307" s="648">
        <v>17</v>
      </c>
      <c r="I307" s="648">
        <v>50300</v>
      </c>
      <c r="J307" s="648" t="s">
        <v>280</v>
      </c>
    </row>
    <row r="308" spans="2:10" x14ac:dyDescent="0.3">
      <c r="B308" s="648" t="s">
        <v>298</v>
      </c>
      <c r="C308" s="648">
        <v>2016</v>
      </c>
      <c r="D308" s="648" t="s">
        <v>51</v>
      </c>
      <c r="E308" s="648" t="s">
        <v>127</v>
      </c>
      <c r="F308" s="648" t="s">
        <v>307</v>
      </c>
      <c r="G308" s="648">
        <v>1</v>
      </c>
      <c r="H308" s="648">
        <v>18</v>
      </c>
      <c r="I308" s="648">
        <v>55300</v>
      </c>
      <c r="J308" s="648" t="s">
        <v>280</v>
      </c>
    </row>
    <row r="309" spans="2:10" x14ac:dyDescent="0.3">
      <c r="B309" s="648" t="s">
        <v>298</v>
      </c>
      <c r="C309" s="648">
        <v>2016</v>
      </c>
      <c r="D309" s="648" t="s">
        <v>51</v>
      </c>
      <c r="E309" s="648" t="s">
        <v>127</v>
      </c>
      <c r="F309" s="648" t="s">
        <v>307</v>
      </c>
      <c r="G309" s="648">
        <v>1</v>
      </c>
      <c r="H309" s="648">
        <v>19</v>
      </c>
      <c r="I309" s="648">
        <v>55300</v>
      </c>
      <c r="J309" s="648" t="s">
        <v>280</v>
      </c>
    </row>
    <row r="310" spans="2:10" x14ac:dyDescent="0.3">
      <c r="B310" s="648" t="s">
        <v>298</v>
      </c>
      <c r="C310" s="648">
        <v>2016</v>
      </c>
      <c r="D310" s="648" t="s">
        <v>51</v>
      </c>
      <c r="E310" s="648" t="s">
        <v>127</v>
      </c>
      <c r="F310" s="648" t="s">
        <v>307</v>
      </c>
      <c r="G310" s="648">
        <v>1</v>
      </c>
      <c r="H310" s="648">
        <v>20</v>
      </c>
      <c r="I310" s="648">
        <v>55300</v>
      </c>
      <c r="J310" s="648" t="s">
        <v>280</v>
      </c>
    </row>
    <row r="311" spans="2:10" x14ac:dyDescent="0.3">
      <c r="B311" s="648" t="s">
        <v>366</v>
      </c>
      <c r="C311" s="648">
        <v>2017</v>
      </c>
      <c r="D311" s="648" t="s">
        <v>51</v>
      </c>
      <c r="E311" s="648" t="s">
        <v>127</v>
      </c>
      <c r="F311" s="648" t="s">
        <v>307</v>
      </c>
      <c r="G311" s="648">
        <v>4</v>
      </c>
      <c r="H311" s="648">
        <v>18</v>
      </c>
      <c r="I311" s="648">
        <v>42500</v>
      </c>
      <c r="J311" s="648" t="s">
        <v>255</v>
      </c>
    </row>
    <row r="312" spans="2:10" x14ac:dyDescent="0.3">
      <c r="B312" s="648" t="s">
        <v>366</v>
      </c>
      <c r="C312" s="648">
        <v>2017</v>
      </c>
      <c r="D312" s="648" t="s">
        <v>51</v>
      </c>
      <c r="E312" s="648" t="s">
        <v>127</v>
      </c>
      <c r="F312" s="648" t="s">
        <v>307</v>
      </c>
      <c r="G312" s="648">
        <v>4</v>
      </c>
      <c r="H312" s="648">
        <v>19</v>
      </c>
      <c r="I312" s="648">
        <v>42500</v>
      </c>
      <c r="J312" s="648" t="s">
        <v>255</v>
      </c>
    </row>
    <row r="313" spans="2:10" x14ac:dyDescent="0.3">
      <c r="B313" s="648" t="s">
        <v>366</v>
      </c>
      <c r="C313" s="648">
        <v>2017</v>
      </c>
      <c r="D313" s="648" t="s">
        <v>51</v>
      </c>
      <c r="E313" s="648" t="s">
        <v>127</v>
      </c>
      <c r="F313" s="648" t="s">
        <v>307</v>
      </c>
      <c r="G313" s="648">
        <v>4</v>
      </c>
      <c r="H313" s="648">
        <v>20</v>
      </c>
      <c r="I313" s="648">
        <v>42500</v>
      </c>
      <c r="J313" s="648" t="s">
        <v>255</v>
      </c>
    </row>
    <row r="314" spans="2:10" x14ac:dyDescent="0.3">
      <c r="B314" s="648" t="s">
        <v>299</v>
      </c>
      <c r="C314" s="648">
        <v>2016</v>
      </c>
      <c r="D314" s="648" t="s">
        <v>53</v>
      </c>
      <c r="E314" s="648" t="s">
        <v>128</v>
      </c>
      <c r="F314" s="648" t="s">
        <v>307</v>
      </c>
      <c r="G314" s="648">
        <v>4</v>
      </c>
      <c r="H314" s="648">
        <v>15</v>
      </c>
      <c r="I314" s="648">
        <v>47600</v>
      </c>
      <c r="J314" s="648" t="s">
        <v>280</v>
      </c>
    </row>
    <row r="315" spans="2:10" x14ac:dyDescent="0.3">
      <c r="B315" s="648" t="s">
        <v>299</v>
      </c>
      <c r="C315" s="648">
        <v>2016</v>
      </c>
      <c r="D315" s="648" t="s">
        <v>53</v>
      </c>
      <c r="E315" s="648" t="s">
        <v>128</v>
      </c>
      <c r="F315" s="648" t="s">
        <v>307</v>
      </c>
      <c r="G315" s="648">
        <v>4</v>
      </c>
      <c r="H315" s="648">
        <v>16</v>
      </c>
      <c r="I315" s="648">
        <v>47600</v>
      </c>
      <c r="J315" s="648" t="s">
        <v>280</v>
      </c>
    </row>
    <row r="316" spans="2:10" x14ac:dyDescent="0.3">
      <c r="B316" s="648" t="s">
        <v>299</v>
      </c>
      <c r="C316" s="648">
        <v>2016</v>
      </c>
      <c r="D316" s="648" t="s">
        <v>53</v>
      </c>
      <c r="E316" s="648" t="s">
        <v>128</v>
      </c>
      <c r="F316" s="648" t="s">
        <v>307</v>
      </c>
      <c r="G316" s="648">
        <v>4</v>
      </c>
      <c r="H316" s="648">
        <v>17</v>
      </c>
      <c r="I316" s="648">
        <v>47600</v>
      </c>
      <c r="J316" s="648" t="s">
        <v>280</v>
      </c>
    </row>
    <row r="317" spans="2:10" x14ac:dyDescent="0.3">
      <c r="B317" s="648" t="s">
        <v>299</v>
      </c>
      <c r="C317" s="648">
        <v>2016</v>
      </c>
      <c r="D317" s="648" t="s">
        <v>53</v>
      </c>
      <c r="E317" s="648" t="s">
        <v>128</v>
      </c>
      <c r="F317" s="648" t="s">
        <v>307</v>
      </c>
      <c r="G317" s="648">
        <v>4</v>
      </c>
      <c r="H317" s="648">
        <v>18</v>
      </c>
      <c r="I317" s="648">
        <v>53600</v>
      </c>
      <c r="J317" s="648" t="s">
        <v>280</v>
      </c>
    </row>
    <row r="318" spans="2:10" collapsed="1" x14ac:dyDescent="0.3">
      <c r="B318" s="648" t="s">
        <v>299</v>
      </c>
      <c r="C318" s="648">
        <v>2016</v>
      </c>
      <c r="D318" s="648" t="s">
        <v>53</v>
      </c>
      <c r="E318" s="648" t="s">
        <v>128</v>
      </c>
      <c r="F318" s="648" t="s">
        <v>307</v>
      </c>
      <c r="G318" s="648">
        <v>4</v>
      </c>
      <c r="H318" s="648">
        <v>19</v>
      </c>
      <c r="I318" s="648">
        <v>53600</v>
      </c>
      <c r="J318" s="648" t="s">
        <v>280</v>
      </c>
    </row>
    <row r="319" spans="2:10" x14ac:dyDescent="0.3">
      <c r="B319" s="648" t="s">
        <v>299</v>
      </c>
      <c r="C319" s="648">
        <v>2016</v>
      </c>
      <c r="D319" s="648" t="s">
        <v>53</v>
      </c>
      <c r="E319" s="648" t="s">
        <v>128</v>
      </c>
      <c r="F319" s="648" t="s">
        <v>307</v>
      </c>
      <c r="G319" s="648">
        <v>4</v>
      </c>
      <c r="H319" s="648">
        <v>20</v>
      </c>
      <c r="I319" s="648">
        <v>53600</v>
      </c>
      <c r="J319" s="648" t="s">
        <v>280</v>
      </c>
    </row>
    <row r="320" spans="2:10" x14ac:dyDescent="0.3">
      <c r="B320" s="648" t="s">
        <v>365</v>
      </c>
      <c r="C320" s="648">
        <v>2017</v>
      </c>
      <c r="D320" s="648" t="s">
        <v>51</v>
      </c>
      <c r="E320" s="648" t="s">
        <v>52</v>
      </c>
      <c r="F320" s="648" t="s">
        <v>306</v>
      </c>
      <c r="G320" s="648">
        <v>3</v>
      </c>
      <c r="H320" s="648">
        <v>13</v>
      </c>
      <c r="I320" s="648">
        <v>41000</v>
      </c>
      <c r="J320" s="648" t="s">
        <v>255</v>
      </c>
    </row>
    <row r="321" spans="2:10" x14ac:dyDescent="0.3">
      <c r="B321" s="648" t="s">
        <v>365</v>
      </c>
      <c r="C321" s="648">
        <v>2017</v>
      </c>
      <c r="D321" s="648" t="s">
        <v>51</v>
      </c>
      <c r="E321" s="648" t="s">
        <v>52</v>
      </c>
      <c r="F321" s="648" t="s">
        <v>306</v>
      </c>
      <c r="G321" s="648">
        <v>3</v>
      </c>
      <c r="H321" s="648">
        <v>14</v>
      </c>
      <c r="I321" s="648">
        <v>41000</v>
      </c>
      <c r="J321" s="648" t="s">
        <v>255</v>
      </c>
    </row>
    <row r="322" spans="2:10" x14ac:dyDescent="0.3">
      <c r="B322" s="648" t="s">
        <v>365</v>
      </c>
      <c r="C322" s="648">
        <v>2017</v>
      </c>
      <c r="D322" s="648" t="s">
        <v>51</v>
      </c>
      <c r="E322" s="648" t="s">
        <v>52</v>
      </c>
      <c r="F322" s="648" t="s">
        <v>306</v>
      </c>
      <c r="G322" s="648">
        <v>3</v>
      </c>
      <c r="H322" s="648">
        <v>15</v>
      </c>
      <c r="I322" s="648">
        <v>44500</v>
      </c>
      <c r="J322" s="648" t="s">
        <v>255</v>
      </c>
    </row>
    <row r="323" spans="2:10" x14ac:dyDescent="0.3">
      <c r="B323" s="648" t="s">
        <v>365</v>
      </c>
      <c r="C323" s="648">
        <v>2017</v>
      </c>
      <c r="D323" s="648" t="s">
        <v>51</v>
      </c>
      <c r="E323" s="648" t="s">
        <v>52</v>
      </c>
      <c r="F323" s="648" t="s">
        <v>306</v>
      </c>
      <c r="G323" s="648">
        <v>3</v>
      </c>
      <c r="H323" s="648">
        <v>16</v>
      </c>
      <c r="I323" s="648">
        <v>44500</v>
      </c>
      <c r="J323" s="648" t="s">
        <v>255</v>
      </c>
    </row>
    <row r="324" spans="2:10" x14ac:dyDescent="0.3">
      <c r="B324" s="648" t="s">
        <v>365</v>
      </c>
      <c r="C324" s="648">
        <v>2017</v>
      </c>
      <c r="D324" s="648" t="s">
        <v>51</v>
      </c>
      <c r="E324" s="648" t="s">
        <v>52</v>
      </c>
      <c r="F324" s="648" t="s">
        <v>306</v>
      </c>
      <c r="G324" s="648">
        <v>3</v>
      </c>
      <c r="H324" s="648">
        <v>17</v>
      </c>
      <c r="I324" s="648">
        <v>44500</v>
      </c>
      <c r="J324" s="648" t="s">
        <v>255</v>
      </c>
    </row>
    <row r="325" spans="2:10" x14ac:dyDescent="0.3">
      <c r="B325" s="648" t="s">
        <v>365</v>
      </c>
      <c r="C325" s="648">
        <v>2017</v>
      </c>
      <c r="D325" s="648" t="s">
        <v>51</v>
      </c>
      <c r="E325" s="648" t="s">
        <v>52</v>
      </c>
      <c r="F325" s="648" t="s">
        <v>306</v>
      </c>
      <c r="G325" s="648">
        <v>3</v>
      </c>
      <c r="H325" s="648">
        <v>18</v>
      </c>
      <c r="I325" s="648">
        <v>50000</v>
      </c>
      <c r="J325" s="648" t="s">
        <v>255</v>
      </c>
    </row>
    <row r="326" spans="2:10" x14ac:dyDescent="0.3">
      <c r="B326" s="648" t="s">
        <v>365</v>
      </c>
      <c r="C326" s="648">
        <v>2017</v>
      </c>
      <c r="D326" s="648" t="s">
        <v>51</v>
      </c>
      <c r="E326" s="648" t="s">
        <v>52</v>
      </c>
      <c r="F326" s="648" t="s">
        <v>306</v>
      </c>
      <c r="G326" s="648">
        <v>3</v>
      </c>
      <c r="H326" s="648">
        <v>19</v>
      </c>
      <c r="I326" s="648">
        <v>50000</v>
      </c>
      <c r="J326" s="648" t="s">
        <v>255</v>
      </c>
    </row>
    <row r="327" spans="2:10" x14ac:dyDescent="0.3">
      <c r="B327" s="648" t="s">
        <v>365</v>
      </c>
      <c r="C327" s="648">
        <v>2017</v>
      </c>
      <c r="D327" s="648" t="s">
        <v>51</v>
      </c>
      <c r="E327" s="648" t="s">
        <v>52</v>
      </c>
      <c r="F327" s="648" t="s">
        <v>306</v>
      </c>
      <c r="G327" s="648">
        <v>3</v>
      </c>
      <c r="H327" s="648">
        <v>20</v>
      </c>
      <c r="I327" s="648">
        <v>50000</v>
      </c>
      <c r="J327" s="648" t="s">
        <v>255</v>
      </c>
    </row>
    <row r="328" spans="2:10" x14ac:dyDescent="0.3">
      <c r="B328" s="648" t="s">
        <v>339</v>
      </c>
      <c r="C328" s="648">
        <v>2016</v>
      </c>
      <c r="D328" s="648" t="s">
        <v>51</v>
      </c>
      <c r="E328" s="648" t="s">
        <v>52</v>
      </c>
      <c r="F328" s="648" t="s">
        <v>306</v>
      </c>
      <c r="G328" s="648">
        <v>2</v>
      </c>
      <c r="H328" s="648">
        <v>13</v>
      </c>
      <c r="I328" s="648">
        <v>42000</v>
      </c>
      <c r="J328" s="648" t="s">
        <v>280</v>
      </c>
    </row>
    <row r="329" spans="2:10" collapsed="1" x14ac:dyDescent="0.3">
      <c r="B329" s="648" t="s">
        <v>339</v>
      </c>
      <c r="C329" s="648">
        <v>2016</v>
      </c>
      <c r="D329" s="648" t="s">
        <v>51</v>
      </c>
      <c r="E329" s="648" t="s">
        <v>52</v>
      </c>
      <c r="F329" s="648" t="s">
        <v>306</v>
      </c>
      <c r="G329" s="648">
        <v>2</v>
      </c>
      <c r="H329" s="648">
        <v>14</v>
      </c>
      <c r="I329" s="648">
        <v>42000</v>
      </c>
      <c r="J329" s="648" t="s">
        <v>280</v>
      </c>
    </row>
    <row r="330" spans="2:10" x14ac:dyDescent="0.3">
      <c r="B330" s="648" t="s">
        <v>339</v>
      </c>
      <c r="C330" s="648">
        <v>2016</v>
      </c>
      <c r="D330" s="648" t="s">
        <v>51</v>
      </c>
      <c r="E330" s="648" t="s">
        <v>52</v>
      </c>
      <c r="F330" s="648" t="s">
        <v>306</v>
      </c>
      <c r="G330" s="648">
        <v>2</v>
      </c>
      <c r="H330" s="648">
        <v>15</v>
      </c>
      <c r="I330" s="648">
        <v>42000</v>
      </c>
      <c r="J330" s="648" t="s">
        <v>280</v>
      </c>
    </row>
    <row r="331" spans="2:10" x14ac:dyDescent="0.3">
      <c r="B331" s="648" t="s">
        <v>339</v>
      </c>
      <c r="C331" s="648">
        <v>2016</v>
      </c>
      <c r="D331" s="648" t="s">
        <v>51</v>
      </c>
      <c r="E331" s="648" t="s">
        <v>52</v>
      </c>
      <c r="F331" s="648" t="s">
        <v>306</v>
      </c>
      <c r="G331" s="648">
        <v>2</v>
      </c>
      <c r="H331" s="648">
        <v>16</v>
      </c>
      <c r="I331" s="648">
        <v>51000</v>
      </c>
      <c r="J331" s="648" t="s">
        <v>280</v>
      </c>
    </row>
    <row r="332" spans="2:10" x14ac:dyDescent="0.3">
      <c r="B332" s="648" t="s">
        <v>339</v>
      </c>
      <c r="C332" s="648">
        <v>2016</v>
      </c>
      <c r="D332" s="648" t="s">
        <v>51</v>
      </c>
      <c r="E332" s="648" t="s">
        <v>52</v>
      </c>
      <c r="F332" s="648" t="s">
        <v>306</v>
      </c>
      <c r="G332" s="648">
        <v>2</v>
      </c>
      <c r="H332" s="648">
        <v>17</v>
      </c>
      <c r="I332" s="648">
        <v>51000</v>
      </c>
      <c r="J332" s="648" t="s">
        <v>280</v>
      </c>
    </row>
    <row r="333" spans="2:10" x14ac:dyDescent="0.3">
      <c r="B333" s="648" t="s">
        <v>339</v>
      </c>
      <c r="C333" s="648">
        <v>2016</v>
      </c>
      <c r="D333" s="648" t="s">
        <v>51</v>
      </c>
      <c r="E333" s="648" t="s">
        <v>52</v>
      </c>
      <c r="F333" s="648" t="s">
        <v>306</v>
      </c>
      <c r="G333" s="648">
        <v>2</v>
      </c>
      <c r="H333" s="648">
        <v>18</v>
      </c>
      <c r="I333" s="648">
        <v>51000</v>
      </c>
      <c r="J333" s="648" t="s">
        <v>280</v>
      </c>
    </row>
    <row r="334" spans="2:10" x14ac:dyDescent="0.3">
      <c r="B334" s="648" t="s">
        <v>339</v>
      </c>
      <c r="C334" s="648">
        <v>2016</v>
      </c>
      <c r="D334" s="648" t="s">
        <v>51</v>
      </c>
      <c r="E334" s="648" t="s">
        <v>52</v>
      </c>
      <c r="F334" s="648" t="s">
        <v>306</v>
      </c>
      <c r="G334" s="648">
        <v>2</v>
      </c>
      <c r="H334" s="648">
        <v>19</v>
      </c>
      <c r="I334" s="648">
        <v>51000</v>
      </c>
      <c r="J334" s="648" t="s">
        <v>280</v>
      </c>
    </row>
    <row r="335" spans="2:10" x14ac:dyDescent="0.3">
      <c r="B335" s="648" t="s">
        <v>339</v>
      </c>
      <c r="C335" s="648">
        <v>2016</v>
      </c>
      <c r="D335" s="648" t="s">
        <v>51</v>
      </c>
      <c r="E335" s="648" t="s">
        <v>52</v>
      </c>
      <c r="F335" s="648" t="s">
        <v>306</v>
      </c>
      <c r="G335" s="648">
        <v>2</v>
      </c>
      <c r="H335" s="648">
        <v>20</v>
      </c>
      <c r="I335" s="648">
        <v>51000</v>
      </c>
      <c r="J335" s="648" t="s">
        <v>280</v>
      </c>
    </row>
    <row r="336" spans="2:10" collapsed="1" x14ac:dyDescent="0.3">
      <c r="B336" s="648" t="s">
        <v>263</v>
      </c>
      <c r="C336" s="648">
        <v>2015</v>
      </c>
      <c r="D336" s="648" t="s">
        <v>54</v>
      </c>
      <c r="E336" s="648" t="s">
        <v>129</v>
      </c>
      <c r="F336" s="648" t="s">
        <v>307</v>
      </c>
      <c r="G336" s="648">
        <v>2</v>
      </c>
      <c r="H336" s="648">
        <v>14</v>
      </c>
      <c r="I336" s="648">
        <v>44000</v>
      </c>
      <c r="J336" s="648" t="s">
        <v>255</v>
      </c>
    </row>
    <row r="337" spans="2:10" x14ac:dyDescent="0.3">
      <c r="B337" s="648" t="s">
        <v>263</v>
      </c>
      <c r="C337" s="648">
        <v>2015</v>
      </c>
      <c r="D337" s="648" t="s">
        <v>54</v>
      </c>
      <c r="E337" s="648" t="s">
        <v>129</v>
      </c>
      <c r="F337" s="648" t="s">
        <v>307</v>
      </c>
      <c r="G337" s="648">
        <v>2</v>
      </c>
      <c r="H337" s="648">
        <v>15</v>
      </c>
      <c r="I337" s="648">
        <v>44000</v>
      </c>
      <c r="J337" s="648" t="s">
        <v>255</v>
      </c>
    </row>
    <row r="338" spans="2:10" x14ac:dyDescent="0.3">
      <c r="B338" s="648" t="s">
        <v>263</v>
      </c>
      <c r="C338" s="648">
        <v>2015</v>
      </c>
      <c r="D338" s="648" t="s">
        <v>54</v>
      </c>
      <c r="E338" s="648" t="s">
        <v>129</v>
      </c>
      <c r="F338" s="648" t="s">
        <v>307</v>
      </c>
      <c r="G338" s="648">
        <v>2</v>
      </c>
      <c r="H338" s="648">
        <v>16</v>
      </c>
      <c r="I338" s="648">
        <v>44000</v>
      </c>
      <c r="J338" s="648" t="s">
        <v>255</v>
      </c>
    </row>
    <row r="339" spans="2:10" x14ac:dyDescent="0.3">
      <c r="B339" s="648" t="s">
        <v>263</v>
      </c>
      <c r="C339" s="648">
        <v>2015</v>
      </c>
      <c r="D339" s="648" t="s">
        <v>54</v>
      </c>
      <c r="E339" s="648" t="s">
        <v>129</v>
      </c>
      <c r="F339" s="648" t="s">
        <v>307</v>
      </c>
      <c r="G339" s="648">
        <v>2</v>
      </c>
      <c r="H339" s="648">
        <v>17</v>
      </c>
      <c r="I339" s="648">
        <v>47500</v>
      </c>
      <c r="J339" s="648" t="s">
        <v>255</v>
      </c>
    </row>
    <row r="340" spans="2:10" x14ac:dyDescent="0.3">
      <c r="B340" s="648" t="s">
        <v>263</v>
      </c>
      <c r="C340" s="648">
        <v>2015</v>
      </c>
      <c r="D340" s="648" t="s">
        <v>54</v>
      </c>
      <c r="E340" s="648" t="s">
        <v>129</v>
      </c>
      <c r="F340" s="648" t="s">
        <v>307</v>
      </c>
      <c r="G340" s="648">
        <v>2</v>
      </c>
      <c r="H340" s="648">
        <v>18</v>
      </c>
      <c r="I340" s="648">
        <v>47500</v>
      </c>
      <c r="J340" s="648" t="s">
        <v>255</v>
      </c>
    </row>
    <row r="341" spans="2:10" x14ac:dyDescent="0.3">
      <c r="B341" s="648" t="s">
        <v>263</v>
      </c>
      <c r="C341" s="648">
        <v>2015</v>
      </c>
      <c r="D341" s="648" t="s">
        <v>54</v>
      </c>
      <c r="E341" s="648" t="s">
        <v>129</v>
      </c>
      <c r="F341" s="648" t="s">
        <v>307</v>
      </c>
      <c r="G341" s="648">
        <v>2</v>
      </c>
      <c r="H341" s="648">
        <v>19</v>
      </c>
      <c r="I341" s="648">
        <v>47500</v>
      </c>
      <c r="J341" s="648" t="s">
        <v>255</v>
      </c>
    </row>
    <row r="342" spans="2:10" x14ac:dyDescent="0.3">
      <c r="B342" s="648" t="s">
        <v>263</v>
      </c>
      <c r="C342" s="648">
        <v>2015</v>
      </c>
      <c r="D342" s="648" t="s">
        <v>54</v>
      </c>
      <c r="E342" s="648" t="s">
        <v>129</v>
      </c>
      <c r="F342" s="648" t="s">
        <v>307</v>
      </c>
      <c r="G342" s="648">
        <v>2</v>
      </c>
      <c r="H342" s="648">
        <v>20</v>
      </c>
      <c r="I342" s="648">
        <v>47500</v>
      </c>
      <c r="J342" s="648" t="s">
        <v>255</v>
      </c>
    </row>
    <row r="343" spans="2:10" x14ac:dyDescent="0.3">
      <c r="B343" s="648" t="s">
        <v>264</v>
      </c>
      <c r="C343" s="648">
        <v>2014</v>
      </c>
      <c r="D343" s="648" t="s">
        <v>51</v>
      </c>
      <c r="E343" s="648" t="s">
        <v>127</v>
      </c>
      <c r="F343" s="648" t="s">
        <v>307</v>
      </c>
      <c r="G343" s="648">
        <v>1</v>
      </c>
      <c r="H343" s="648">
        <v>13</v>
      </c>
      <c r="I343" s="648">
        <v>46000</v>
      </c>
      <c r="J343" s="648" t="s">
        <v>255</v>
      </c>
    </row>
    <row r="344" spans="2:10" x14ac:dyDescent="0.3">
      <c r="B344" s="648" t="s">
        <v>264</v>
      </c>
      <c r="C344" s="648">
        <v>2014</v>
      </c>
      <c r="D344" s="648" t="s">
        <v>51</v>
      </c>
      <c r="E344" s="648" t="s">
        <v>127</v>
      </c>
      <c r="F344" s="648" t="s">
        <v>307</v>
      </c>
      <c r="G344" s="648">
        <v>1</v>
      </c>
      <c r="H344" s="648">
        <v>14</v>
      </c>
      <c r="I344" s="648">
        <v>46000</v>
      </c>
      <c r="J344" s="648" t="s">
        <v>255</v>
      </c>
    </row>
    <row r="345" spans="2:10" x14ac:dyDescent="0.3">
      <c r="B345" s="648" t="s">
        <v>264</v>
      </c>
      <c r="C345" s="648">
        <v>2014</v>
      </c>
      <c r="D345" s="648" t="s">
        <v>51</v>
      </c>
      <c r="E345" s="648" t="s">
        <v>127</v>
      </c>
      <c r="F345" s="648" t="s">
        <v>307</v>
      </c>
      <c r="G345" s="648">
        <v>1</v>
      </c>
      <c r="H345" s="648">
        <v>15</v>
      </c>
      <c r="I345" s="648">
        <v>48500</v>
      </c>
      <c r="J345" s="648" t="s">
        <v>255</v>
      </c>
    </row>
    <row r="346" spans="2:10" x14ac:dyDescent="0.3">
      <c r="B346" s="648" t="s">
        <v>264</v>
      </c>
      <c r="C346" s="648">
        <v>2014</v>
      </c>
      <c r="D346" s="648" t="s">
        <v>51</v>
      </c>
      <c r="E346" s="648" t="s">
        <v>127</v>
      </c>
      <c r="F346" s="648" t="s">
        <v>307</v>
      </c>
      <c r="G346" s="648">
        <v>1</v>
      </c>
      <c r="H346" s="648">
        <v>16</v>
      </c>
      <c r="I346" s="648">
        <v>48500</v>
      </c>
      <c r="J346" s="648" t="s">
        <v>255</v>
      </c>
    </row>
    <row r="347" spans="2:10" x14ac:dyDescent="0.3">
      <c r="B347" s="648" t="s">
        <v>264</v>
      </c>
      <c r="C347" s="648">
        <v>2014</v>
      </c>
      <c r="D347" s="648" t="s">
        <v>51</v>
      </c>
      <c r="E347" s="648" t="s">
        <v>127</v>
      </c>
      <c r="F347" s="648" t="s">
        <v>307</v>
      </c>
      <c r="G347" s="648">
        <v>1</v>
      </c>
      <c r="H347" s="648">
        <v>17</v>
      </c>
      <c r="I347" s="648">
        <v>48500</v>
      </c>
      <c r="J347" s="648" t="s">
        <v>255</v>
      </c>
    </row>
    <row r="348" spans="2:10" x14ac:dyDescent="0.3">
      <c r="B348" s="648" t="s">
        <v>264</v>
      </c>
      <c r="C348" s="648">
        <v>2014</v>
      </c>
      <c r="D348" s="648" t="s">
        <v>51</v>
      </c>
      <c r="E348" s="648" t="s">
        <v>127</v>
      </c>
      <c r="F348" s="648" t="s">
        <v>307</v>
      </c>
      <c r="G348" s="648">
        <v>1</v>
      </c>
      <c r="H348" s="648">
        <v>18</v>
      </c>
      <c r="I348" s="648">
        <v>51000</v>
      </c>
      <c r="J348" s="648" t="s">
        <v>255</v>
      </c>
    </row>
    <row r="349" spans="2:10" collapsed="1" x14ac:dyDescent="0.3">
      <c r="B349" s="648" t="s">
        <v>264</v>
      </c>
      <c r="C349" s="648">
        <v>2014</v>
      </c>
      <c r="D349" s="648" t="s">
        <v>51</v>
      </c>
      <c r="E349" s="648" t="s">
        <v>127</v>
      </c>
      <c r="F349" s="648" t="s">
        <v>307</v>
      </c>
      <c r="G349" s="648">
        <v>1</v>
      </c>
      <c r="H349" s="648">
        <v>19</v>
      </c>
      <c r="I349" s="648">
        <v>51000</v>
      </c>
      <c r="J349" s="648" t="s">
        <v>255</v>
      </c>
    </row>
    <row r="350" spans="2:10" x14ac:dyDescent="0.3">
      <c r="B350" s="648" t="s">
        <v>264</v>
      </c>
      <c r="C350" s="648">
        <v>2014</v>
      </c>
      <c r="D350" s="648" t="s">
        <v>51</v>
      </c>
      <c r="E350" s="648" t="s">
        <v>127</v>
      </c>
      <c r="F350" s="648" t="s">
        <v>307</v>
      </c>
      <c r="G350" s="648">
        <v>1</v>
      </c>
      <c r="H350" s="648">
        <v>20</v>
      </c>
      <c r="I350" s="648">
        <v>51000</v>
      </c>
      <c r="J350" s="648" t="s">
        <v>255</v>
      </c>
    </row>
    <row r="351" spans="2:10" x14ac:dyDescent="0.3">
      <c r="B351" s="648" t="s">
        <v>324</v>
      </c>
      <c r="C351" s="648">
        <v>2016</v>
      </c>
      <c r="D351" s="648" t="s">
        <v>53</v>
      </c>
      <c r="E351" s="648" t="s">
        <v>325</v>
      </c>
      <c r="F351" s="648" t="s">
        <v>71</v>
      </c>
      <c r="G351" s="648">
        <v>2</v>
      </c>
      <c r="H351" s="648">
        <v>9</v>
      </c>
      <c r="I351" s="648">
        <v>61000</v>
      </c>
      <c r="J351" s="648" t="s">
        <v>255</v>
      </c>
    </row>
    <row r="352" spans="2:10" x14ac:dyDescent="0.3">
      <c r="B352" s="648" t="s">
        <v>324</v>
      </c>
      <c r="C352" s="648">
        <v>2016</v>
      </c>
      <c r="D352" s="648" t="s">
        <v>53</v>
      </c>
      <c r="E352" s="648" t="s">
        <v>325</v>
      </c>
      <c r="F352" s="648" t="s">
        <v>71</v>
      </c>
      <c r="G352" s="648">
        <v>2</v>
      </c>
      <c r="H352" s="648">
        <v>10</v>
      </c>
      <c r="I352" s="648">
        <v>61000</v>
      </c>
      <c r="J352" s="648" t="s">
        <v>255</v>
      </c>
    </row>
    <row r="353" spans="2:10" x14ac:dyDescent="0.3">
      <c r="B353" s="648" t="s">
        <v>324</v>
      </c>
      <c r="C353" s="648">
        <v>2016</v>
      </c>
      <c r="D353" s="648" t="s">
        <v>53</v>
      </c>
      <c r="E353" s="648" t="s">
        <v>325</v>
      </c>
      <c r="F353" s="648" t="s">
        <v>71</v>
      </c>
      <c r="G353" s="648">
        <v>2</v>
      </c>
      <c r="H353" s="648">
        <v>11</v>
      </c>
      <c r="I353" s="648">
        <v>61000</v>
      </c>
      <c r="J353" s="648" t="s">
        <v>255</v>
      </c>
    </row>
    <row r="354" spans="2:10" x14ac:dyDescent="0.3">
      <c r="B354" s="648" t="s">
        <v>324</v>
      </c>
      <c r="C354" s="648">
        <v>2016</v>
      </c>
      <c r="D354" s="648" t="s">
        <v>53</v>
      </c>
      <c r="E354" s="648" t="s">
        <v>325</v>
      </c>
      <c r="F354" s="648" t="s">
        <v>71</v>
      </c>
      <c r="G354" s="648">
        <v>2</v>
      </c>
      <c r="H354" s="648">
        <v>12</v>
      </c>
      <c r="I354" s="648">
        <v>61000</v>
      </c>
      <c r="J354" s="648" t="s">
        <v>255</v>
      </c>
    </row>
    <row r="355" spans="2:10" collapsed="1" x14ac:dyDescent="0.3">
      <c r="B355" s="648" t="s">
        <v>324</v>
      </c>
      <c r="C355" s="648">
        <v>2016</v>
      </c>
      <c r="D355" s="648" t="s">
        <v>53</v>
      </c>
      <c r="E355" s="648" t="s">
        <v>325</v>
      </c>
      <c r="F355" s="648" t="s">
        <v>71</v>
      </c>
      <c r="G355" s="648">
        <v>2</v>
      </c>
      <c r="H355" s="648">
        <v>13</v>
      </c>
      <c r="I355" s="648">
        <v>63000</v>
      </c>
      <c r="J355" s="648" t="s">
        <v>255</v>
      </c>
    </row>
    <row r="356" spans="2:10" x14ac:dyDescent="0.3">
      <c r="B356" s="648" t="s">
        <v>324</v>
      </c>
      <c r="C356" s="648">
        <v>2016</v>
      </c>
      <c r="D356" s="648" t="s">
        <v>53</v>
      </c>
      <c r="E356" s="648" t="s">
        <v>325</v>
      </c>
      <c r="F356" s="648" t="s">
        <v>71</v>
      </c>
      <c r="G356" s="648">
        <v>2</v>
      </c>
      <c r="H356" s="648">
        <v>14</v>
      </c>
      <c r="I356" s="648">
        <v>63000</v>
      </c>
      <c r="J356" s="648" t="s">
        <v>255</v>
      </c>
    </row>
    <row r="357" spans="2:10" x14ac:dyDescent="0.3">
      <c r="B357" s="648" t="s">
        <v>324</v>
      </c>
      <c r="C357" s="648">
        <v>2016</v>
      </c>
      <c r="D357" s="648" t="s">
        <v>53</v>
      </c>
      <c r="E357" s="648" t="s">
        <v>325</v>
      </c>
      <c r="F357" s="648" t="s">
        <v>71</v>
      </c>
      <c r="G357" s="648">
        <v>2</v>
      </c>
      <c r="H357" s="648">
        <v>15</v>
      </c>
      <c r="I357" s="648">
        <v>63000</v>
      </c>
      <c r="J357" s="648" t="s">
        <v>255</v>
      </c>
    </row>
    <row r="358" spans="2:10" x14ac:dyDescent="0.3">
      <c r="B358" s="648" t="s">
        <v>324</v>
      </c>
      <c r="C358" s="648">
        <v>2016</v>
      </c>
      <c r="D358" s="648" t="s">
        <v>53</v>
      </c>
      <c r="E358" s="648" t="s">
        <v>325</v>
      </c>
      <c r="F358" s="648" t="s">
        <v>71</v>
      </c>
      <c r="G358" s="648">
        <v>2</v>
      </c>
      <c r="H358" s="648">
        <v>16</v>
      </c>
      <c r="I358" s="648">
        <v>63000</v>
      </c>
      <c r="J358" s="648" t="s">
        <v>255</v>
      </c>
    </row>
    <row r="359" spans="2:10" x14ac:dyDescent="0.3">
      <c r="B359" s="648" t="s">
        <v>324</v>
      </c>
      <c r="C359" s="648">
        <v>2016</v>
      </c>
      <c r="D359" s="648" t="s">
        <v>53</v>
      </c>
      <c r="E359" s="648" t="s">
        <v>325</v>
      </c>
      <c r="F359" s="648" t="s">
        <v>71</v>
      </c>
      <c r="G359" s="648">
        <v>2</v>
      </c>
      <c r="H359" s="648">
        <v>17</v>
      </c>
      <c r="I359" s="648">
        <v>68000</v>
      </c>
      <c r="J359" s="648" t="s">
        <v>255</v>
      </c>
    </row>
    <row r="360" spans="2:10" x14ac:dyDescent="0.3">
      <c r="B360" s="648" t="s">
        <v>324</v>
      </c>
      <c r="C360" s="648">
        <v>2016</v>
      </c>
      <c r="D360" s="648" t="s">
        <v>53</v>
      </c>
      <c r="E360" s="648" t="s">
        <v>325</v>
      </c>
      <c r="F360" s="648" t="s">
        <v>71</v>
      </c>
      <c r="G360" s="648">
        <v>2</v>
      </c>
      <c r="H360" s="648">
        <v>18</v>
      </c>
      <c r="I360" s="648">
        <v>68000</v>
      </c>
      <c r="J360" s="648" t="s">
        <v>255</v>
      </c>
    </row>
    <row r="361" spans="2:10" collapsed="1" x14ac:dyDescent="0.3">
      <c r="B361" s="648" t="s">
        <v>324</v>
      </c>
      <c r="C361" s="648">
        <v>2016</v>
      </c>
      <c r="D361" s="648" t="s">
        <v>53</v>
      </c>
      <c r="E361" s="648" t="s">
        <v>325</v>
      </c>
      <c r="F361" s="648" t="s">
        <v>71</v>
      </c>
      <c r="G361" s="648">
        <v>2</v>
      </c>
      <c r="H361" s="648">
        <v>19</v>
      </c>
      <c r="I361" s="648">
        <v>68000</v>
      </c>
      <c r="J361" s="648" t="s">
        <v>255</v>
      </c>
    </row>
    <row r="362" spans="2:10" x14ac:dyDescent="0.3">
      <c r="B362" s="648" t="s">
        <v>324</v>
      </c>
      <c r="C362" s="648">
        <v>2016</v>
      </c>
      <c r="D362" s="648" t="s">
        <v>53</v>
      </c>
      <c r="E362" s="648" t="s">
        <v>325</v>
      </c>
      <c r="F362" s="648" t="s">
        <v>71</v>
      </c>
      <c r="G362" s="648">
        <v>2</v>
      </c>
      <c r="H362" s="648">
        <v>20</v>
      </c>
      <c r="I362" s="648">
        <v>68000</v>
      </c>
      <c r="J362" s="648" t="s">
        <v>255</v>
      </c>
    </row>
    <row r="363" spans="2:10" x14ac:dyDescent="0.3">
      <c r="B363" s="648" t="s">
        <v>265</v>
      </c>
      <c r="C363" s="648">
        <v>2016</v>
      </c>
      <c r="D363" s="648" t="s">
        <v>53</v>
      </c>
      <c r="E363" s="648" t="s">
        <v>57</v>
      </c>
      <c r="F363" s="648" t="s">
        <v>57</v>
      </c>
      <c r="G363" s="648">
        <v>2</v>
      </c>
      <c r="H363" s="648">
        <v>17</v>
      </c>
      <c r="I363" s="648">
        <v>40000</v>
      </c>
      <c r="J363" s="648" t="s">
        <v>255</v>
      </c>
    </row>
    <row r="364" spans="2:10" x14ac:dyDescent="0.3">
      <c r="B364" s="648" t="s">
        <v>265</v>
      </c>
      <c r="C364" s="648">
        <v>2016</v>
      </c>
      <c r="D364" s="648" t="s">
        <v>53</v>
      </c>
      <c r="E364" s="648" t="s">
        <v>57</v>
      </c>
      <c r="F364" s="648" t="s">
        <v>57</v>
      </c>
      <c r="G364" s="648">
        <v>2</v>
      </c>
      <c r="H364" s="648">
        <v>18</v>
      </c>
      <c r="I364" s="648">
        <v>40000</v>
      </c>
      <c r="J364" s="648" t="s">
        <v>255</v>
      </c>
    </row>
    <row r="365" spans="2:10" x14ac:dyDescent="0.3">
      <c r="B365" s="648" t="s">
        <v>265</v>
      </c>
      <c r="C365" s="648">
        <v>2016</v>
      </c>
      <c r="D365" s="648" t="s">
        <v>53</v>
      </c>
      <c r="E365" s="648" t="s">
        <v>57</v>
      </c>
      <c r="F365" s="648" t="s">
        <v>57</v>
      </c>
      <c r="G365" s="648">
        <v>2</v>
      </c>
      <c r="H365" s="648">
        <v>19</v>
      </c>
      <c r="I365" s="648">
        <v>40000</v>
      </c>
      <c r="J365" s="648" t="s">
        <v>255</v>
      </c>
    </row>
    <row r="366" spans="2:10" x14ac:dyDescent="0.3">
      <c r="B366" s="648" t="s">
        <v>265</v>
      </c>
      <c r="C366" s="648">
        <v>2016</v>
      </c>
      <c r="D366" s="648" t="s">
        <v>53</v>
      </c>
      <c r="E366" s="648" t="s">
        <v>57</v>
      </c>
      <c r="F366" s="648" t="s">
        <v>57</v>
      </c>
      <c r="G366" s="648">
        <v>2</v>
      </c>
      <c r="H366" s="648">
        <v>20</v>
      </c>
      <c r="I366" s="648">
        <v>40000</v>
      </c>
      <c r="J366" s="648" t="s">
        <v>255</v>
      </c>
    </row>
    <row r="367" spans="2:10" x14ac:dyDescent="0.3">
      <c r="B367" s="648" t="s">
        <v>312</v>
      </c>
      <c r="C367" s="648">
        <v>2015</v>
      </c>
      <c r="D367" s="648" t="s">
        <v>53</v>
      </c>
      <c r="E367" s="648" t="s">
        <v>128</v>
      </c>
      <c r="F367" s="648" t="s">
        <v>307</v>
      </c>
      <c r="G367" s="648">
        <v>1</v>
      </c>
      <c r="H367" s="648">
        <v>8</v>
      </c>
      <c r="I367" s="648">
        <v>54300</v>
      </c>
      <c r="J367" s="648" t="s">
        <v>280</v>
      </c>
    </row>
    <row r="368" spans="2:10" x14ac:dyDescent="0.3">
      <c r="B368" s="648" t="s">
        <v>312</v>
      </c>
      <c r="C368" s="648">
        <v>2015</v>
      </c>
      <c r="D368" s="648" t="s">
        <v>53</v>
      </c>
      <c r="E368" s="648" t="s">
        <v>128</v>
      </c>
      <c r="F368" s="648" t="s">
        <v>307</v>
      </c>
      <c r="G368" s="648">
        <v>1</v>
      </c>
      <c r="H368" s="648">
        <v>9</v>
      </c>
      <c r="I368" s="648">
        <v>54300</v>
      </c>
      <c r="J368" s="648" t="s">
        <v>280</v>
      </c>
    </row>
    <row r="369" spans="2:10" collapsed="1" x14ac:dyDescent="0.3">
      <c r="B369" s="648" t="s">
        <v>312</v>
      </c>
      <c r="C369" s="648">
        <v>2015</v>
      </c>
      <c r="D369" s="648" t="s">
        <v>53</v>
      </c>
      <c r="E369" s="648" t="s">
        <v>128</v>
      </c>
      <c r="F369" s="648" t="s">
        <v>307</v>
      </c>
      <c r="G369" s="648">
        <v>1</v>
      </c>
      <c r="H369" s="648">
        <v>10</v>
      </c>
      <c r="I369" s="648">
        <v>54300</v>
      </c>
      <c r="J369" s="648" t="s">
        <v>280</v>
      </c>
    </row>
    <row r="370" spans="2:10" x14ac:dyDescent="0.3">
      <c r="B370" s="648" t="s">
        <v>312</v>
      </c>
      <c r="C370" s="648">
        <v>2015</v>
      </c>
      <c r="D370" s="648" t="s">
        <v>53</v>
      </c>
      <c r="E370" s="648" t="s">
        <v>128</v>
      </c>
      <c r="F370" s="648" t="s">
        <v>307</v>
      </c>
      <c r="G370" s="648">
        <v>1</v>
      </c>
      <c r="H370" s="648">
        <v>11</v>
      </c>
      <c r="I370" s="648">
        <v>57300</v>
      </c>
      <c r="J370" s="648" t="s">
        <v>280</v>
      </c>
    </row>
    <row r="371" spans="2:10" x14ac:dyDescent="0.3">
      <c r="B371" s="648" t="s">
        <v>312</v>
      </c>
      <c r="C371" s="648">
        <v>2015</v>
      </c>
      <c r="D371" s="648" t="s">
        <v>53</v>
      </c>
      <c r="E371" s="648" t="s">
        <v>128</v>
      </c>
      <c r="F371" s="648" t="s">
        <v>307</v>
      </c>
      <c r="G371" s="648">
        <v>1</v>
      </c>
      <c r="H371" s="648">
        <v>12</v>
      </c>
      <c r="I371" s="648">
        <v>57300</v>
      </c>
      <c r="J371" s="648" t="s">
        <v>280</v>
      </c>
    </row>
    <row r="372" spans="2:10" x14ac:dyDescent="0.3">
      <c r="B372" s="648" t="s">
        <v>312</v>
      </c>
      <c r="C372" s="648">
        <v>2015</v>
      </c>
      <c r="D372" s="648" t="s">
        <v>53</v>
      </c>
      <c r="E372" s="648" t="s">
        <v>128</v>
      </c>
      <c r="F372" s="648" t="s">
        <v>307</v>
      </c>
      <c r="G372" s="648">
        <v>1</v>
      </c>
      <c r="H372" s="648">
        <v>13</v>
      </c>
      <c r="I372" s="648">
        <v>57300</v>
      </c>
      <c r="J372" s="648" t="s">
        <v>280</v>
      </c>
    </row>
    <row r="373" spans="2:10" x14ac:dyDescent="0.3">
      <c r="B373" s="648" t="s">
        <v>312</v>
      </c>
      <c r="C373" s="648">
        <v>2015</v>
      </c>
      <c r="D373" s="648" t="s">
        <v>53</v>
      </c>
      <c r="E373" s="648" t="s">
        <v>128</v>
      </c>
      <c r="F373" s="648" t="s">
        <v>307</v>
      </c>
      <c r="G373" s="648">
        <v>1</v>
      </c>
      <c r="H373" s="648">
        <v>14</v>
      </c>
      <c r="I373" s="648">
        <v>59300</v>
      </c>
      <c r="J373" s="648" t="s">
        <v>280</v>
      </c>
    </row>
    <row r="374" spans="2:10" x14ac:dyDescent="0.3">
      <c r="B374" s="648" t="s">
        <v>312</v>
      </c>
      <c r="C374" s="648">
        <v>2015</v>
      </c>
      <c r="D374" s="648" t="s">
        <v>53</v>
      </c>
      <c r="E374" s="648" t="s">
        <v>128</v>
      </c>
      <c r="F374" s="648" t="s">
        <v>307</v>
      </c>
      <c r="G374" s="648">
        <v>1</v>
      </c>
      <c r="H374" s="648">
        <v>15</v>
      </c>
      <c r="I374" s="648">
        <v>59300</v>
      </c>
      <c r="J374" s="648" t="s">
        <v>280</v>
      </c>
    </row>
    <row r="375" spans="2:10" x14ac:dyDescent="0.3">
      <c r="B375" s="648" t="s">
        <v>312</v>
      </c>
      <c r="C375" s="648">
        <v>2015</v>
      </c>
      <c r="D375" s="648" t="s">
        <v>53</v>
      </c>
      <c r="E375" s="648" t="s">
        <v>128</v>
      </c>
      <c r="F375" s="648" t="s">
        <v>307</v>
      </c>
      <c r="G375" s="648">
        <v>1</v>
      </c>
      <c r="H375" s="648">
        <v>16</v>
      </c>
      <c r="I375" s="648">
        <v>59300</v>
      </c>
      <c r="J375" s="648" t="s">
        <v>280</v>
      </c>
    </row>
    <row r="376" spans="2:10" x14ac:dyDescent="0.3">
      <c r="B376" s="648" t="s">
        <v>312</v>
      </c>
      <c r="C376" s="648">
        <v>2015</v>
      </c>
      <c r="D376" s="648" t="s">
        <v>53</v>
      </c>
      <c r="E376" s="648" t="s">
        <v>128</v>
      </c>
      <c r="F376" s="648" t="s">
        <v>307</v>
      </c>
      <c r="G376" s="648">
        <v>1</v>
      </c>
      <c r="H376" s="648">
        <v>17</v>
      </c>
      <c r="I376" s="648">
        <v>59300</v>
      </c>
      <c r="J376" s="648" t="s">
        <v>280</v>
      </c>
    </row>
    <row r="377" spans="2:10" x14ac:dyDescent="0.3">
      <c r="B377" s="648" t="s">
        <v>326</v>
      </c>
      <c r="C377" s="648">
        <v>2014</v>
      </c>
      <c r="D377" s="648" t="s">
        <v>53</v>
      </c>
      <c r="E377" s="648" t="s">
        <v>128</v>
      </c>
      <c r="F377" s="648" t="s">
        <v>307</v>
      </c>
      <c r="G377" s="648">
        <v>10</v>
      </c>
      <c r="H377" s="648">
        <v>9</v>
      </c>
      <c r="I377" s="648">
        <v>39500</v>
      </c>
      <c r="J377" s="648" t="s">
        <v>255</v>
      </c>
    </row>
    <row r="378" spans="2:10" x14ac:dyDescent="0.3">
      <c r="B378" s="648" t="s">
        <v>326</v>
      </c>
      <c r="C378" s="648">
        <v>2014</v>
      </c>
      <c r="D378" s="648" t="s">
        <v>53</v>
      </c>
      <c r="E378" s="648" t="s">
        <v>128</v>
      </c>
      <c r="F378" s="648" t="s">
        <v>307</v>
      </c>
      <c r="G378" s="648">
        <v>10</v>
      </c>
      <c r="H378" s="648">
        <v>10</v>
      </c>
      <c r="I378" s="648">
        <v>39500</v>
      </c>
      <c r="J378" s="648" t="s">
        <v>255</v>
      </c>
    </row>
    <row r="379" spans="2:10" collapsed="1" x14ac:dyDescent="0.3">
      <c r="B379" s="648" t="s">
        <v>326</v>
      </c>
      <c r="C379" s="648">
        <v>2014</v>
      </c>
      <c r="D379" s="648" t="s">
        <v>53</v>
      </c>
      <c r="E379" s="648" t="s">
        <v>128</v>
      </c>
      <c r="F379" s="648" t="s">
        <v>307</v>
      </c>
      <c r="G379" s="648">
        <v>10</v>
      </c>
      <c r="H379" s="648">
        <v>11</v>
      </c>
      <c r="I379" s="648">
        <v>39500</v>
      </c>
      <c r="J379" s="648" t="s">
        <v>255</v>
      </c>
    </row>
    <row r="380" spans="2:10" x14ac:dyDescent="0.3">
      <c r="B380" s="648" t="s">
        <v>326</v>
      </c>
      <c r="C380" s="648">
        <v>2014</v>
      </c>
      <c r="D380" s="648" t="s">
        <v>53</v>
      </c>
      <c r="E380" s="648" t="s">
        <v>128</v>
      </c>
      <c r="F380" s="648" t="s">
        <v>307</v>
      </c>
      <c r="G380" s="648">
        <v>10</v>
      </c>
      <c r="H380" s="648">
        <v>12</v>
      </c>
      <c r="I380" s="648">
        <v>42500</v>
      </c>
      <c r="J380" s="648" t="s">
        <v>255</v>
      </c>
    </row>
    <row r="381" spans="2:10" x14ac:dyDescent="0.3">
      <c r="B381" s="648" t="s">
        <v>326</v>
      </c>
      <c r="C381" s="648">
        <v>2014</v>
      </c>
      <c r="D381" s="648" t="s">
        <v>53</v>
      </c>
      <c r="E381" s="648" t="s">
        <v>128</v>
      </c>
      <c r="F381" s="648" t="s">
        <v>307</v>
      </c>
      <c r="G381" s="648">
        <v>10</v>
      </c>
      <c r="H381" s="648">
        <v>13</v>
      </c>
      <c r="I381" s="648">
        <v>42500</v>
      </c>
      <c r="J381" s="648" t="s">
        <v>255</v>
      </c>
    </row>
    <row r="382" spans="2:10" x14ac:dyDescent="0.3">
      <c r="B382" s="648" t="s">
        <v>326</v>
      </c>
      <c r="C382" s="648">
        <v>2014</v>
      </c>
      <c r="D382" s="648" t="s">
        <v>53</v>
      </c>
      <c r="E382" s="648" t="s">
        <v>128</v>
      </c>
      <c r="F382" s="648" t="s">
        <v>307</v>
      </c>
      <c r="G382" s="648">
        <v>10</v>
      </c>
      <c r="H382" s="648">
        <v>14</v>
      </c>
      <c r="I382" s="648">
        <v>42500</v>
      </c>
      <c r="J382" s="648" t="s">
        <v>255</v>
      </c>
    </row>
    <row r="383" spans="2:10" x14ac:dyDescent="0.3">
      <c r="B383" s="648" t="s">
        <v>326</v>
      </c>
      <c r="C383" s="648">
        <v>2014</v>
      </c>
      <c r="D383" s="648" t="s">
        <v>53</v>
      </c>
      <c r="E383" s="648" t="s">
        <v>128</v>
      </c>
      <c r="F383" s="648" t="s">
        <v>307</v>
      </c>
      <c r="G383" s="648">
        <v>10</v>
      </c>
      <c r="H383" s="648">
        <v>15</v>
      </c>
      <c r="I383" s="648">
        <v>42500</v>
      </c>
      <c r="J383" s="648" t="s">
        <v>255</v>
      </c>
    </row>
    <row r="384" spans="2:10" x14ac:dyDescent="0.3">
      <c r="B384" s="648" t="s">
        <v>326</v>
      </c>
      <c r="C384" s="648">
        <v>2014</v>
      </c>
      <c r="D384" s="648" t="s">
        <v>53</v>
      </c>
      <c r="E384" s="648" t="s">
        <v>128</v>
      </c>
      <c r="F384" s="648" t="s">
        <v>307</v>
      </c>
      <c r="G384" s="648">
        <v>10</v>
      </c>
      <c r="H384" s="648">
        <v>16</v>
      </c>
      <c r="I384" s="648">
        <v>46000</v>
      </c>
      <c r="J384" s="648" t="s">
        <v>255</v>
      </c>
    </row>
    <row r="385" spans="2:10" x14ac:dyDescent="0.3">
      <c r="B385" s="648" t="s">
        <v>326</v>
      </c>
      <c r="C385" s="648">
        <v>2014</v>
      </c>
      <c r="D385" s="648" t="s">
        <v>53</v>
      </c>
      <c r="E385" s="648" t="s">
        <v>128</v>
      </c>
      <c r="F385" s="648" t="s">
        <v>307</v>
      </c>
      <c r="G385" s="648">
        <v>10</v>
      </c>
      <c r="H385" s="648">
        <v>17</v>
      </c>
      <c r="I385" s="648">
        <v>46000</v>
      </c>
      <c r="J385" s="648" t="s">
        <v>255</v>
      </c>
    </row>
    <row r="386" spans="2:10" x14ac:dyDescent="0.3">
      <c r="B386" s="648" t="s">
        <v>326</v>
      </c>
      <c r="C386" s="648">
        <v>2014</v>
      </c>
      <c r="D386" s="648" t="s">
        <v>53</v>
      </c>
      <c r="E386" s="648" t="s">
        <v>128</v>
      </c>
      <c r="F386" s="648" t="s">
        <v>307</v>
      </c>
      <c r="G386" s="648">
        <v>10</v>
      </c>
      <c r="H386" s="648">
        <v>18</v>
      </c>
      <c r="I386" s="648">
        <v>46000</v>
      </c>
      <c r="J386" s="648" t="s">
        <v>255</v>
      </c>
    </row>
    <row r="387" spans="2:10" collapsed="1" x14ac:dyDescent="0.3">
      <c r="B387" s="648" t="s">
        <v>326</v>
      </c>
      <c r="C387" s="648">
        <v>2014</v>
      </c>
      <c r="D387" s="648" t="s">
        <v>53</v>
      </c>
      <c r="E387" s="648" t="s">
        <v>128</v>
      </c>
      <c r="F387" s="648" t="s">
        <v>307</v>
      </c>
      <c r="G387" s="648">
        <v>10</v>
      </c>
      <c r="H387" s="648">
        <v>19</v>
      </c>
      <c r="I387" s="648">
        <v>46000</v>
      </c>
      <c r="J387" s="648" t="s">
        <v>255</v>
      </c>
    </row>
    <row r="388" spans="2:10" collapsed="1" x14ac:dyDescent="0.3">
      <c r="B388" s="648" t="s">
        <v>326</v>
      </c>
      <c r="C388" s="648">
        <v>2014</v>
      </c>
      <c r="D388" s="648" t="s">
        <v>53</v>
      </c>
      <c r="E388" s="648" t="s">
        <v>128</v>
      </c>
      <c r="F388" s="648" t="s">
        <v>307</v>
      </c>
      <c r="G388" s="648">
        <v>10</v>
      </c>
      <c r="H388" s="648">
        <v>20</v>
      </c>
      <c r="I388" s="648">
        <v>46000</v>
      </c>
      <c r="J388" s="648" t="s">
        <v>255</v>
      </c>
    </row>
    <row r="389" spans="2:10" x14ac:dyDescent="0.3">
      <c r="B389" s="648" t="s">
        <v>267</v>
      </c>
      <c r="C389" s="648">
        <v>2016</v>
      </c>
      <c r="D389" s="648" t="s">
        <v>53</v>
      </c>
      <c r="E389" s="648" t="s">
        <v>57</v>
      </c>
      <c r="F389" s="648" t="s">
        <v>57</v>
      </c>
      <c r="G389" s="648">
        <v>1</v>
      </c>
      <c r="H389" s="648">
        <v>17</v>
      </c>
      <c r="I389" s="648">
        <v>40000</v>
      </c>
      <c r="J389" s="648" t="s">
        <v>255</v>
      </c>
    </row>
    <row r="390" spans="2:10" x14ac:dyDescent="0.3">
      <c r="B390" s="648" t="s">
        <v>267</v>
      </c>
      <c r="C390" s="648">
        <v>2016</v>
      </c>
      <c r="D390" s="648" t="s">
        <v>53</v>
      </c>
      <c r="E390" s="648" t="s">
        <v>57</v>
      </c>
      <c r="F390" s="648" t="s">
        <v>57</v>
      </c>
      <c r="G390" s="648">
        <v>1</v>
      </c>
      <c r="H390" s="648">
        <v>18</v>
      </c>
      <c r="I390" s="648">
        <v>40000</v>
      </c>
      <c r="J390" s="648" t="s">
        <v>255</v>
      </c>
    </row>
    <row r="391" spans="2:10" x14ac:dyDescent="0.3">
      <c r="B391" s="648" t="s">
        <v>267</v>
      </c>
      <c r="C391" s="648">
        <v>2016</v>
      </c>
      <c r="D391" s="648" t="s">
        <v>53</v>
      </c>
      <c r="E391" s="648" t="s">
        <v>57</v>
      </c>
      <c r="F391" s="648" t="s">
        <v>57</v>
      </c>
      <c r="G391" s="648">
        <v>1</v>
      </c>
      <c r="H391" s="648">
        <v>19</v>
      </c>
      <c r="I391" s="648">
        <v>40000</v>
      </c>
      <c r="J391" s="648" t="s">
        <v>255</v>
      </c>
    </row>
    <row r="392" spans="2:10" x14ac:dyDescent="0.3">
      <c r="B392" s="648" t="s">
        <v>267</v>
      </c>
      <c r="C392" s="648">
        <v>2016</v>
      </c>
      <c r="D392" s="648" t="s">
        <v>53</v>
      </c>
      <c r="E392" s="648" t="s">
        <v>57</v>
      </c>
      <c r="F392" s="648" t="s">
        <v>57</v>
      </c>
      <c r="G392" s="648">
        <v>1</v>
      </c>
      <c r="H392" s="648">
        <v>20</v>
      </c>
      <c r="I392" s="648">
        <v>40000</v>
      </c>
      <c r="J392" s="648" t="s">
        <v>255</v>
      </c>
    </row>
    <row r="393" spans="2:10" x14ac:dyDescent="0.3">
      <c r="B393" s="648" t="s">
        <v>327</v>
      </c>
      <c r="C393" s="648">
        <v>2016</v>
      </c>
      <c r="D393" s="648" t="s">
        <v>51</v>
      </c>
      <c r="E393" s="648" t="s">
        <v>58</v>
      </c>
      <c r="F393" s="648" t="s">
        <v>306</v>
      </c>
      <c r="G393" s="648">
        <v>2</v>
      </c>
      <c r="H393" s="648">
        <v>3</v>
      </c>
      <c r="I393" s="648">
        <v>36500</v>
      </c>
      <c r="J393" s="648" t="s">
        <v>255</v>
      </c>
    </row>
    <row r="394" spans="2:10" x14ac:dyDescent="0.3">
      <c r="B394" s="648" t="s">
        <v>327</v>
      </c>
      <c r="C394" s="648">
        <v>2016</v>
      </c>
      <c r="D394" s="648" t="s">
        <v>51</v>
      </c>
      <c r="E394" s="648" t="s">
        <v>58</v>
      </c>
      <c r="F394" s="648" t="s">
        <v>306</v>
      </c>
      <c r="G394" s="648">
        <v>2</v>
      </c>
      <c r="H394" s="648">
        <v>4</v>
      </c>
      <c r="I394" s="648">
        <v>36500</v>
      </c>
      <c r="J394" s="648" t="s">
        <v>255</v>
      </c>
    </row>
    <row r="395" spans="2:10" x14ac:dyDescent="0.3">
      <c r="B395" s="648" t="s">
        <v>327</v>
      </c>
      <c r="C395" s="648">
        <v>2016</v>
      </c>
      <c r="D395" s="648" t="s">
        <v>51</v>
      </c>
      <c r="E395" s="648" t="s">
        <v>58</v>
      </c>
      <c r="F395" s="648" t="s">
        <v>306</v>
      </c>
      <c r="G395" s="648">
        <v>2</v>
      </c>
      <c r="H395" s="648">
        <v>5</v>
      </c>
      <c r="I395" s="648">
        <v>36500</v>
      </c>
      <c r="J395" s="648" t="s">
        <v>255</v>
      </c>
    </row>
    <row r="396" spans="2:10" x14ac:dyDescent="0.3">
      <c r="B396" s="648" t="s">
        <v>327</v>
      </c>
      <c r="C396" s="648">
        <v>2016</v>
      </c>
      <c r="D396" s="648" t="s">
        <v>51</v>
      </c>
      <c r="E396" s="648" t="s">
        <v>58</v>
      </c>
      <c r="F396" s="648" t="s">
        <v>306</v>
      </c>
      <c r="G396" s="648">
        <v>2</v>
      </c>
      <c r="H396" s="648">
        <v>6</v>
      </c>
      <c r="I396" s="648">
        <v>39500</v>
      </c>
      <c r="J396" s="648" t="s">
        <v>255</v>
      </c>
    </row>
    <row r="397" spans="2:10" x14ac:dyDescent="0.3">
      <c r="B397" s="648" t="s">
        <v>327</v>
      </c>
      <c r="C397" s="648">
        <v>2016</v>
      </c>
      <c r="D397" s="648" t="s">
        <v>51</v>
      </c>
      <c r="E397" s="648" t="s">
        <v>58</v>
      </c>
      <c r="F397" s="648" t="s">
        <v>306</v>
      </c>
      <c r="G397" s="648">
        <v>2</v>
      </c>
      <c r="H397" s="648">
        <v>7</v>
      </c>
      <c r="I397" s="648">
        <v>39500</v>
      </c>
      <c r="J397" s="648" t="s">
        <v>255</v>
      </c>
    </row>
    <row r="398" spans="2:10" x14ac:dyDescent="0.3">
      <c r="B398" s="648" t="s">
        <v>327</v>
      </c>
      <c r="C398" s="648">
        <v>2016</v>
      </c>
      <c r="D398" s="648" t="s">
        <v>51</v>
      </c>
      <c r="E398" s="648" t="s">
        <v>58</v>
      </c>
      <c r="F398" s="648" t="s">
        <v>306</v>
      </c>
      <c r="G398" s="648">
        <v>2</v>
      </c>
      <c r="H398" s="648">
        <v>8</v>
      </c>
      <c r="I398" s="648">
        <v>39500</v>
      </c>
      <c r="J398" s="648" t="s">
        <v>255</v>
      </c>
    </row>
    <row r="399" spans="2:10" x14ac:dyDescent="0.3">
      <c r="B399" s="648" t="s">
        <v>327</v>
      </c>
      <c r="C399" s="648">
        <v>2016</v>
      </c>
      <c r="D399" s="648" t="s">
        <v>51</v>
      </c>
      <c r="E399" s="648" t="s">
        <v>58</v>
      </c>
      <c r="F399" s="648" t="s">
        <v>306</v>
      </c>
      <c r="G399" s="648">
        <v>2</v>
      </c>
      <c r="H399" s="648">
        <v>9</v>
      </c>
      <c r="I399" s="648">
        <v>42500</v>
      </c>
      <c r="J399" s="648" t="s">
        <v>255</v>
      </c>
    </row>
    <row r="400" spans="2:10" x14ac:dyDescent="0.3">
      <c r="B400" s="648" t="s">
        <v>327</v>
      </c>
      <c r="C400" s="648">
        <v>2016</v>
      </c>
      <c r="D400" s="648" t="s">
        <v>51</v>
      </c>
      <c r="E400" s="648" t="s">
        <v>58</v>
      </c>
      <c r="F400" s="648" t="s">
        <v>306</v>
      </c>
      <c r="G400" s="648">
        <v>2</v>
      </c>
      <c r="H400" s="648">
        <v>10</v>
      </c>
      <c r="I400" s="648">
        <v>42500</v>
      </c>
      <c r="J400" s="648" t="s">
        <v>255</v>
      </c>
    </row>
    <row r="401" spans="2:10" x14ac:dyDescent="0.3">
      <c r="B401" s="648" t="s">
        <v>327</v>
      </c>
      <c r="C401" s="648">
        <v>2016</v>
      </c>
      <c r="D401" s="648" t="s">
        <v>51</v>
      </c>
      <c r="E401" s="648" t="s">
        <v>58</v>
      </c>
      <c r="F401" s="648" t="s">
        <v>306</v>
      </c>
      <c r="G401" s="648">
        <v>2</v>
      </c>
      <c r="H401" s="648">
        <v>11</v>
      </c>
      <c r="I401" s="648">
        <v>42500</v>
      </c>
      <c r="J401" s="648" t="s">
        <v>255</v>
      </c>
    </row>
    <row r="402" spans="2:10" x14ac:dyDescent="0.3">
      <c r="B402" s="648" t="s">
        <v>327</v>
      </c>
      <c r="C402" s="648">
        <v>2016</v>
      </c>
      <c r="D402" s="648" t="s">
        <v>51</v>
      </c>
      <c r="E402" s="648" t="s">
        <v>58</v>
      </c>
      <c r="F402" s="648" t="s">
        <v>306</v>
      </c>
      <c r="G402" s="648">
        <v>2</v>
      </c>
      <c r="H402" s="648">
        <v>12</v>
      </c>
      <c r="I402" s="648">
        <v>46000</v>
      </c>
      <c r="J402" s="648" t="s">
        <v>255</v>
      </c>
    </row>
    <row r="403" spans="2:10" x14ac:dyDescent="0.3">
      <c r="B403" s="648" t="s">
        <v>327</v>
      </c>
      <c r="C403" s="648">
        <v>2016</v>
      </c>
      <c r="D403" s="648" t="s">
        <v>51</v>
      </c>
      <c r="E403" s="648" t="s">
        <v>58</v>
      </c>
      <c r="F403" s="648" t="s">
        <v>306</v>
      </c>
      <c r="G403" s="648">
        <v>2</v>
      </c>
      <c r="H403" s="648">
        <v>13</v>
      </c>
      <c r="I403" s="648">
        <v>46000</v>
      </c>
      <c r="J403" s="648" t="s">
        <v>255</v>
      </c>
    </row>
    <row r="404" spans="2:10" x14ac:dyDescent="0.3">
      <c r="B404" s="648" t="s">
        <v>327</v>
      </c>
      <c r="C404" s="648">
        <v>2016</v>
      </c>
      <c r="D404" s="648" t="s">
        <v>51</v>
      </c>
      <c r="E404" s="648" t="s">
        <v>58</v>
      </c>
      <c r="F404" s="648" t="s">
        <v>306</v>
      </c>
      <c r="G404" s="648">
        <v>2</v>
      </c>
      <c r="H404" s="648">
        <v>14</v>
      </c>
      <c r="I404" s="648">
        <v>46000</v>
      </c>
      <c r="J404" s="648" t="s">
        <v>255</v>
      </c>
    </row>
    <row r="405" spans="2:10" x14ac:dyDescent="0.3">
      <c r="B405" s="648" t="s">
        <v>327</v>
      </c>
      <c r="C405" s="648">
        <v>2016</v>
      </c>
      <c r="D405" s="648" t="s">
        <v>51</v>
      </c>
      <c r="E405" s="648" t="s">
        <v>58</v>
      </c>
      <c r="F405" s="648" t="s">
        <v>306</v>
      </c>
      <c r="G405" s="648">
        <v>2</v>
      </c>
      <c r="H405" s="648">
        <v>15</v>
      </c>
      <c r="I405" s="648">
        <v>46000</v>
      </c>
      <c r="J405" s="648" t="s">
        <v>255</v>
      </c>
    </row>
    <row r="406" spans="2:10" x14ac:dyDescent="0.3">
      <c r="B406" s="648" t="s">
        <v>327</v>
      </c>
      <c r="C406" s="648">
        <v>2016</v>
      </c>
      <c r="D406" s="648" t="s">
        <v>51</v>
      </c>
      <c r="E406" s="648" t="s">
        <v>58</v>
      </c>
      <c r="F406" s="648" t="s">
        <v>306</v>
      </c>
      <c r="G406" s="648">
        <v>2</v>
      </c>
      <c r="H406" s="648">
        <v>16</v>
      </c>
      <c r="I406" s="648">
        <v>50500</v>
      </c>
      <c r="J406" s="648" t="s">
        <v>255</v>
      </c>
    </row>
    <row r="407" spans="2:10" collapsed="1" x14ac:dyDescent="0.3">
      <c r="B407" s="648" t="s">
        <v>327</v>
      </c>
      <c r="C407" s="648">
        <v>2016</v>
      </c>
      <c r="D407" s="648" t="s">
        <v>51</v>
      </c>
      <c r="E407" s="648" t="s">
        <v>58</v>
      </c>
      <c r="F407" s="648" t="s">
        <v>306</v>
      </c>
      <c r="G407" s="648">
        <v>2</v>
      </c>
      <c r="H407" s="648">
        <v>17</v>
      </c>
      <c r="I407" s="648">
        <v>50500</v>
      </c>
      <c r="J407" s="648" t="s">
        <v>255</v>
      </c>
    </row>
    <row r="408" spans="2:10" x14ac:dyDescent="0.3">
      <c r="B408" s="648" t="s">
        <v>327</v>
      </c>
      <c r="C408" s="648">
        <v>2016</v>
      </c>
      <c r="D408" s="648" t="s">
        <v>51</v>
      </c>
      <c r="E408" s="648" t="s">
        <v>58</v>
      </c>
      <c r="F408" s="648" t="s">
        <v>306</v>
      </c>
      <c r="G408" s="648">
        <v>2</v>
      </c>
      <c r="H408" s="648">
        <v>18</v>
      </c>
      <c r="I408" s="648">
        <v>50500</v>
      </c>
      <c r="J408" s="648" t="s">
        <v>255</v>
      </c>
    </row>
    <row r="409" spans="2:10" x14ac:dyDescent="0.3">
      <c r="B409" s="648" t="s">
        <v>327</v>
      </c>
      <c r="C409" s="648">
        <v>2016</v>
      </c>
      <c r="D409" s="648" t="s">
        <v>51</v>
      </c>
      <c r="E409" s="648" t="s">
        <v>58</v>
      </c>
      <c r="F409" s="648" t="s">
        <v>306</v>
      </c>
      <c r="G409" s="648">
        <v>2</v>
      </c>
      <c r="H409" s="648">
        <v>19</v>
      </c>
      <c r="I409" s="648">
        <v>50500</v>
      </c>
      <c r="J409" s="648" t="s">
        <v>255</v>
      </c>
    </row>
    <row r="410" spans="2:10" x14ac:dyDescent="0.3">
      <c r="B410" s="648" t="s">
        <v>327</v>
      </c>
      <c r="C410" s="648">
        <v>2016</v>
      </c>
      <c r="D410" s="648" t="s">
        <v>51</v>
      </c>
      <c r="E410" s="648" t="s">
        <v>58</v>
      </c>
      <c r="F410" s="648" t="s">
        <v>306</v>
      </c>
      <c r="G410" s="648">
        <v>2</v>
      </c>
      <c r="H410" s="648">
        <v>20</v>
      </c>
      <c r="I410" s="648">
        <v>50500</v>
      </c>
      <c r="J410" s="648" t="s">
        <v>255</v>
      </c>
    </row>
    <row r="411" spans="2:10" x14ac:dyDescent="0.3">
      <c r="B411" s="648" t="s">
        <v>340</v>
      </c>
      <c r="C411" s="648">
        <v>2017</v>
      </c>
      <c r="D411" s="648" t="s">
        <v>51</v>
      </c>
      <c r="E411" s="648" t="s">
        <v>127</v>
      </c>
      <c r="F411" s="648" t="s">
        <v>307</v>
      </c>
      <c r="G411" s="648">
        <v>3</v>
      </c>
      <c r="H411" s="648">
        <v>13</v>
      </c>
      <c r="I411" s="648">
        <v>40200</v>
      </c>
      <c r="J411" s="648" t="s">
        <v>280</v>
      </c>
    </row>
    <row r="412" spans="2:10" x14ac:dyDescent="0.3">
      <c r="B412" s="648" t="s">
        <v>340</v>
      </c>
      <c r="C412" s="648">
        <v>2017</v>
      </c>
      <c r="D412" s="648" t="s">
        <v>51</v>
      </c>
      <c r="E412" s="648" t="s">
        <v>127</v>
      </c>
      <c r="F412" s="648" t="s">
        <v>307</v>
      </c>
      <c r="G412" s="648">
        <v>3</v>
      </c>
      <c r="H412" s="648">
        <v>14</v>
      </c>
      <c r="I412" s="648">
        <v>40200</v>
      </c>
      <c r="J412" s="648" t="s">
        <v>280</v>
      </c>
    </row>
    <row r="413" spans="2:10" x14ac:dyDescent="0.3">
      <c r="B413" s="648" t="s">
        <v>340</v>
      </c>
      <c r="C413" s="648">
        <v>2017</v>
      </c>
      <c r="D413" s="648" t="s">
        <v>51</v>
      </c>
      <c r="E413" s="648" t="s">
        <v>127</v>
      </c>
      <c r="F413" s="648" t="s">
        <v>307</v>
      </c>
      <c r="G413" s="648">
        <v>3</v>
      </c>
      <c r="H413" s="648">
        <v>15</v>
      </c>
      <c r="I413" s="648">
        <v>43700</v>
      </c>
      <c r="J413" s="648" t="s">
        <v>280</v>
      </c>
    </row>
    <row r="414" spans="2:10" x14ac:dyDescent="0.3">
      <c r="B414" s="648" t="s">
        <v>340</v>
      </c>
      <c r="C414" s="648">
        <v>2017</v>
      </c>
      <c r="D414" s="648" t="s">
        <v>51</v>
      </c>
      <c r="E414" s="648" t="s">
        <v>127</v>
      </c>
      <c r="F414" s="648" t="s">
        <v>307</v>
      </c>
      <c r="G414" s="648">
        <v>3</v>
      </c>
      <c r="H414" s="648">
        <v>16</v>
      </c>
      <c r="I414" s="648">
        <v>43700</v>
      </c>
      <c r="J414" s="648" t="s">
        <v>280</v>
      </c>
    </row>
    <row r="415" spans="2:10" collapsed="1" x14ac:dyDescent="0.3">
      <c r="B415" s="648" t="s">
        <v>340</v>
      </c>
      <c r="C415" s="648">
        <v>2017</v>
      </c>
      <c r="D415" s="648" t="s">
        <v>51</v>
      </c>
      <c r="E415" s="648" t="s">
        <v>127</v>
      </c>
      <c r="F415" s="648" t="s">
        <v>307</v>
      </c>
      <c r="G415" s="648">
        <v>3</v>
      </c>
      <c r="H415" s="648">
        <v>17</v>
      </c>
      <c r="I415" s="648">
        <v>47000</v>
      </c>
      <c r="J415" s="648" t="s">
        <v>280</v>
      </c>
    </row>
    <row r="416" spans="2:10" x14ac:dyDescent="0.3">
      <c r="B416" s="648" t="s">
        <v>340</v>
      </c>
      <c r="C416" s="648">
        <v>2017</v>
      </c>
      <c r="D416" s="648" t="s">
        <v>51</v>
      </c>
      <c r="E416" s="648" t="s">
        <v>127</v>
      </c>
      <c r="F416" s="648" t="s">
        <v>307</v>
      </c>
      <c r="G416" s="648">
        <v>3</v>
      </c>
      <c r="H416" s="648">
        <v>18</v>
      </c>
      <c r="I416" s="648">
        <v>47000</v>
      </c>
      <c r="J416" s="648" t="s">
        <v>280</v>
      </c>
    </row>
    <row r="417" spans="2:10" x14ac:dyDescent="0.3">
      <c r="B417" s="648" t="s">
        <v>340</v>
      </c>
      <c r="C417" s="648">
        <v>2017</v>
      </c>
      <c r="D417" s="648" t="s">
        <v>51</v>
      </c>
      <c r="E417" s="648" t="s">
        <v>127</v>
      </c>
      <c r="F417" s="648" t="s">
        <v>307</v>
      </c>
      <c r="G417" s="648">
        <v>3</v>
      </c>
      <c r="H417" s="648">
        <v>19</v>
      </c>
      <c r="I417" s="648">
        <v>47000</v>
      </c>
      <c r="J417" s="648" t="s">
        <v>280</v>
      </c>
    </row>
    <row r="418" spans="2:10" x14ac:dyDescent="0.3">
      <c r="B418" s="648" t="s">
        <v>340</v>
      </c>
      <c r="C418" s="648">
        <v>2017</v>
      </c>
      <c r="D418" s="648" t="s">
        <v>51</v>
      </c>
      <c r="E418" s="648" t="s">
        <v>127</v>
      </c>
      <c r="F418" s="648" t="s">
        <v>307</v>
      </c>
      <c r="G418" s="648">
        <v>3</v>
      </c>
      <c r="H418" s="648">
        <v>20</v>
      </c>
      <c r="I418" s="648">
        <v>47000</v>
      </c>
      <c r="J418" s="648" t="s">
        <v>280</v>
      </c>
    </row>
    <row r="419" spans="2:10" x14ac:dyDescent="0.3">
      <c r="B419" s="648" t="s">
        <v>341</v>
      </c>
      <c r="C419" s="648">
        <v>2016</v>
      </c>
      <c r="D419" s="648" t="s">
        <v>51</v>
      </c>
      <c r="E419" s="648" t="s">
        <v>127</v>
      </c>
      <c r="F419" s="648" t="s">
        <v>307</v>
      </c>
      <c r="G419" s="648">
        <v>6</v>
      </c>
      <c r="H419" s="648">
        <v>10</v>
      </c>
      <c r="I419" s="648">
        <v>43000</v>
      </c>
      <c r="J419" s="648" t="s">
        <v>280</v>
      </c>
    </row>
    <row r="420" spans="2:10" x14ac:dyDescent="0.3">
      <c r="B420" s="648" t="s">
        <v>341</v>
      </c>
      <c r="C420" s="648">
        <v>2016</v>
      </c>
      <c r="D420" s="648" t="s">
        <v>51</v>
      </c>
      <c r="E420" s="648" t="s">
        <v>127</v>
      </c>
      <c r="F420" s="648" t="s">
        <v>307</v>
      </c>
      <c r="G420" s="648">
        <v>6</v>
      </c>
      <c r="H420" s="648">
        <v>11</v>
      </c>
      <c r="I420" s="648">
        <v>43000</v>
      </c>
      <c r="J420" s="648" t="s">
        <v>280</v>
      </c>
    </row>
    <row r="421" spans="2:10" x14ac:dyDescent="0.3">
      <c r="B421" s="648" t="s">
        <v>341</v>
      </c>
      <c r="C421" s="648">
        <v>2016</v>
      </c>
      <c r="D421" s="648" t="s">
        <v>51</v>
      </c>
      <c r="E421" s="648" t="s">
        <v>127</v>
      </c>
      <c r="F421" s="648" t="s">
        <v>307</v>
      </c>
      <c r="G421" s="648">
        <v>6</v>
      </c>
      <c r="H421" s="648">
        <v>12</v>
      </c>
      <c r="I421" s="648">
        <v>43000</v>
      </c>
      <c r="J421" s="648" t="s">
        <v>280</v>
      </c>
    </row>
    <row r="422" spans="2:10" x14ac:dyDescent="0.3">
      <c r="B422" s="648" t="s">
        <v>341</v>
      </c>
      <c r="C422" s="648">
        <v>2016</v>
      </c>
      <c r="D422" s="648" t="s">
        <v>51</v>
      </c>
      <c r="E422" s="648" t="s">
        <v>127</v>
      </c>
      <c r="F422" s="648" t="s">
        <v>307</v>
      </c>
      <c r="G422" s="648">
        <v>6</v>
      </c>
      <c r="H422" s="648">
        <v>13</v>
      </c>
      <c r="I422" s="648">
        <v>45000</v>
      </c>
      <c r="J422" s="648" t="s">
        <v>280</v>
      </c>
    </row>
    <row r="423" spans="2:10" x14ac:dyDescent="0.3">
      <c r="B423" s="648" t="s">
        <v>341</v>
      </c>
      <c r="C423" s="648">
        <v>2016</v>
      </c>
      <c r="D423" s="648" t="s">
        <v>51</v>
      </c>
      <c r="E423" s="648" t="s">
        <v>127</v>
      </c>
      <c r="F423" s="648" t="s">
        <v>307</v>
      </c>
      <c r="G423" s="648">
        <v>6</v>
      </c>
      <c r="H423" s="648">
        <v>14</v>
      </c>
      <c r="I423" s="648">
        <v>45000</v>
      </c>
      <c r="J423" s="648" t="s">
        <v>280</v>
      </c>
    </row>
    <row r="424" spans="2:10" x14ac:dyDescent="0.3">
      <c r="B424" s="648" t="s">
        <v>341</v>
      </c>
      <c r="C424" s="648">
        <v>2016</v>
      </c>
      <c r="D424" s="648" t="s">
        <v>51</v>
      </c>
      <c r="E424" s="648" t="s">
        <v>127</v>
      </c>
      <c r="F424" s="648" t="s">
        <v>307</v>
      </c>
      <c r="G424" s="648">
        <v>6</v>
      </c>
      <c r="H424" s="648">
        <v>15</v>
      </c>
      <c r="I424" s="648">
        <v>45000</v>
      </c>
      <c r="J424" s="648" t="s">
        <v>280</v>
      </c>
    </row>
    <row r="425" spans="2:10" x14ac:dyDescent="0.3">
      <c r="B425" s="648" t="s">
        <v>341</v>
      </c>
      <c r="C425" s="648">
        <v>2016</v>
      </c>
      <c r="D425" s="648" t="s">
        <v>51</v>
      </c>
      <c r="E425" s="648" t="s">
        <v>127</v>
      </c>
      <c r="F425" s="648" t="s">
        <v>307</v>
      </c>
      <c r="G425" s="648">
        <v>6</v>
      </c>
      <c r="H425" s="648">
        <v>16</v>
      </c>
      <c r="I425" s="648">
        <v>47000</v>
      </c>
      <c r="J425" s="648" t="s">
        <v>280</v>
      </c>
    </row>
    <row r="426" spans="2:10" x14ac:dyDescent="0.3">
      <c r="B426" s="648" t="s">
        <v>341</v>
      </c>
      <c r="C426" s="648">
        <v>2016</v>
      </c>
      <c r="D426" s="648" t="s">
        <v>51</v>
      </c>
      <c r="E426" s="648" t="s">
        <v>127</v>
      </c>
      <c r="F426" s="648" t="s">
        <v>307</v>
      </c>
      <c r="G426" s="648">
        <v>6</v>
      </c>
      <c r="H426" s="648">
        <v>17</v>
      </c>
      <c r="I426" s="648">
        <v>47000</v>
      </c>
      <c r="J426" s="648" t="s">
        <v>280</v>
      </c>
    </row>
    <row r="427" spans="2:10" x14ac:dyDescent="0.3">
      <c r="B427" s="648" t="s">
        <v>341</v>
      </c>
      <c r="C427" s="648">
        <v>2016</v>
      </c>
      <c r="D427" s="648" t="s">
        <v>51</v>
      </c>
      <c r="E427" s="648" t="s">
        <v>127</v>
      </c>
      <c r="F427" s="648" t="s">
        <v>307</v>
      </c>
      <c r="G427" s="648">
        <v>6</v>
      </c>
      <c r="H427" s="648">
        <v>18</v>
      </c>
      <c r="I427" s="648">
        <v>47000</v>
      </c>
      <c r="J427" s="648" t="s">
        <v>280</v>
      </c>
    </row>
    <row r="428" spans="2:10" x14ac:dyDescent="0.3">
      <c r="B428" s="648" t="s">
        <v>341</v>
      </c>
      <c r="C428" s="648">
        <v>2016</v>
      </c>
      <c r="D428" s="648" t="s">
        <v>51</v>
      </c>
      <c r="E428" s="648" t="s">
        <v>127</v>
      </c>
      <c r="F428" s="648" t="s">
        <v>307</v>
      </c>
      <c r="G428" s="648">
        <v>6</v>
      </c>
      <c r="H428" s="648">
        <v>19</v>
      </c>
      <c r="I428" s="648">
        <v>47000</v>
      </c>
      <c r="J428" s="648" t="s">
        <v>280</v>
      </c>
    </row>
    <row r="429" spans="2:10" x14ac:dyDescent="0.3">
      <c r="B429" s="648" t="s">
        <v>341</v>
      </c>
      <c r="C429" s="648">
        <v>2016</v>
      </c>
      <c r="D429" s="648" t="s">
        <v>51</v>
      </c>
      <c r="E429" s="648" t="s">
        <v>127</v>
      </c>
      <c r="F429" s="648" t="s">
        <v>307</v>
      </c>
      <c r="G429" s="648">
        <v>6</v>
      </c>
      <c r="H429" s="648">
        <v>20</v>
      </c>
      <c r="I429" s="648">
        <v>47000</v>
      </c>
      <c r="J429" s="648" t="s">
        <v>280</v>
      </c>
    </row>
    <row r="430" spans="2:10" x14ac:dyDescent="0.3">
      <c r="B430" s="648" t="s">
        <v>313</v>
      </c>
      <c r="C430" s="648">
        <v>2015</v>
      </c>
      <c r="D430" s="648" t="s">
        <v>53</v>
      </c>
      <c r="E430" s="648" t="s">
        <v>57</v>
      </c>
      <c r="F430" s="648" t="s">
        <v>57</v>
      </c>
      <c r="G430" s="648">
        <v>1</v>
      </c>
      <c r="H430" s="648">
        <v>16</v>
      </c>
      <c r="I430" s="648">
        <v>41000</v>
      </c>
      <c r="J430" s="648" t="s">
        <v>280</v>
      </c>
    </row>
    <row r="431" spans="2:10" x14ac:dyDescent="0.3">
      <c r="B431" s="648" t="s">
        <v>313</v>
      </c>
      <c r="C431" s="648">
        <v>2015</v>
      </c>
      <c r="D431" s="648" t="s">
        <v>53</v>
      </c>
      <c r="E431" s="648" t="s">
        <v>57</v>
      </c>
      <c r="F431" s="648" t="s">
        <v>57</v>
      </c>
      <c r="G431" s="648">
        <v>1</v>
      </c>
      <c r="H431" s="648">
        <v>17</v>
      </c>
      <c r="I431" s="648">
        <v>41000</v>
      </c>
      <c r="J431" s="648" t="s">
        <v>280</v>
      </c>
    </row>
    <row r="432" spans="2:10" x14ac:dyDescent="0.3">
      <c r="B432" s="648" t="s">
        <v>313</v>
      </c>
      <c r="C432" s="648">
        <v>2015</v>
      </c>
      <c r="D432" s="648" t="s">
        <v>53</v>
      </c>
      <c r="E432" s="648" t="s">
        <v>57</v>
      </c>
      <c r="F432" s="648" t="s">
        <v>57</v>
      </c>
      <c r="G432" s="648">
        <v>1</v>
      </c>
      <c r="H432" s="648">
        <v>18</v>
      </c>
      <c r="I432" s="648">
        <v>41000</v>
      </c>
      <c r="J432" s="648" t="s">
        <v>280</v>
      </c>
    </row>
    <row r="433" spans="2:10" collapsed="1" x14ac:dyDescent="0.3">
      <c r="B433" s="648" t="s">
        <v>313</v>
      </c>
      <c r="C433" s="648">
        <v>2015</v>
      </c>
      <c r="D433" s="648" t="s">
        <v>53</v>
      </c>
      <c r="E433" s="648" t="s">
        <v>57</v>
      </c>
      <c r="F433" s="648" t="s">
        <v>57</v>
      </c>
      <c r="G433" s="648">
        <v>1</v>
      </c>
      <c r="H433" s="648">
        <v>19</v>
      </c>
      <c r="I433" s="648">
        <v>41000</v>
      </c>
      <c r="J433" s="648" t="s">
        <v>280</v>
      </c>
    </row>
    <row r="434" spans="2:10" x14ac:dyDescent="0.3">
      <c r="B434" s="648" t="s">
        <v>313</v>
      </c>
      <c r="C434" s="648">
        <v>2015</v>
      </c>
      <c r="D434" s="648" t="s">
        <v>53</v>
      </c>
      <c r="E434" s="648" t="s">
        <v>57</v>
      </c>
      <c r="F434" s="648" t="s">
        <v>57</v>
      </c>
      <c r="G434" s="648">
        <v>1</v>
      </c>
      <c r="H434" s="648">
        <v>20</v>
      </c>
      <c r="I434" s="648">
        <v>41000</v>
      </c>
      <c r="J434" s="648" t="s">
        <v>280</v>
      </c>
    </row>
    <row r="435" spans="2:10" x14ac:dyDescent="0.3">
      <c r="B435" s="648" t="s">
        <v>313</v>
      </c>
      <c r="C435" s="648">
        <v>2015</v>
      </c>
      <c r="D435" s="648" t="s">
        <v>53</v>
      </c>
      <c r="E435" s="648" t="s">
        <v>125</v>
      </c>
      <c r="F435" s="648" t="s">
        <v>307</v>
      </c>
      <c r="G435" s="648">
        <v>1</v>
      </c>
      <c r="H435" s="648">
        <v>14</v>
      </c>
      <c r="I435" s="648">
        <v>50500</v>
      </c>
      <c r="J435" s="648" t="s">
        <v>280</v>
      </c>
    </row>
    <row r="436" spans="2:10" x14ac:dyDescent="0.3">
      <c r="B436" s="648" t="s">
        <v>313</v>
      </c>
      <c r="C436" s="648">
        <v>2015</v>
      </c>
      <c r="D436" s="648" t="s">
        <v>53</v>
      </c>
      <c r="E436" s="648" t="s">
        <v>125</v>
      </c>
      <c r="F436" s="648" t="s">
        <v>307</v>
      </c>
      <c r="G436" s="648">
        <v>1</v>
      </c>
      <c r="H436" s="648">
        <v>15</v>
      </c>
      <c r="I436" s="648">
        <v>50500</v>
      </c>
      <c r="J436" s="648" t="s">
        <v>280</v>
      </c>
    </row>
    <row r="437" spans="2:10" x14ac:dyDescent="0.3">
      <c r="B437" s="648" t="s">
        <v>313</v>
      </c>
      <c r="C437" s="648">
        <v>2015</v>
      </c>
      <c r="D437" s="648" t="s">
        <v>53</v>
      </c>
      <c r="E437" s="648" t="s">
        <v>125</v>
      </c>
      <c r="F437" s="648" t="s">
        <v>307</v>
      </c>
      <c r="G437" s="648">
        <v>1</v>
      </c>
      <c r="H437" s="648">
        <v>16</v>
      </c>
      <c r="I437" s="648">
        <v>50500</v>
      </c>
      <c r="J437" s="648" t="s">
        <v>280</v>
      </c>
    </row>
    <row r="438" spans="2:10" x14ac:dyDescent="0.3">
      <c r="B438" s="648" t="s">
        <v>313</v>
      </c>
      <c r="C438" s="648">
        <v>2015</v>
      </c>
      <c r="D438" s="648" t="s">
        <v>53</v>
      </c>
      <c r="E438" s="648" t="s">
        <v>125</v>
      </c>
      <c r="F438" s="648" t="s">
        <v>307</v>
      </c>
      <c r="G438" s="648">
        <v>1</v>
      </c>
      <c r="H438" s="648">
        <v>17</v>
      </c>
      <c r="I438" s="648">
        <v>50500</v>
      </c>
      <c r="J438" s="648" t="s">
        <v>280</v>
      </c>
    </row>
    <row r="439" spans="2:10" x14ac:dyDescent="0.3">
      <c r="B439" s="648" t="s">
        <v>313</v>
      </c>
      <c r="C439" s="648">
        <v>2015</v>
      </c>
      <c r="D439" s="648" t="s">
        <v>53</v>
      </c>
      <c r="E439" s="648" t="s">
        <v>125</v>
      </c>
      <c r="F439" s="648" t="s">
        <v>307</v>
      </c>
      <c r="G439" s="648">
        <v>1</v>
      </c>
      <c r="H439" s="648">
        <v>18</v>
      </c>
      <c r="I439" s="648">
        <v>50500</v>
      </c>
      <c r="J439" s="648" t="s">
        <v>280</v>
      </c>
    </row>
    <row r="440" spans="2:10" x14ac:dyDescent="0.3">
      <c r="B440" s="648" t="s">
        <v>313</v>
      </c>
      <c r="C440" s="648">
        <v>2015</v>
      </c>
      <c r="D440" s="648" t="s">
        <v>53</v>
      </c>
      <c r="E440" s="648" t="s">
        <v>125</v>
      </c>
      <c r="F440" s="648" t="s">
        <v>307</v>
      </c>
      <c r="G440" s="648">
        <v>1</v>
      </c>
      <c r="H440" s="648">
        <v>19</v>
      </c>
      <c r="I440" s="648">
        <v>52500</v>
      </c>
      <c r="J440" s="648" t="s">
        <v>280</v>
      </c>
    </row>
    <row r="441" spans="2:10" x14ac:dyDescent="0.3">
      <c r="B441" s="648" t="s">
        <v>313</v>
      </c>
      <c r="C441" s="648">
        <v>2015</v>
      </c>
      <c r="D441" s="648" t="s">
        <v>53</v>
      </c>
      <c r="E441" s="648" t="s">
        <v>125</v>
      </c>
      <c r="F441" s="648" t="s">
        <v>307</v>
      </c>
      <c r="G441" s="648">
        <v>1</v>
      </c>
      <c r="H441" s="648">
        <v>20</v>
      </c>
      <c r="I441" s="648">
        <v>52500</v>
      </c>
      <c r="J441" s="648" t="s">
        <v>280</v>
      </c>
    </row>
    <row r="442" spans="2:10" x14ac:dyDescent="0.3">
      <c r="B442" s="648" t="s">
        <v>268</v>
      </c>
      <c r="C442" s="648">
        <v>2016</v>
      </c>
      <c r="D442" s="648" t="s">
        <v>53</v>
      </c>
      <c r="E442" s="648" t="s">
        <v>71</v>
      </c>
      <c r="F442" s="648" t="s">
        <v>71</v>
      </c>
      <c r="G442" s="648">
        <v>3</v>
      </c>
      <c r="H442" s="648">
        <v>11</v>
      </c>
      <c r="I442" s="648">
        <v>58000</v>
      </c>
      <c r="J442" s="648" t="s">
        <v>255</v>
      </c>
    </row>
    <row r="443" spans="2:10" x14ac:dyDescent="0.3">
      <c r="B443" s="648" t="s">
        <v>268</v>
      </c>
      <c r="C443" s="648">
        <v>2016</v>
      </c>
      <c r="D443" s="648" t="s">
        <v>53</v>
      </c>
      <c r="E443" s="648" t="s">
        <v>71</v>
      </c>
      <c r="F443" s="648" t="s">
        <v>71</v>
      </c>
      <c r="G443" s="648">
        <v>3</v>
      </c>
      <c r="H443" s="648">
        <v>12</v>
      </c>
      <c r="I443" s="648">
        <v>58000</v>
      </c>
      <c r="J443" s="648" t="s">
        <v>255</v>
      </c>
    </row>
    <row r="444" spans="2:10" x14ac:dyDescent="0.3">
      <c r="B444" s="648" t="s">
        <v>268</v>
      </c>
      <c r="C444" s="648">
        <v>2016</v>
      </c>
      <c r="D444" s="648" t="s">
        <v>53</v>
      </c>
      <c r="E444" s="648" t="s">
        <v>71</v>
      </c>
      <c r="F444" s="648" t="s">
        <v>71</v>
      </c>
      <c r="G444" s="648">
        <v>3</v>
      </c>
      <c r="H444" s="648">
        <v>13</v>
      </c>
      <c r="I444" s="648">
        <v>61000</v>
      </c>
      <c r="J444" s="648" t="s">
        <v>255</v>
      </c>
    </row>
    <row r="445" spans="2:10" x14ac:dyDescent="0.3">
      <c r="B445" s="648" t="s">
        <v>268</v>
      </c>
      <c r="C445" s="648">
        <v>2016</v>
      </c>
      <c r="D445" s="648" t="s">
        <v>53</v>
      </c>
      <c r="E445" s="648" t="s">
        <v>71</v>
      </c>
      <c r="F445" s="648" t="s">
        <v>71</v>
      </c>
      <c r="G445" s="648">
        <v>3</v>
      </c>
      <c r="H445" s="648">
        <v>14</v>
      </c>
      <c r="I445" s="648">
        <v>61000</v>
      </c>
      <c r="J445" s="648" t="s">
        <v>255</v>
      </c>
    </row>
    <row r="446" spans="2:10" x14ac:dyDescent="0.3">
      <c r="B446" s="648" t="s">
        <v>268</v>
      </c>
      <c r="C446" s="648">
        <v>2016</v>
      </c>
      <c r="D446" s="648" t="s">
        <v>53</v>
      </c>
      <c r="E446" s="648" t="s">
        <v>71</v>
      </c>
      <c r="F446" s="648" t="s">
        <v>71</v>
      </c>
      <c r="G446" s="648">
        <v>3</v>
      </c>
      <c r="H446" s="648">
        <v>15</v>
      </c>
      <c r="I446" s="648">
        <v>61000</v>
      </c>
      <c r="J446" s="648" t="s">
        <v>255</v>
      </c>
    </row>
    <row r="447" spans="2:10" x14ac:dyDescent="0.3">
      <c r="B447" s="648" t="s">
        <v>268</v>
      </c>
      <c r="C447" s="648">
        <v>2016</v>
      </c>
      <c r="D447" s="648" t="s">
        <v>53</v>
      </c>
      <c r="E447" s="648" t="s">
        <v>71</v>
      </c>
      <c r="F447" s="648" t="s">
        <v>71</v>
      </c>
      <c r="G447" s="648">
        <v>3</v>
      </c>
      <c r="H447" s="648">
        <v>16</v>
      </c>
      <c r="I447" s="648">
        <v>61000</v>
      </c>
      <c r="J447" s="648" t="s">
        <v>255</v>
      </c>
    </row>
    <row r="448" spans="2:10" collapsed="1" x14ac:dyDescent="0.3">
      <c r="B448" s="648" t="s">
        <v>268</v>
      </c>
      <c r="C448" s="648">
        <v>2016</v>
      </c>
      <c r="D448" s="648" t="s">
        <v>53</v>
      </c>
      <c r="E448" s="648" t="s">
        <v>71</v>
      </c>
      <c r="F448" s="648" t="s">
        <v>71</v>
      </c>
      <c r="G448" s="648">
        <v>3</v>
      </c>
      <c r="H448" s="648">
        <v>17</v>
      </c>
      <c r="I448" s="648">
        <v>65000</v>
      </c>
      <c r="J448" s="648" t="s">
        <v>255</v>
      </c>
    </row>
    <row r="449" spans="2:10" x14ac:dyDescent="0.3">
      <c r="B449" s="648" t="s">
        <v>268</v>
      </c>
      <c r="C449" s="648">
        <v>2016</v>
      </c>
      <c r="D449" s="648" t="s">
        <v>53</v>
      </c>
      <c r="E449" s="648" t="s">
        <v>71</v>
      </c>
      <c r="F449" s="648" t="s">
        <v>71</v>
      </c>
      <c r="G449" s="648">
        <v>3</v>
      </c>
      <c r="H449" s="648">
        <v>18</v>
      </c>
      <c r="I449" s="648">
        <v>65000</v>
      </c>
      <c r="J449" s="648" t="s">
        <v>255</v>
      </c>
    </row>
    <row r="450" spans="2:10" x14ac:dyDescent="0.3">
      <c r="B450" s="648" t="s">
        <v>268</v>
      </c>
      <c r="C450" s="648">
        <v>2016</v>
      </c>
      <c r="D450" s="648" t="s">
        <v>53</v>
      </c>
      <c r="E450" s="648" t="s">
        <v>71</v>
      </c>
      <c r="F450" s="648" t="s">
        <v>71</v>
      </c>
      <c r="G450" s="648">
        <v>3</v>
      </c>
      <c r="H450" s="648">
        <v>19</v>
      </c>
      <c r="I450" s="648">
        <v>65000</v>
      </c>
      <c r="J450" s="648" t="s">
        <v>255</v>
      </c>
    </row>
    <row r="451" spans="2:10" x14ac:dyDescent="0.3">
      <c r="B451" s="648" t="s">
        <v>268</v>
      </c>
      <c r="C451" s="648">
        <v>2016</v>
      </c>
      <c r="D451" s="648" t="s">
        <v>53</v>
      </c>
      <c r="E451" s="648" t="s">
        <v>71</v>
      </c>
      <c r="F451" s="648" t="s">
        <v>71</v>
      </c>
      <c r="G451" s="648">
        <v>3</v>
      </c>
      <c r="H451" s="648">
        <v>20</v>
      </c>
      <c r="I451" s="648">
        <v>65000</v>
      </c>
      <c r="J451" s="648" t="s">
        <v>255</v>
      </c>
    </row>
    <row r="452" spans="2:10" x14ac:dyDescent="0.3">
      <c r="B452" s="648" t="s">
        <v>269</v>
      </c>
      <c r="C452" s="648">
        <v>2016</v>
      </c>
      <c r="D452" s="648" t="s">
        <v>53</v>
      </c>
      <c r="E452" s="648" t="s">
        <v>71</v>
      </c>
      <c r="F452" s="648" t="s">
        <v>71</v>
      </c>
      <c r="G452" s="648">
        <v>2</v>
      </c>
      <c r="H452" s="648">
        <v>10</v>
      </c>
      <c r="I452" s="648">
        <v>61000</v>
      </c>
      <c r="J452" s="648" t="s">
        <v>255</v>
      </c>
    </row>
    <row r="453" spans="2:10" x14ac:dyDescent="0.3">
      <c r="B453" s="648" t="s">
        <v>269</v>
      </c>
      <c r="C453" s="648">
        <v>2016</v>
      </c>
      <c r="D453" s="648" t="s">
        <v>53</v>
      </c>
      <c r="E453" s="648" t="s">
        <v>71</v>
      </c>
      <c r="F453" s="648" t="s">
        <v>71</v>
      </c>
      <c r="G453" s="648">
        <v>2</v>
      </c>
      <c r="H453" s="648">
        <v>11</v>
      </c>
      <c r="I453" s="648">
        <v>61000</v>
      </c>
      <c r="J453" s="648" t="s">
        <v>255</v>
      </c>
    </row>
    <row r="454" spans="2:10" x14ac:dyDescent="0.3">
      <c r="B454" s="648" t="s">
        <v>269</v>
      </c>
      <c r="C454" s="648">
        <v>2016</v>
      </c>
      <c r="D454" s="648" t="s">
        <v>53</v>
      </c>
      <c r="E454" s="648" t="s">
        <v>71</v>
      </c>
      <c r="F454" s="648" t="s">
        <v>71</v>
      </c>
      <c r="G454" s="648">
        <v>2</v>
      </c>
      <c r="H454" s="648">
        <v>12</v>
      </c>
      <c r="I454" s="648">
        <v>61000</v>
      </c>
      <c r="J454" s="648" t="s">
        <v>255</v>
      </c>
    </row>
    <row r="455" spans="2:10" x14ac:dyDescent="0.3">
      <c r="B455" s="648" t="s">
        <v>269</v>
      </c>
      <c r="C455" s="648">
        <v>2016</v>
      </c>
      <c r="D455" s="648" t="s">
        <v>53</v>
      </c>
      <c r="E455" s="648" t="s">
        <v>71</v>
      </c>
      <c r="F455" s="648" t="s">
        <v>71</v>
      </c>
      <c r="G455" s="648">
        <v>2</v>
      </c>
      <c r="H455" s="648">
        <v>13</v>
      </c>
      <c r="I455" s="648">
        <v>63500</v>
      </c>
      <c r="J455" s="648" t="s">
        <v>255</v>
      </c>
    </row>
    <row r="456" spans="2:10" x14ac:dyDescent="0.3">
      <c r="B456" s="648" t="s">
        <v>269</v>
      </c>
      <c r="C456" s="648">
        <v>2016</v>
      </c>
      <c r="D456" s="648" t="s">
        <v>53</v>
      </c>
      <c r="E456" s="648" t="s">
        <v>71</v>
      </c>
      <c r="F456" s="648" t="s">
        <v>71</v>
      </c>
      <c r="G456" s="648">
        <v>2</v>
      </c>
      <c r="H456" s="648">
        <v>14</v>
      </c>
      <c r="I456" s="648">
        <v>63500</v>
      </c>
      <c r="J456" s="648" t="s">
        <v>255</v>
      </c>
    </row>
    <row r="457" spans="2:10" x14ac:dyDescent="0.3">
      <c r="B457" s="648" t="s">
        <v>269</v>
      </c>
      <c r="C457" s="648">
        <v>2016</v>
      </c>
      <c r="D457" s="648" t="s">
        <v>53</v>
      </c>
      <c r="E457" s="648" t="s">
        <v>71</v>
      </c>
      <c r="F457" s="648" t="s">
        <v>71</v>
      </c>
      <c r="G457" s="648">
        <v>2</v>
      </c>
      <c r="H457" s="648">
        <v>15</v>
      </c>
      <c r="I457" s="648">
        <v>63500</v>
      </c>
      <c r="J457" s="648" t="s">
        <v>255</v>
      </c>
    </row>
    <row r="458" spans="2:10" x14ac:dyDescent="0.3">
      <c r="B458" s="648" t="s">
        <v>269</v>
      </c>
      <c r="C458" s="648">
        <v>2016</v>
      </c>
      <c r="D458" s="648" t="s">
        <v>53</v>
      </c>
      <c r="E458" s="648" t="s">
        <v>71</v>
      </c>
      <c r="F458" s="648" t="s">
        <v>71</v>
      </c>
      <c r="G458" s="648">
        <v>2</v>
      </c>
      <c r="H458" s="648">
        <v>16</v>
      </c>
      <c r="I458" s="648">
        <v>66000</v>
      </c>
      <c r="J458" s="648" t="s">
        <v>255</v>
      </c>
    </row>
    <row r="459" spans="2:10" x14ac:dyDescent="0.3">
      <c r="B459" s="648" t="s">
        <v>269</v>
      </c>
      <c r="C459" s="648">
        <v>2016</v>
      </c>
      <c r="D459" s="648" t="s">
        <v>53</v>
      </c>
      <c r="E459" s="648" t="s">
        <v>71</v>
      </c>
      <c r="F459" s="648" t="s">
        <v>71</v>
      </c>
      <c r="G459" s="648">
        <v>2</v>
      </c>
      <c r="H459" s="648">
        <v>17</v>
      </c>
      <c r="I459" s="648">
        <v>66000</v>
      </c>
      <c r="J459" s="648" t="s">
        <v>255</v>
      </c>
    </row>
    <row r="460" spans="2:10" x14ac:dyDescent="0.3">
      <c r="B460" s="648" t="s">
        <v>269</v>
      </c>
      <c r="C460" s="648">
        <v>2016</v>
      </c>
      <c r="D460" s="648" t="s">
        <v>53</v>
      </c>
      <c r="E460" s="648" t="s">
        <v>71</v>
      </c>
      <c r="F460" s="648" t="s">
        <v>71</v>
      </c>
      <c r="G460" s="648">
        <v>2</v>
      </c>
      <c r="H460" s="648">
        <v>18</v>
      </c>
      <c r="I460" s="648">
        <v>66000</v>
      </c>
      <c r="J460" s="648" t="s">
        <v>255</v>
      </c>
    </row>
    <row r="461" spans="2:10" x14ac:dyDescent="0.3">
      <c r="B461" s="648" t="s">
        <v>269</v>
      </c>
      <c r="C461" s="648">
        <v>2016</v>
      </c>
      <c r="D461" s="648" t="s">
        <v>53</v>
      </c>
      <c r="E461" s="648" t="s">
        <v>71</v>
      </c>
      <c r="F461" s="648" t="s">
        <v>71</v>
      </c>
      <c r="G461" s="648">
        <v>2</v>
      </c>
      <c r="H461" s="648">
        <v>19</v>
      </c>
      <c r="I461" s="648">
        <v>66000</v>
      </c>
      <c r="J461" s="648" t="s">
        <v>255</v>
      </c>
    </row>
    <row r="462" spans="2:10" x14ac:dyDescent="0.3">
      <c r="B462" s="648" t="s">
        <v>269</v>
      </c>
      <c r="C462" s="648">
        <v>2016</v>
      </c>
      <c r="D462" s="648" t="s">
        <v>53</v>
      </c>
      <c r="E462" s="648" t="s">
        <v>71</v>
      </c>
      <c r="F462" s="648" t="s">
        <v>71</v>
      </c>
      <c r="G462" s="648">
        <v>2</v>
      </c>
      <c r="H462" s="648">
        <v>20</v>
      </c>
      <c r="I462" s="648">
        <v>66000</v>
      </c>
      <c r="J462" s="648" t="s">
        <v>255</v>
      </c>
    </row>
    <row r="463" spans="2:10" x14ac:dyDescent="0.3">
      <c r="B463" s="648" t="s">
        <v>342</v>
      </c>
      <c r="C463" s="648">
        <v>2016</v>
      </c>
      <c r="D463" s="648" t="s">
        <v>51</v>
      </c>
      <c r="E463" s="648" t="s">
        <v>56</v>
      </c>
      <c r="F463" s="648" t="s">
        <v>306</v>
      </c>
      <c r="G463" s="648">
        <v>4</v>
      </c>
      <c r="H463" s="648">
        <v>6</v>
      </c>
      <c r="I463" s="648">
        <v>38500</v>
      </c>
      <c r="J463" s="648" t="s">
        <v>280</v>
      </c>
    </row>
    <row r="464" spans="2:10" x14ac:dyDescent="0.3">
      <c r="B464" s="648" t="s">
        <v>342</v>
      </c>
      <c r="C464" s="648">
        <v>2016</v>
      </c>
      <c r="D464" s="648" t="s">
        <v>51</v>
      </c>
      <c r="E464" s="648" t="s">
        <v>56</v>
      </c>
      <c r="F464" s="648" t="s">
        <v>306</v>
      </c>
      <c r="G464" s="648">
        <v>4</v>
      </c>
      <c r="H464" s="648">
        <v>7</v>
      </c>
      <c r="I464" s="648">
        <v>38500</v>
      </c>
      <c r="J464" s="648" t="s">
        <v>280</v>
      </c>
    </row>
    <row r="465" spans="2:10" x14ac:dyDescent="0.3">
      <c r="B465" s="648" t="s">
        <v>342</v>
      </c>
      <c r="C465" s="648">
        <v>2016</v>
      </c>
      <c r="D465" s="648" t="s">
        <v>51</v>
      </c>
      <c r="E465" s="648" t="s">
        <v>56</v>
      </c>
      <c r="F465" s="648" t="s">
        <v>306</v>
      </c>
      <c r="G465" s="648">
        <v>4</v>
      </c>
      <c r="H465" s="648">
        <v>8</v>
      </c>
      <c r="I465" s="648">
        <v>38500</v>
      </c>
      <c r="J465" s="648" t="s">
        <v>280</v>
      </c>
    </row>
    <row r="466" spans="2:10" x14ac:dyDescent="0.3">
      <c r="B466" s="648" t="s">
        <v>342</v>
      </c>
      <c r="C466" s="648">
        <v>2016</v>
      </c>
      <c r="D466" s="648" t="s">
        <v>51</v>
      </c>
      <c r="E466" s="648" t="s">
        <v>56</v>
      </c>
      <c r="F466" s="648" t="s">
        <v>306</v>
      </c>
      <c r="G466" s="648">
        <v>4</v>
      </c>
      <c r="H466" s="648">
        <v>9</v>
      </c>
      <c r="I466" s="648">
        <v>41500</v>
      </c>
      <c r="J466" s="648" t="s">
        <v>280</v>
      </c>
    </row>
    <row r="467" spans="2:10" x14ac:dyDescent="0.3">
      <c r="B467" s="648" t="s">
        <v>342</v>
      </c>
      <c r="C467" s="648">
        <v>2016</v>
      </c>
      <c r="D467" s="648" t="s">
        <v>51</v>
      </c>
      <c r="E467" s="648" t="s">
        <v>56</v>
      </c>
      <c r="F467" s="648" t="s">
        <v>306</v>
      </c>
      <c r="G467" s="648">
        <v>4</v>
      </c>
      <c r="H467" s="648">
        <v>10</v>
      </c>
      <c r="I467" s="648">
        <v>41500</v>
      </c>
      <c r="J467" s="648" t="s">
        <v>280</v>
      </c>
    </row>
    <row r="468" spans="2:10" x14ac:dyDescent="0.3">
      <c r="B468" s="648" t="s">
        <v>342</v>
      </c>
      <c r="C468" s="648">
        <v>2016</v>
      </c>
      <c r="D468" s="648" t="s">
        <v>51</v>
      </c>
      <c r="E468" s="648" t="s">
        <v>56</v>
      </c>
      <c r="F468" s="648" t="s">
        <v>306</v>
      </c>
      <c r="G468" s="648">
        <v>4</v>
      </c>
      <c r="H468" s="648">
        <v>11</v>
      </c>
      <c r="I468" s="648">
        <v>41500</v>
      </c>
      <c r="J468" s="648" t="s">
        <v>280</v>
      </c>
    </row>
    <row r="469" spans="2:10" x14ac:dyDescent="0.3">
      <c r="B469" s="648" t="s">
        <v>342</v>
      </c>
      <c r="C469" s="648">
        <v>2016</v>
      </c>
      <c r="D469" s="648" t="s">
        <v>51</v>
      </c>
      <c r="E469" s="648" t="s">
        <v>56</v>
      </c>
      <c r="F469" s="648" t="s">
        <v>306</v>
      </c>
      <c r="G469" s="648">
        <v>4</v>
      </c>
      <c r="H469" s="648">
        <v>12</v>
      </c>
      <c r="I469" s="648">
        <v>45000</v>
      </c>
      <c r="J469" s="648" t="s">
        <v>280</v>
      </c>
    </row>
    <row r="470" spans="2:10" x14ac:dyDescent="0.3">
      <c r="B470" s="648" t="s">
        <v>342</v>
      </c>
      <c r="C470" s="648">
        <v>2016</v>
      </c>
      <c r="D470" s="648" t="s">
        <v>51</v>
      </c>
      <c r="E470" s="648" t="s">
        <v>56</v>
      </c>
      <c r="F470" s="648" t="s">
        <v>306</v>
      </c>
      <c r="G470" s="648">
        <v>4</v>
      </c>
      <c r="H470" s="648">
        <v>13</v>
      </c>
      <c r="I470" s="648">
        <v>45000</v>
      </c>
      <c r="J470" s="648" t="s">
        <v>280</v>
      </c>
    </row>
    <row r="471" spans="2:10" x14ac:dyDescent="0.3">
      <c r="B471" s="648" t="s">
        <v>342</v>
      </c>
      <c r="C471" s="648">
        <v>2016</v>
      </c>
      <c r="D471" s="648" t="s">
        <v>51</v>
      </c>
      <c r="E471" s="648" t="s">
        <v>56</v>
      </c>
      <c r="F471" s="648" t="s">
        <v>306</v>
      </c>
      <c r="G471" s="648">
        <v>4</v>
      </c>
      <c r="H471" s="648">
        <v>14</v>
      </c>
      <c r="I471" s="648">
        <v>45000</v>
      </c>
      <c r="J471" s="648" t="s">
        <v>280</v>
      </c>
    </row>
    <row r="472" spans="2:10" x14ac:dyDescent="0.3">
      <c r="B472" s="648" t="s">
        <v>342</v>
      </c>
      <c r="C472" s="648">
        <v>2016</v>
      </c>
      <c r="D472" s="648" t="s">
        <v>51</v>
      </c>
      <c r="E472" s="648" t="s">
        <v>56</v>
      </c>
      <c r="F472" s="648" t="s">
        <v>306</v>
      </c>
      <c r="G472" s="648">
        <v>4</v>
      </c>
      <c r="H472" s="648">
        <v>15</v>
      </c>
      <c r="I472" s="648">
        <v>45000</v>
      </c>
      <c r="J472" s="648" t="s">
        <v>280</v>
      </c>
    </row>
    <row r="473" spans="2:10" x14ac:dyDescent="0.3">
      <c r="B473" s="648" t="s">
        <v>342</v>
      </c>
      <c r="C473" s="648">
        <v>2016</v>
      </c>
      <c r="D473" s="648" t="s">
        <v>51</v>
      </c>
      <c r="E473" s="648" t="s">
        <v>56</v>
      </c>
      <c r="F473" s="648" t="s">
        <v>306</v>
      </c>
      <c r="G473" s="648">
        <v>4</v>
      </c>
      <c r="H473" s="648">
        <v>16</v>
      </c>
      <c r="I473" s="648">
        <v>49500</v>
      </c>
      <c r="J473" s="648" t="s">
        <v>280</v>
      </c>
    </row>
    <row r="474" spans="2:10" x14ac:dyDescent="0.3">
      <c r="B474" s="648" t="s">
        <v>342</v>
      </c>
      <c r="C474" s="648">
        <v>2016</v>
      </c>
      <c r="D474" s="648" t="s">
        <v>51</v>
      </c>
      <c r="E474" s="648" t="s">
        <v>56</v>
      </c>
      <c r="F474" s="648" t="s">
        <v>306</v>
      </c>
      <c r="G474" s="648">
        <v>4</v>
      </c>
      <c r="H474" s="648">
        <v>17</v>
      </c>
      <c r="I474" s="648">
        <v>49500</v>
      </c>
      <c r="J474" s="648" t="s">
        <v>280</v>
      </c>
    </row>
    <row r="475" spans="2:10" x14ac:dyDescent="0.3">
      <c r="B475" s="648" t="s">
        <v>342</v>
      </c>
      <c r="C475" s="648">
        <v>2016</v>
      </c>
      <c r="D475" s="648" t="s">
        <v>51</v>
      </c>
      <c r="E475" s="648" t="s">
        <v>56</v>
      </c>
      <c r="F475" s="648" t="s">
        <v>306</v>
      </c>
      <c r="G475" s="648">
        <v>4</v>
      </c>
      <c r="H475" s="648">
        <v>18</v>
      </c>
      <c r="I475" s="648">
        <v>49500</v>
      </c>
      <c r="J475" s="648" t="s">
        <v>280</v>
      </c>
    </row>
    <row r="476" spans="2:10" x14ac:dyDescent="0.3">
      <c r="B476" s="648" t="s">
        <v>342</v>
      </c>
      <c r="C476" s="648">
        <v>2016</v>
      </c>
      <c r="D476" s="648" t="s">
        <v>51</v>
      </c>
      <c r="E476" s="648" t="s">
        <v>56</v>
      </c>
      <c r="F476" s="648" t="s">
        <v>306</v>
      </c>
      <c r="G476" s="648">
        <v>4</v>
      </c>
      <c r="H476" s="648">
        <v>19</v>
      </c>
      <c r="I476" s="648">
        <v>49500</v>
      </c>
      <c r="J476" s="648" t="s">
        <v>280</v>
      </c>
    </row>
    <row r="477" spans="2:10" x14ac:dyDescent="0.3">
      <c r="B477" s="648" t="s">
        <v>342</v>
      </c>
      <c r="C477" s="648">
        <v>2016</v>
      </c>
      <c r="D477" s="648" t="s">
        <v>51</v>
      </c>
      <c r="E477" s="648" t="s">
        <v>56</v>
      </c>
      <c r="F477" s="648" t="s">
        <v>306</v>
      </c>
      <c r="G477" s="648">
        <v>4</v>
      </c>
      <c r="H477" s="648">
        <v>20</v>
      </c>
      <c r="I477" s="648">
        <v>49500</v>
      </c>
      <c r="J477" s="648" t="s">
        <v>280</v>
      </c>
    </row>
    <row r="478" spans="2:10" x14ac:dyDescent="0.3">
      <c r="B478" s="648" t="s">
        <v>343</v>
      </c>
      <c r="C478" s="648">
        <v>2015</v>
      </c>
      <c r="D478" s="648" t="s">
        <v>54</v>
      </c>
      <c r="E478" s="648" t="s">
        <v>130</v>
      </c>
      <c r="F478" s="648" t="s">
        <v>307</v>
      </c>
      <c r="G478" s="648">
        <v>1</v>
      </c>
      <c r="H478" s="648">
        <v>11</v>
      </c>
      <c r="I478" s="648">
        <v>39500</v>
      </c>
      <c r="J478" s="648" t="s">
        <v>280</v>
      </c>
    </row>
    <row r="479" spans="2:10" x14ac:dyDescent="0.3">
      <c r="B479" s="648" t="s">
        <v>343</v>
      </c>
      <c r="C479" s="648">
        <v>2015</v>
      </c>
      <c r="D479" s="648" t="s">
        <v>54</v>
      </c>
      <c r="E479" s="648" t="s">
        <v>344</v>
      </c>
      <c r="F479" s="648" t="s">
        <v>307</v>
      </c>
      <c r="G479" s="648">
        <v>1</v>
      </c>
      <c r="H479" s="648">
        <v>12</v>
      </c>
      <c r="I479" s="648">
        <v>39500</v>
      </c>
      <c r="J479" s="648" t="s">
        <v>280</v>
      </c>
    </row>
    <row r="480" spans="2:10" x14ac:dyDescent="0.3">
      <c r="B480" s="648" t="s">
        <v>343</v>
      </c>
      <c r="C480" s="648">
        <v>2015</v>
      </c>
      <c r="D480" s="648" t="s">
        <v>54</v>
      </c>
      <c r="E480" s="648" t="s">
        <v>345</v>
      </c>
      <c r="F480" s="648" t="s">
        <v>307</v>
      </c>
      <c r="G480" s="648">
        <v>1</v>
      </c>
      <c r="H480" s="648">
        <v>13</v>
      </c>
      <c r="I480" s="648">
        <v>39500</v>
      </c>
      <c r="J480" s="648" t="s">
        <v>280</v>
      </c>
    </row>
    <row r="481" spans="2:10" x14ac:dyDescent="0.3">
      <c r="B481" s="648" t="s">
        <v>343</v>
      </c>
      <c r="C481" s="648">
        <v>2015</v>
      </c>
      <c r="D481" s="648" t="s">
        <v>54</v>
      </c>
      <c r="E481" s="648" t="s">
        <v>346</v>
      </c>
      <c r="F481" s="648" t="s">
        <v>307</v>
      </c>
      <c r="G481" s="648">
        <v>1</v>
      </c>
      <c r="H481" s="648">
        <v>14</v>
      </c>
      <c r="I481" s="648">
        <v>39500</v>
      </c>
      <c r="J481" s="648" t="s">
        <v>280</v>
      </c>
    </row>
    <row r="482" spans="2:10" x14ac:dyDescent="0.3">
      <c r="B482" s="648" t="s">
        <v>343</v>
      </c>
      <c r="C482" s="648">
        <v>2015</v>
      </c>
      <c r="D482" s="648" t="s">
        <v>54</v>
      </c>
      <c r="E482" s="648" t="s">
        <v>347</v>
      </c>
      <c r="F482" s="648" t="s">
        <v>307</v>
      </c>
      <c r="G482" s="648">
        <v>1</v>
      </c>
      <c r="H482" s="648">
        <v>15</v>
      </c>
      <c r="I482" s="648">
        <v>44000</v>
      </c>
      <c r="J482" s="648" t="s">
        <v>280</v>
      </c>
    </row>
    <row r="483" spans="2:10" x14ac:dyDescent="0.3">
      <c r="B483" s="648" t="s">
        <v>343</v>
      </c>
      <c r="C483" s="648">
        <v>2015</v>
      </c>
      <c r="D483" s="648" t="s">
        <v>54</v>
      </c>
      <c r="E483" s="648" t="s">
        <v>348</v>
      </c>
      <c r="F483" s="648" t="s">
        <v>307</v>
      </c>
      <c r="G483" s="648">
        <v>1</v>
      </c>
      <c r="H483" s="648">
        <v>16</v>
      </c>
      <c r="I483" s="648">
        <v>44000</v>
      </c>
      <c r="J483" s="648" t="s">
        <v>280</v>
      </c>
    </row>
    <row r="484" spans="2:10" x14ac:dyDescent="0.3">
      <c r="B484" s="648" t="s">
        <v>343</v>
      </c>
      <c r="C484" s="648">
        <v>2015</v>
      </c>
      <c r="D484" s="648" t="s">
        <v>54</v>
      </c>
      <c r="E484" s="648" t="s">
        <v>349</v>
      </c>
      <c r="F484" s="648" t="s">
        <v>307</v>
      </c>
      <c r="G484" s="648">
        <v>1</v>
      </c>
      <c r="H484" s="648">
        <v>17</v>
      </c>
      <c r="I484" s="648">
        <v>44000</v>
      </c>
      <c r="J484" s="648" t="s">
        <v>280</v>
      </c>
    </row>
    <row r="485" spans="2:10" x14ac:dyDescent="0.3">
      <c r="B485" s="648" t="s">
        <v>343</v>
      </c>
      <c r="C485" s="648">
        <v>2015</v>
      </c>
      <c r="D485" s="648" t="s">
        <v>54</v>
      </c>
      <c r="E485" s="648" t="s">
        <v>350</v>
      </c>
      <c r="F485" s="648" t="s">
        <v>307</v>
      </c>
      <c r="G485" s="648">
        <v>1</v>
      </c>
      <c r="H485" s="648">
        <v>18</v>
      </c>
      <c r="I485" s="648">
        <v>44000</v>
      </c>
      <c r="J485" s="648" t="s">
        <v>280</v>
      </c>
    </row>
    <row r="486" spans="2:10" x14ac:dyDescent="0.3">
      <c r="B486" s="648" t="s">
        <v>343</v>
      </c>
      <c r="C486" s="648">
        <v>2015</v>
      </c>
      <c r="D486" s="648" t="s">
        <v>54</v>
      </c>
      <c r="E486" s="648" t="s">
        <v>351</v>
      </c>
      <c r="F486" s="648" t="s">
        <v>307</v>
      </c>
      <c r="G486" s="648">
        <v>1</v>
      </c>
      <c r="H486" s="648">
        <v>19</v>
      </c>
      <c r="I486" s="648">
        <v>49500</v>
      </c>
      <c r="J486" s="648" t="s">
        <v>280</v>
      </c>
    </row>
    <row r="487" spans="2:10" x14ac:dyDescent="0.3">
      <c r="B487" s="648" t="s">
        <v>343</v>
      </c>
      <c r="C487" s="648">
        <v>2015</v>
      </c>
      <c r="D487" s="648" t="s">
        <v>54</v>
      </c>
      <c r="E487" s="648" t="s">
        <v>352</v>
      </c>
      <c r="F487" s="648" t="s">
        <v>307</v>
      </c>
      <c r="G487" s="648">
        <v>1</v>
      </c>
      <c r="H487" s="648">
        <v>20</v>
      </c>
      <c r="I487" s="648">
        <v>49500</v>
      </c>
      <c r="J487" s="648" t="s">
        <v>280</v>
      </c>
    </row>
    <row r="488" spans="2:10" x14ac:dyDescent="0.3">
      <c r="B488" s="648" t="s">
        <v>270</v>
      </c>
      <c r="C488" s="648">
        <v>2014</v>
      </c>
      <c r="D488" s="648" t="s">
        <v>51</v>
      </c>
      <c r="E488" s="648" t="s">
        <v>127</v>
      </c>
      <c r="F488" s="648" t="s">
        <v>307</v>
      </c>
      <c r="G488" s="648">
        <v>2</v>
      </c>
      <c r="H488" s="648">
        <v>15</v>
      </c>
      <c r="I488" s="648">
        <v>43500</v>
      </c>
      <c r="J488" s="648" t="s">
        <v>255</v>
      </c>
    </row>
    <row r="489" spans="2:10" x14ac:dyDescent="0.3">
      <c r="B489" s="648" t="s">
        <v>270</v>
      </c>
      <c r="C489" s="648">
        <v>2014</v>
      </c>
      <c r="D489" s="648" t="s">
        <v>51</v>
      </c>
      <c r="E489" s="648" t="s">
        <v>127</v>
      </c>
      <c r="F489" s="648" t="s">
        <v>307</v>
      </c>
      <c r="G489" s="648">
        <v>2</v>
      </c>
      <c r="H489" s="648">
        <v>16</v>
      </c>
      <c r="I489" s="648">
        <v>43500</v>
      </c>
      <c r="J489" s="648" t="s">
        <v>255</v>
      </c>
    </row>
    <row r="490" spans="2:10" x14ac:dyDescent="0.3">
      <c r="B490" s="648" t="s">
        <v>270</v>
      </c>
      <c r="C490" s="648">
        <v>2014</v>
      </c>
      <c r="D490" s="648" t="s">
        <v>51</v>
      </c>
      <c r="E490" s="648" t="s">
        <v>127</v>
      </c>
      <c r="F490" s="648" t="s">
        <v>307</v>
      </c>
      <c r="G490" s="648">
        <v>2</v>
      </c>
      <c r="H490" s="648">
        <v>17</v>
      </c>
      <c r="I490" s="648">
        <v>47000</v>
      </c>
      <c r="J490" s="648" t="s">
        <v>255</v>
      </c>
    </row>
    <row r="491" spans="2:10" x14ac:dyDescent="0.3">
      <c r="B491" s="648" t="s">
        <v>270</v>
      </c>
      <c r="C491" s="648">
        <v>2014</v>
      </c>
      <c r="D491" s="648" t="s">
        <v>51</v>
      </c>
      <c r="E491" s="648" t="s">
        <v>127</v>
      </c>
      <c r="F491" s="648" t="s">
        <v>307</v>
      </c>
      <c r="G491" s="648">
        <v>2</v>
      </c>
      <c r="H491" s="648">
        <v>18</v>
      </c>
      <c r="I491" s="648">
        <v>47000</v>
      </c>
      <c r="J491" s="648" t="s">
        <v>255</v>
      </c>
    </row>
    <row r="492" spans="2:10" x14ac:dyDescent="0.3">
      <c r="B492" s="648" t="s">
        <v>270</v>
      </c>
      <c r="C492" s="648">
        <v>2014</v>
      </c>
      <c r="D492" s="648" t="s">
        <v>51</v>
      </c>
      <c r="E492" s="648" t="s">
        <v>127</v>
      </c>
      <c r="F492" s="648" t="s">
        <v>307</v>
      </c>
      <c r="G492" s="648">
        <v>2</v>
      </c>
      <c r="H492" s="648">
        <v>19</v>
      </c>
      <c r="I492" s="648">
        <v>47000</v>
      </c>
      <c r="J492" s="648" t="s">
        <v>255</v>
      </c>
    </row>
    <row r="493" spans="2:10" x14ac:dyDescent="0.3">
      <c r="B493" s="648" t="s">
        <v>270</v>
      </c>
      <c r="C493" s="648">
        <v>2014</v>
      </c>
      <c r="D493" s="648" t="s">
        <v>51</v>
      </c>
      <c r="E493" s="648" t="s">
        <v>127</v>
      </c>
      <c r="F493" s="648" t="s">
        <v>307</v>
      </c>
      <c r="G493" s="648">
        <v>2</v>
      </c>
      <c r="H493" s="648">
        <v>20</v>
      </c>
      <c r="I493" s="648">
        <v>47000</v>
      </c>
      <c r="J493" s="648" t="s">
        <v>255</v>
      </c>
    </row>
    <row r="494" spans="2:10" x14ac:dyDescent="0.3">
      <c r="B494" s="648" t="s">
        <v>270</v>
      </c>
      <c r="C494" s="648">
        <v>2014</v>
      </c>
      <c r="D494" s="648" t="s">
        <v>51</v>
      </c>
      <c r="E494" s="648" t="s">
        <v>127</v>
      </c>
      <c r="F494" s="648" t="s">
        <v>307</v>
      </c>
      <c r="G494" s="648">
        <v>3</v>
      </c>
      <c r="H494" s="648">
        <v>11</v>
      </c>
      <c r="I494" s="648">
        <v>39500</v>
      </c>
      <c r="J494" s="648" t="s">
        <v>255</v>
      </c>
    </row>
    <row r="495" spans="2:10" x14ac:dyDescent="0.3">
      <c r="B495" s="648" t="s">
        <v>270</v>
      </c>
      <c r="C495" s="648">
        <v>2014</v>
      </c>
      <c r="D495" s="648" t="s">
        <v>51</v>
      </c>
      <c r="E495" s="648" t="s">
        <v>127</v>
      </c>
      <c r="F495" s="648" t="s">
        <v>307</v>
      </c>
      <c r="G495" s="648">
        <v>3</v>
      </c>
      <c r="H495" s="648">
        <v>12</v>
      </c>
      <c r="I495" s="648">
        <v>39500</v>
      </c>
      <c r="J495" s="648" t="s">
        <v>255</v>
      </c>
    </row>
    <row r="496" spans="2:10" x14ac:dyDescent="0.3">
      <c r="B496" s="648" t="s">
        <v>270</v>
      </c>
      <c r="C496" s="648">
        <v>2014</v>
      </c>
      <c r="D496" s="648" t="s">
        <v>51</v>
      </c>
      <c r="E496" s="648" t="s">
        <v>127</v>
      </c>
      <c r="F496" s="648" t="s">
        <v>307</v>
      </c>
      <c r="G496" s="648">
        <v>3</v>
      </c>
      <c r="H496" s="648">
        <v>13</v>
      </c>
      <c r="I496" s="648">
        <v>39500</v>
      </c>
      <c r="J496" s="648" t="s">
        <v>255</v>
      </c>
    </row>
    <row r="497" spans="2:10" x14ac:dyDescent="0.3">
      <c r="B497" s="648" t="s">
        <v>270</v>
      </c>
      <c r="C497" s="648">
        <v>2014</v>
      </c>
      <c r="D497" s="648" t="s">
        <v>51</v>
      </c>
      <c r="E497" s="648" t="s">
        <v>127</v>
      </c>
      <c r="F497" s="648" t="s">
        <v>307</v>
      </c>
      <c r="G497" s="648">
        <v>3</v>
      </c>
      <c r="H497" s="648">
        <v>14</v>
      </c>
      <c r="I497" s="648">
        <v>43500</v>
      </c>
      <c r="J497" s="648" t="s">
        <v>255</v>
      </c>
    </row>
    <row r="498" spans="2:10" x14ac:dyDescent="0.3">
      <c r="B498" s="648" t="s">
        <v>270</v>
      </c>
      <c r="C498" s="648">
        <v>2014</v>
      </c>
      <c r="D498" s="648" t="s">
        <v>51</v>
      </c>
      <c r="E498" s="648" t="s">
        <v>127</v>
      </c>
      <c r="F498" s="648" t="s">
        <v>307</v>
      </c>
      <c r="G498" s="648">
        <v>3</v>
      </c>
      <c r="H498" s="648">
        <v>15</v>
      </c>
      <c r="I498" s="648">
        <v>43500</v>
      </c>
      <c r="J498" s="648" t="s">
        <v>255</v>
      </c>
    </row>
    <row r="499" spans="2:10" x14ac:dyDescent="0.3">
      <c r="B499" s="648" t="s">
        <v>270</v>
      </c>
      <c r="C499" s="648">
        <v>2014</v>
      </c>
      <c r="D499" s="648" t="s">
        <v>51</v>
      </c>
      <c r="E499" s="648" t="s">
        <v>127</v>
      </c>
      <c r="F499" s="648" t="s">
        <v>307</v>
      </c>
      <c r="G499" s="648">
        <v>3</v>
      </c>
      <c r="H499" s="648">
        <v>16</v>
      </c>
      <c r="I499" s="648">
        <v>43500</v>
      </c>
      <c r="J499" s="648" t="s">
        <v>255</v>
      </c>
    </row>
    <row r="500" spans="2:10" x14ac:dyDescent="0.3">
      <c r="B500" s="648" t="s">
        <v>270</v>
      </c>
      <c r="C500" s="648">
        <v>2014</v>
      </c>
      <c r="D500" s="648" t="s">
        <v>51</v>
      </c>
      <c r="E500" s="648" t="s">
        <v>127</v>
      </c>
      <c r="F500" s="648" t="s">
        <v>307</v>
      </c>
      <c r="G500" s="648">
        <v>3</v>
      </c>
      <c r="H500" s="648">
        <v>17</v>
      </c>
      <c r="I500" s="648">
        <v>47000</v>
      </c>
      <c r="J500" s="648" t="s">
        <v>255</v>
      </c>
    </row>
    <row r="501" spans="2:10" x14ac:dyDescent="0.3">
      <c r="B501" s="648" t="s">
        <v>270</v>
      </c>
      <c r="C501" s="648">
        <v>2014</v>
      </c>
      <c r="D501" s="648" t="s">
        <v>51</v>
      </c>
      <c r="E501" s="648" t="s">
        <v>127</v>
      </c>
      <c r="F501" s="648" t="s">
        <v>307</v>
      </c>
      <c r="G501" s="648">
        <v>3</v>
      </c>
      <c r="H501" s="648">
        <v>18</v>
      </c>
      <c r="I501" s="648">
        <v>47000</v>
      </c>
      <c r="J501" s="648" t="s">
        <v>255</v>
      </c>
    </row>
    <row r="502" spans="2:10" x14ac:dyDescent="0.3">
      <c r="B502" s="648" t="s">
        <v>270</v>
      </c>
      <c r="C502" s="648">
        <v>2014</v>
      </c>
      <c r="D502" s="648" t="s">
        <v>51</v>
      </c>
      <c r="E502" s="648" t="s">
        <v>127</v>
      </c>
      <c r="F502" s="648" t="s">
        <v>307</v>
      </c>
      <c r="G502" s="648">
        <v>3</v>
      </c>
      <c r="H502" s="648">
        <v>19</v>
      </c>
      <c r="I502" s="648">
        <v>47000</v>
      </c>
      <c r="J502" s="648" t="s">
        <v>255</v>
      </c>
    </row>
    <row r="503" spans="2:10" x14ac:dyDescent="0.3">
      <c r="B503" s="648" t="s">
        <v>270</v>
      </c>
      <c r="C503" s="648">
        <v>2014</v>
      </c>
      <c r="D503" s="648" t="s">
        <v>51</v>
      </c>
      <c r="E503" s="648" t="s">
        <v>127</v>
      </c>
      <c r="F503" s="648" t="s">
        <v>307</v>
      </c>
      <c r="G503" s="648">
        <v>3</v>
      </c>
      <c r="H503" s="648">
        <v>20</v>
      </c>
      <c r="I503" s="648">
        <v>47000</v>
      </c>
      <c r="J503" s="648" t="s">
        <v>255</v>
      </c>
    </row>
    <row r="504" spans="2:10" x14ac:dyDescent="0.3">
      <c r="B504" s="648" t="s">
        <v>270</v>
      </c>
      <c r="C504" s="648">
        <v>2014</v>
      </c>
      <c r="D504" s="648" t="s">
        <v>51</v>
      </c>
      <c r="E504" s="648" t="s">
        <v>52</v>
      </c>
      <c r="F504" s="648" t="s">
        <v>306</v>
      </c>
      <c r="G504" s="648">
        <v>2</v>
      </c>
      <c r="H504" s="648">
        <v>10</v>
      </c>
      <c r="I504" s="648">
        <v>56500</v>
      </c>
      <c r="J504" s="648" t="s">
        <v>255</v>
      </c>
    </row>
    <row r="505" spans="2:10" x14ac:dyDescent="0.3">
      <c r="B505" s="648" t="s">
        <v>270</v>
      </c>
      <c r="C505" s="648">
        <v>2014</v>
      </c>
      <c r="D505" s="648" t="s">
        <v>51</v>
      </c>
      <c r="E505" s="648" t="s">
        <v>52</v>
      </c>
      <c r="F505" s="648" t="s">
        <v>306</v>
      </c>
      <c r="G505" s="648">
        <v>2</v>
      </c>
      <c r="H505" s="648">
        <v>11</v>
      </c>
      <c r="I505" s="648">
        <v>56500</v>
      </c>
      <c r="J505" s="648" t="s">
        <v>255</v>
      </c>
    </row>
    <row r="506" spans="2:10" x14ac:dyDescent="0.3">
      <c r="B506" s="648" t="s">
        <v>270</v>
      </c>
      <c r="C506" s="648">
        <v>2014</v>
      </c>
      <c r="D506" s="648" t="s">
        <v>51</v>
      </c>
      <c r="E506" s="648" t="s">
        <v>52</v>
      </c>
      <c r="F506" s="648" t="s">
        <v>306</v>
      </c>
      <c r="G506" s="648">
        <v>2</v>
      </c>
      <c r="H506" s="648">
        <v>12</v>
      </c>
      <c r="I506" s="648">
        <v>56500</v>
      </c>
      <c r="J506" s="648" t="s">
        <v>255</v>
      </c>
    </row>
    <row r="507" spans="2:10" x14ac:dyDescent="0.3">
      <c r="B507" s="648" t="s">
        <v>270</v>
      </c>
      <c r="C507" s="648">
        <v>2014</v>
      </c>
      <c r="D507" s="648" t="s">
        <v>51</v>
      </c>
      <c r="E507" s="648" t="s">
        <v>52</v>
      </c>
      <c r="F507" s="648" t="s">
        <v>306</v>
      </c>
      <c r="G507" s="648">
        <v>2</v>
      </c>
      <c r="H507" s="648">
        <v>13</v>
      </c>
      <c r="I507" s="648">
        <v>56500</v>
      </c>
      <c r="J507" s="648" t="s">
        <v>255</v>
      </c>
    </row>
    <row r="508" spans="2:10" x14ac:dyDescent="0.3">
      <c r="B508" s="648" t="s">
        <v>270</v>
      </c>
      <c r="C508" s="648">
        <v>2014</v>
      </c>
      <c r="D508" s="648" t="s">
        <v>51</v>
      </c>
      <c r="E508" s="648" t="s">
        <v>52</v>
      </c>
      <c r="F508" s="648" t="s">
        <v>306</v>
      </c>
      <c r="G508" s="648">
        <v>2</v>
      </c>
      <c r="H508" s="648">
        <v>14</v>
      </c>
      <c r="I508" s="648">
        <v>56500</v>
      </c>
      <c r="J508" s="648" t="s">
        <v>255</v>
      </c>
    </row>
    <row r="509" spans="2:10" x14ac:dyDescent="0.3">
      <c r="B509" s="648" t="s">
        <v>270</v>
      </c>
      <c r="C509" s="648">
        <v>2014</v>
      </c>
      <c r="D509" s="648" t="s">
        <v>51</v>
      </c>
      <c r="E509" s="648" t="s">
        <v>52</v>
      </c>
      <c r="F509" s="648" t="s">
        <v>306</v>
      </c>
      <c r="G509" s="648">
        <v>2</v>
      </c>
      <c r="H509" s="648">
        <v>15</v>
      </c>
      <c r="I509" s="648">
        <v>56500</v>
      </c>
      <c r="J509" s="648" t="s">
        <v>255</v>
      </c>
    </row>
    <row r="510" spans="2:10" x14ac:dyDescent="0.3">
      <c r="B510" s="648" t="s">
        <v>270</v>
      </c>
      <c r="C510" s="648">
        <v>2014</v>
      </c>
      <c r="D510" s="648" t="s">
        <v>51</v>
      </c>
      <c r="E510" s="648" t="s">
        <v>52</v>
      </c>
      <c r="F510" s="648" t="s">
        <v>306</v>
      </c>
      <c r="G510" s="648">
        <v>2</v>
      </c>
      <c r="H510" s="648">
        <v>16</v>
      </c>
      <c r="I510" s="648">
        <v>58500</v>
      </c>
      <c r="J510" s="648" t="s">
        <v>255</v>
      </c>
    </row>
    <row r="511" spans="2:10" x14ac:dyDescent="0.3">
      <c r="B511" s="648" t="s">
        <v>270</v>
      </c>
      <c r="C511" s="648">
        <v>2014</v>
      </c>
      <c r="D511" s="648" t="s">
        <v>51</v>
      </c>
      <c r="E511" s="648" t="s">
        <v>52</v>
      </c>
      <c r="F511" s="648" t="s">
        <v>306</v>
      </c>
      <c r="G511" s="648">
        <v>2</v>
      </c>
      <c r="H511" s="648">
        <v>17</v>
      </c>
      <c r="I511" s="648">
        <v>58500</v>
      </c>
      <c r="J511" s="648" t="s">
        <v>255</v>
      </c>
    </row>
    <row r="512" spans="2:10" x14ac:dyDescent="0.3">
      <c r="B512" s="648" t="s">
        <v>270</v>
      </c>
      <c r="C512" s="648">
        <v>2014</v>
      </c>
      <c r="D512" s="648" t="s">
        <v>51</v>
      </c>
      <c r="E512" s="648" t="s">
        <v>52</v>
      </c>
      <c r="F512" s="648" t="s">
        <v>306</v>
      </c>
      <c r="G512" s="648">
        <v>2</v>
      </c>
      <c r="H512" s="648">
        <v>18</v>
      </c>
      <c r="I512" s="648">
        <v>58500</v>
      </c>
      <c r="J512" s="648" t="s">
        <v>255</v>
      </c>
    </row>
    <row r="513" spans="2:10" x14ac:dyDescent="0.3">
      <c r="B513" s="648" t="s">
        <v>270</v>
      </c>
      <c r="C513" s="648">
        <v>2014</v>
      </c>
      <c r="D513" s="648" t="s">
        <v>51</v>
      </c>
      <c r="E513" s="648" t="s">
        <v>52</v>
      </c>
      <c r="F513" s="648" t="s">
        <v>306</v>
      </c>
      <c r="G513" s="648">
        <v>2</v>
      </c>
      <c r="H513" s="648">
        <v>19</v>
      </c>
      <c r="I513" s="648">
        <v>58500</v>
      </c>
      <c r="J513" s="648" t="s">
        <v>255</v>
      </c>
    </row>
    <row r="514" spans="2:10" x14ac:dyDescent="0.3">
      <c r="B514" s="648" t="s">
        <v>270</v>
      </c>
      <c r="C514" s="648">
        <v>2014</v>
      </c>
      <c r="D514" s="648" t="s">
        <v>51</v>
      </c>
      <c r="E514" s="648" t="s">
        <v>52</v>
      </c>
      <c r="F514" s="648" t="s">
        <v>306</v>
      </c>
      <c r="G514" s="648">
        <v>2</v>
      </c>
      <c r="H514" s="648">
        <v>20</v>
      </c>
      <c r="I514" s="648">
        <v>58500</v>
      </c>
      <c r="J514" s="648" t="s">
        <v>255</v>
      </c>
    </row>
    <row r="515" spans="2:10" x14ac:dyDescent="0.3">
      <c r="B515" s="648" t="s">
        <v>328</v>
      </c>
      <c r="C515" s="648">
        <v>2015</v>
      </c>
      <c r="D515" s="648" t="s">
        <v>53</v>
      </c>
      <c r="E515" s="648" t="s">
        <v>125</v>
      </c>
      <c r="F515" s="648" t="s">
        <v>307</v>
      </c>
      <c r="G515" s="648">
        <v>2</v>
      </c>
      <c r="H515" s="648">
        <v>1</v>
      </c>
      <c r="I515" s="648">
        <v>43500</v>
      </c>
      <c r="J515" s="648" t="s">
        <v>255</v>
      </c>
    </row>
    <row r="516" spans="2:10" x14ac:dyDescent="0.3">
      <c r="B516" s="648" t="s">
        <v>328</v>
      </c>
      <c r="C516" s="648">
        <v>2015</v>
      </c>
      <c r="D516" s="648" t="s">
        <v>53</v>
      </c>
      <c r="E516" s="648" t="s">
        <v>125</v>
      </c>
      <c r="F516" s="648" t="s">
        <v>307</v>
      </c>
      <c r="G516" s="648">
        <v>2</v>
      </c>
      <c r="H516" s="648">
        <v>2</v>
      </c>
      <c r="I516" s="648">
        <v>43500</v>
      </c>
      <c r="J516" s="648" t="s">
        <v>255</v>
      </c>
    </row>
    <row r="517" spans="2:10" x14ac:dyDescent="0.3">
      <c r="B517" s="648" t="s">
        <v>328</v>
      </c>
      <c r="C517" s="648">
        <v>2015</v>
      </c>
      <c r="D517" s="648" t="s">
        <v>53</v>
      </c>
      <c r="E517" s="648" t="s">
        <v>125</v>
      </c>
      <c r="F517" s="648" t="s">
        <v>307</v>
      </c>
      <c r="G517" s="648">
        <v>2</v>
      </c>
      <c r="H517" s="648">
        <v>3</v>
      </c>
      <c r="I517" s="648">
        <v>43500</v>
      </c>
      <c r="J517" s="648" t="s">
        <v>255</v>
      </c>
    </row>
    <row r="518" spans="2:10" x14ac:dyDescent="0.3">
      <c r="B518" s="648" t="s">
        <v>328</v>
      </c>
      <c r="C518" s="648">
        <v>2015</v>
      </c>
      <c r="D518" s="648" t="s">
        <v>53</v>
      </c>
      <c r="E518" s="648" t="s">
        <v>125</v>
      </c>
      <c r="F518" s="648" t="s">
        <v>307</v>
      </c>
      <c r="G518" s="648">
        <v>2</v>
      </c>
      <c r="H518" s="648">
        <v>4</v>
      </c>
      <c r="I518" s="648">
        <v>43500</v>
      </c>
      <c r="J518" s="648" t="s">
        <v>255</v>
      </c>
    </row>
    <row r="519" spans="2:10" x14ac:dyDescent="0.3">
      <c r="B519" s="648" t="s">
        <v>328</v>
      </c>
      <c r="C519" s="648">
        <v>2015</v>
      </c>
      <c r="D519" s="648" t="s">
        <v>53</v>
      </c>
      <c r="E519" s="648" t="s">
        <v>125</v>
      </c>
      <c r="F519" s="648" t="s">
        <v>307</v>
      </c>
      <c r="G519" s="648">
        <v>2</v>
      </c>
      <c r="H519" s="648">
        <v>5</v>
      </c>
      <c r="I519" s="648">
        <v>43500</v>
      </c>
      <c r="J519" s="648" t="s">
        <v>255</v>
      </c>
    </row>
    <row r="520" spans="2:10" x14ac:dyDescent="0.3">
      <c r="B520" s="648" t="s">
        <v>328</v>
      </c>
      <c r="C520" s="648">
        <v>2015</v>
      </c>
      <c r="D520" s="648" t="s">
        <v>53</v>
      </c>
      <c r="E520" s="648" t="s">
        <v>125</v>
      </c>
      <c r="F520" s="648" t="s">
        <v>307</v>
      </c>
      <c r="G520" s="648">
        <v>2</v>
      </c>
      <c r="H520" s="648">
        <v>6</v>
      </c>
      <c r="I520" s="648">
        <v>45000</v>
      </c>
      <c r="J520" s="648" t="s">
        <v>255</v>
      </c>
    </row>
    <row r="521" spans="2:10" x14ac:dyDescent="0.3">
      <c r="B521" s="648" t="s">
        <v>328</v>
      </c>
      <c r="C521" s="648">
        <v>2015</v>
      </c>
      <c r="D521" s="648" t="s">
        <v>53</v>
      </c>
      <c r="E521" s="648" t="s">
        <v>125</v>
      </c>
      <c r="F521" s="648" t="s">
        <v>307</v>
      </c>
      <c r="G521" s="648">
        <v>2</v>
      </c>
      <c r="H521" s="648">
        <v>7</v>
      </c>
      <c r="I521" s="648">
        <v>45000</v>
      </c>
      <c r="J521" s="648" t="s">
        <v>255</v>
      </c>
    </row>
    <row r="522" spans="2:10" x14ac:dyDescent="0.3">
      <c r="B522" s="648" t="s">
        <v>328</v>
      </c>
      <c r="C522" s="648">
        <v>2015</v>
      </c>
      <c r="D522" s="648" t="s">
        <v>53</v>
      </c>
      <c r="E522" s="648" t="s">
        <v>125</v>
      </c>
      <c r="F522" s="648" t="s">
        <v>307</v>
      </c>
      <c r="G522" s="648">
        <v>2</v>
      </c>
      <c r="H522" s="648">
        <v>8</v>
      </c>
      <c r="I522" s="648">
        <v>45000</v>
      </c>
      <c r="J522" s="648" t="s">
        <v>255</v>
      </c>
    </row>
    <row r="523" spans="2:10" x14ac:dyDescent="0.3">
      <c r="B523" s="648" t="s">
        <v>328</v>
      </c>
      <c r="C523" s="648">
        <v>2015</v>
      </c>
      <c r="D523" s="648" t="s">
        <v>53</v>
      </c>
      <c r="E523" s="648" t="s">
        <v>125</v>
      </c>
      <c r="F523" s="648" t="s">
        <v>307</v>
      </c>
      <c r="G523" s="648">
        <v>2</v>
      </c>
      <c r="H523" s="648">
        <v>9</v>
      </c>
      <c r="I523" s="648">
        <v>45000</v>
      </c>
      <c r="J523" s="648" t="s">
        <v>255</v>
      </c>
    </row>
    <row r="524" spans="2:10" x14ac:dyDescent="0.3">
      <c r="B524" s="648" t="s">
        <v>353</v>
      </c>
      <c r="C524" s="648">
        <v>2015</v>
      </c>
      <c r="D524" s="648" t="s">
        <v>53</v>
      </c>
      <c r="E524" s="648" t="s">
        <v>71</v>
      </c>
      <c r="F524" s="648" t="s">
        <v>71</v>
      </c>
      <c r="G524" s="648">
        <v>5</v>
      </c>
      <c r="H524" s="648">
        <v>10</v>
      </c>
      <c r="I524" s="648">
        <v>59000</v>
      </c>
      <c r="J524" s="648" t="s">
        <v>280</v>
      </c>
    </row>
    <row r="525" spans="2:10" x14ac:dyDescent="0.3">
      <c r="B525" s="648" t="s">
        <v>353</v>
      </c>
      <c r="C525" s="648">
        <v>2015</v>
      </c>
      <c r="D525" s="648" t="s">
        <v>53</v>
      </c>
      <c r="E525" s="648" t="s">
        <v>71</v>
      </c>
      <c r="F525" s="648" t="s">
        <v>71</v>
      </c>
      <c r="G525" s="648">
        <v>5</v>
      </c>
      <c r="H525" s="648">
        <v>11</v>
      </c>
      <c r="I525" s="648">
        <v>59000</v>
      </c>
      <c r="J525" s="648" t="s">
        <v>280</v>
      </c>
    </row>
    <row r="526" spans="2:10" x14ac:dyDescent="0.3">
      <c r="B526" s="648" t="s">
        <v>353</v>
      </c>
      <c r="C526" s="648">
        <v>2015</v>
      </c>
      <c r="D526" s="648" t="s">
        <v>53</v>
      </c>
      <c r="E526" s="648" t="s">
        <v>71</v>
      </c>
      <c r="F526" s="648" t="s">
        <v>71</v>
      </c>
      <c r="G526" s="648">
        <v>5</v>
      </c>
      <c r="H526" s="648">
        <v>12</v>
      </c>
      <c r="I526" s="648">
        <v>59000</v>
      </c>
      <c r="J526" s="648" t="s">
        <v>280</v>
      </c>
    </row>
    <row r="527" spans="2:10" x14ac:dyDescent="0.3">
      <c r="B527" s="648" t="s">
        <v>353</v>
      </c>
      <c r="C527" s="648">
        <v>2015</v>
      </c>
      <c r="D527" s="648" t="s">
        <v>53</v>
      </c>
      <c r="E527" s="648" t="s">
        <v>71</v>
      </c>
      <c r="F527" s="648" t="s">
        <v>71</v>
      </c>
      <c r="G527" s="648">
        <v>5</v>
      </c>
      <c r="H527" s="648">
        <v>13</v>
      </c>
      <c r="I527" s="648">
        <v>64000</v>
      </c>
      <c r="J527" s="648" t="s">
        <v>280</v>
      </c>
    </row>
    <row r="528" spans="2:10" x14ac:dyDescent="0.3">
      <c r="B528" s="648" t="s">
        <v>353</v>
      </c>
      <c r="C528" s="648">
        <v>2015</v>
      </c>
      <c r="D528" s="648" t="s">
        <v>53</v>
      </c>
      <c r="E528" s="648" t="s">
        <v>71</v>
      </c>
      <c r="F528" s="648" t="s">
        <v>71</v>
      </c>
      <c r="G528" s="648">
        <v>5</v>
      </c>
      <c r="H528" s="648">
        <v>14</v>
      </c>
      <c r="I528" s="648">
        <v>64000</v>
      </c>
      <c r="J528" s="648" t="s">
        <v>280</v>
      </c>
    </row>
    <row r="529" spans="2:10" x14ac:dyDescent="0.3">
      <c r="B529" s="648" t="s">
        <v>353</v>
      </c>
      <c r="C529" s="648">
        <v>2015</v>
      </c>
      <c r="D529" s="648" t="s">
        <v>53</v>
      </c>
      <c r="E529" s="648" t="s">
        <v>71</v>
      </c>
      <c r="F529" s="648" t="s">
        <v>71</v>
      </c>
      <c r="G529" s="648">
        <v>5</v>
      </c>
      <c r="H529" s="648">
        <v>15</v>
      </c>
      <c r="I529" s="648">
        <v>64000</v>
      </c>
      <c r="J529" s="648" t="s">
        <v>280</v>
      </c>
    </row>
    <row r="530" spans="2:10" x14ac:dyDescent="0.3">
      <c r="B530" s="648" t="s">
        <v>353</v>
      </c>
      <c r="C530" s="648">
        <v>2015</v>
      </c>
      <c r="D530" s="648" t="s">
        <v>53</v>
      </c>
      <c r="E530" s="648" t="s">
        <v>71</v>
      </c>
      <c r="F530" s="648" t="s">
        <v>71</v>
      </c>
      <c r="G530" s="648">
        <v>5</v>
      </c>
      <c r="H530" s="648">
        <v>16</v>
      </c>
      <c r="I530" s="648">
        <v>64000</v>
      </c>
      <c r="J530" s="648" t="s">
        <v>280</v>
      </c>
    </row>
    <row r="531" spans="2:10" x14ac:dyDescent="0.3">
      <c r="B531" s="648" t="s">
        <v>353</v>
      </c>
      <c r="C531" s="648">
        <v>2015</v>
      </c>
      <c r="D531" s="648" t="s">
        <v>53</v>
      </c>
      <c r="E531" s="648" t="s">
        <v>71</v>
      </c>
      <c r="F531" s="648" t="s">
        <v>71</v>
      </c>
      <c r="G531" s="648">
        <v>5</v>
      </c>
      <c r="H531" s="648">
        <v>17</v>
      </c>
      <c r="I531" s="648">
        <v>69000</v>
      </c>
      <c r="J531" s="648" t="s">
        <v>280</v>
      </c>
    </row>
    <row r="532" spans="2:10" x14ac:dyDescent="0.3">
      <c r="B532" s="648" t="s">
        <v>353</v>
      </c>
      <c r="C532" s="648">
        <v>2015</v>
      </c>
      <c r="D532" s="648" t="s">
        <v>53</v>
      </c>
      <c r="E532" s="648" t="s">
        <v>71</v>
      </c>
      <c r="F532" s="648" t="s">
        <v>71</v>
      </c>
      <c r="G532" s="648">
        <v>5</v>
      </c>
      <c r="H532" s="648">
        <v>18</v>
      </c>
      <c r="I532" s="648">
        <v>69000</v>
      </c>
      <c r="J532" s="648" t="s">
        <v>280</v>
      </c>
    </row>
    <row r="533" spans="2:10" x14ac:dyDescent="0.3">
      <c r="B533" s="648" t="s">
        <v>353</v>
      </c>
      <c r="C533" s="648">
        <v>2015</v>
      </c>
      <c r="D533" s="648" t="s">
        <v>53</v>
      </c>
      <c r="E533" s="648" t="s">
        <v>71</v>
      </c>
      <c r="F533" s="648" t="s">
        <v>71</v>
      </c>
      <c r="G533" s="648">
        <v>5</v>
      </c>
      <c r="H533" s="648">
        <v>19</v>
      </c>
      <c r="I533" s="648">
        <v>69000</v>
      </c>
      <c r="J533" s="648" t="s">
        <v>280</v>
      </c>
    </row>
    <row r="534" spans="2:10" x14ac:dyDescent="0.3">
      <c r="B534" s="648" t="s">
        <v>353</v>
      </c>
      <c r="C534" s="648">
        <v>2015</v>
      </c>
      <c r="D534" s="648" t="s">
        <v>53</v>
      </c>
      <c r="E534" s="648" t="s">
        <v>71</v>
      </c>
      <c r="F534" s="648" t="s">
        <v>71</v>
      </c>
      <c r="G534" s="648">
        <v>5</v>
      </c>
      <c r="H534" s="648">
        <v>20</v>
      </c>
      <c r="I534" s="648">
        <v>69000</v>
      </c>
      <c r="J534" s="648" t="s">
        <v>280</v>
      </c>
    </row>
    <row r="535" spans="2:10" x14ac:dyDescent="0.3">
      <c r="B535" s="648" t="s">
        <v>314</v>
      </c>
      <c r="C535" s="648">
        <v>2016</v>
      </c>
      <c r="D535" s="648" t="s">
        <v>51</v>
      </c>
      <c r="E535" s="648" t="s">
        <v>127</v>
      </c>
      <c r="F535" s="648" t="s">
        <v>307</v>
      </c>
      <c r="G535" s="648">
        <v>6</v>
      </c>
      <c r="H535" s="648">
        <v>15</v>
      </c>
      <c r="I535" s="648">
        <v>41800</v>
      </c>
      <c r="J535" s="648" t="s">
        <v>280</v>
      </c>
    </row>
    <row r="536" spans="2:10" x14ac:dyDescent="0.3">
      <c r="B536" s="648" t="s">
        <v>314</v>
      </c>
      <c r="C536" s="648">
        <v>2016</v>
      </c>
      <c r="D536" s="648" t="s">
        <v>51</v>
      </c>
      <c r="E536" s="648" t="s">
        <v>127</v>
      </c>
      <c r="F536" s="648" t="s">
        <v>307</v>
      </c>
      <c r="G536" s="648">
        <v>6</v>
      </c>
      <c r="H536" s="648">
        <v>16</v>
      </c>
      <c r="I536" s="648">
        <v>41800</v>
      </c>
      <c r="J536" s="648" t="s">
        <v>280</v>
      </c>
    </row>
    <row r="537" spans="2:10" x14ac:dyDescent="0.3">
      <c r="B537" s="648" t="s">
        <v>314</v>
      </c>
      <c r="C537" s="648">
        <v>2016</v>
      </c>
      <c r="D537" s="648" t="s">
        <v>51</v>
      </c>
      <c r="E537" s="648" t="s">
        <v>127</v>
      </c>
      <c r="F537" s="648" t="s">
        <v>307</v>
      </c>
      <c r="G537" s="648">
        <v>6</v>
      </c>
      <c r="H537" s="648">
        <v>17</v>
      </c>
      <c r="I537" s="648">
        <v>41800</v>
      </c>
      <c r="J537" s="648" t="s">
        <v>280</v>
      </c>
    </row>
    <row r="538" spans="2:10" x14ac:dyDescent="0.3">
      <c r="B538" s="648" t="s">
        <v>314</v>
      </c>
      <c r="C538" s="648">
        <v>2016</v>
      </c>
      <c r="D538" s="648" t="s">
        <v>51</v>
      </c>
      <c r="E538" s="648" t="s">
        <v>127</v>
      </c>
      <c r="F538" s="648" t="s">
        <v>307</v>
      </c>
      <c r="G538" s="648">
        <v>6</v>
      </c>
      <c r="H538" s="648">
        <v>18</v>
      </c>
      <c r="I538" s="648">
        <v>41800</v>
      </c>
      <c r="J538" s="648" t="s">
        <v>280</v>
      </c>
    </row>
    <row r="539" spans="2:10" x14ac:dyDescent="0.3">
      <c r="B539" s="648" t="s">
        <v>314</v>
      </c>
      <c r="C539" s="648">
        <v>2016</v>
      </c>
      <c r="D539" s="648" t="s">
        <v>51</v>
      </c>
      <c r="E539" s="648" t="s">
        <v>127</v>
      </c>
      <c r="F539" s="648" t="s">
        <v>307</v>
      </c>
      <c r="G539" s="648">
        <v>6</v>
      </c>
      <c r="H539" s="648">
        <v>19</v>
      </c>
      <c r="I539" s="648">
        <v>41800</v>
      </c>
      <c r="J539" s="648" t="s">
        <v>280</v>
      </c>
    </row>
    <row r="540" spans="2:10" x14ac:dyDescent="0.3">
      <c r="B540" s="648" t="s">
        <v>314</v>
      </c>
      <c r="C540" s="648">
        <v>2016</v>
      </c>
      <c r="D540" s="648" t="s">
        <v>51</v>
      </c>
      <c r="E540" s="648" t="s">
        <v>127</v>
      </c>
      <c r="F540" s="648" t="s">
        <v>307</v>
      </c>
      <c r="G540" s="648">
        <v>6</v>
      </c>
      <c r="H540" s="648">
        <v>20</v>
      </c>
      <c r="I540" s="648">
        <v>41800</v>
      </c>
      <c r="J540" s="648" t="s">
        <v>280</v>
      </c>
    </row>
    <row r="541" spans="2:10" x14ac:dyDescent="0.3">
      <c r="B541" s="648" t="s">
        <v>354</v>
      </c>
      <c r="C541" s="648">
        <v>2016</v>
      </c>
      <c r="D541" s="648" t="s">
        <v>53</v>
      </c>
      <c r="E541" s="648" t="s">
        <v>128</v>
      </c>
      <c r="F541" s="648" t="s">
        <v>307</v>
      </c>
      <c r="G541" s="648">
        <v>4</v>
      </c>
      <c r="H541" s="648">
        <v>10</v>
      </c>
      <c r="I541" s="648">
        <v>39500</v>
      </c>
      <c r="J541" s="648" t="s">
        <v>280</v>
      </c>
    </row>
    <row r="542" spans="2:10" x14ac:dyDescent="0.3">
      <c r="B542" s="648" t="s">
        <v>354</v>
      </c>
      <c r="C542" s="648">
        <v>2016</v>
      </c>
      <c r="D542" s="648" t="s">
        <v>53</v>
      </c>
      <c r="E542" s="648" t="s">
        <v>128</v>
      </c>
      <c r="F542" s="648" t="s">
        <v>307</v>
      </c>
      <c r="G542" s="648">
        <v>4</v>
      </c>
      <c r="H542" s="648">
        <v>11</v>
      </c>
      <c r="I542" s="648">
        <v>39500</v>
      </c>
      <c r="J542" s="648" t="s">
        <v>280</v>
      </c>
    </row>
    <row r="543" spans="2:10" x14ac:dyDescent="0.3">
      <c r="B543" s="648" t="s">
        <v>354</v>
      </c>
      <c r="C543" s="648">
        <v>2016</v>
      </c>
      <c r="D543" s="648" t="s">
        <v>53</v>
      </c>
      <c r="E543" s="648" t="s">
        <v>128</v>
      </c>
      <c r="F543" s="648" t="s">
        <v>307</v>
      </c>
      <c r="G543" s="648">
        <v>4</v>
      </c>
      <c r="H543" s="648">
        <v>12</v>
      </c>
      <c r="I543" s="648">
        <v>39500</v>
      </c>
      <c r="J543" s="648" t="s">
        <v>280</v>
      </c>
    </row>
    <row r="544" spans="2:10" x14ac:dyDescent="0.3">
      <c r="B544" s="648" t="s">
        <v>354</v>
      </c>
      <c r="C544" s="648">
        <v>2016</v>
      </c>
      <c r="D544" s="648" t="s">
        <v>53</v>
      </c>
      <c r="E544" s="648" t="s">
        <v>128</v>
      </c>
      <c r="F544" s="648" t="s">
        <v>307</v>
      </c>
      <c r="G544" s="648">
        <v>4</v>
      </c>
      <c r="H544" s="648">
        <v>13</v>
      </c>
      <c r="I544" s="648">
        <v>42500</v>
      </c>
      <c r="J544" s="648" t="s">
        <v>280</v>
      </c>
    </row>
    <row r="545" spans="2:10" x14ac:dyDescent="0.3">
      <c r="B545" s="648" t="s">
        <v>354</v>
      </c>
      <c r="C545" s="648">
        <v>2016</v>
      </c>
      <c r="D545" s="648" t="s">
        <v>53</v>
      </c>
      <c r="E545" s="648" t="s">
        <v>128</v>
      </c>
      <c r="F545" s="648" t="s">
        <v>307</v>
      </c>
      <c r="G545" s="648">
        <v>4</v>
      </c>
      <c r="H545" s="648">
        <v>14</v>
      </c>
      <c r="I545" s="648">
        <v>42500</v>
      </c>
      <c r="J545" s="648" t="s">
        <v>280</v>
      </c>
    </row>
    <row r="546" spans="2:10" x14ac:dyDescent="0.3">
      <c r="B546" s="648" t="s">
        <v>354</v>
      </c>
      <c r="C546" s="648">
        <v>2016</v>
      </c>
      <c r="D546" s="648" t="s">
        <v>53</v>
      </c>
      <c r="E546" s="648" t="s">
        <v>128</v>
      </c>
      <c r="F546" s="648" t="s">
        <v>307</v>
      </c>
      <c r="G546" s="648">
        <v>4</v>
      </c>
      <c r="H546" s="648">
        <v>15</v>
      </c>
      <c r="I546" s="648">
        <v>42500</v>
      </c>
      <c r="J546" s="648" t="s">
        <v>280</v>
      </c>
    </row>
    <row r="547" spans="2:10" x14ac:dyDescent="0.3">
      <c r="B547" s="648" t="s">
        <v>354</v>
      </c>
      <c r="C547" s="648">
        <v>2016</v>
      </c>
      <c r="D547" s="648" t="s">
        <v>53</v>
      </c>
      <c r="E547" s="648" t="s">
        <v>128</v>
      </c>
      <c r="F547" s="648" t="s">
        <v>307</v>
      </c>
      <c r="G547" s="648">
        <v>4</v>
      </c>
      <c r="H547" s="648">
        <v>16</v>
      </c>
      <c r="I547" s="648">
        <v>46000</v>
      </c>
      <c r="J547" s="648" t="s">
        <v>280</v>
      </c>
    </row>
    <row r="548" spans="2:10" x14ac:dyDescent="0.3">
      <c r="B548" s="648" t="s">
        <v>354</v>
      </c>
      <c r="C548" s="648">
        <v>2016</v>
      </c>
      <c r="D548" s="648" t="s">
        <v>53</v>
      </c>
      <c r="E548" s="648" t="s">
        <v>128</v>
      </c>
      <c r="F548" s="648" t="s">
        <v>307</v>
      </c>
      <c r="G548" s="648">
        <v>4</v>
      </c>
      <c r="H548" s="648">
        <v>17</v>
      </c>
      <c r="I548" s="648">
        <v>46000</v>
      </c>
      <c r="J548" s="648" t="s">
        <v>280</v>
      </c>
    </row>
    <row r="549" spans="2:10" x14ac:dyDescent="0.3">
      <c r="B549" s="648" t="s">
        <v>354</v>
      </c>
      <c r="C549" s="648">
        <v>2016</v>
      </c>
      <c r="D549" s="648" t="s">
        <v>53</v>
      </c>
      <c r="E549" s="648" t="s">
        <v>128</v>
      </c>
      <c r="F549" s="648" t="s">
        <v>307</v>
      </c>
      <c r="G549" s="648">
        <v>4</v>
      </c>
      <c r="H549" s="648">
        <v>18</v>
      </c>
      <c r="I549" s="648">
        <v>46000</v>
      </c>
      <c r="J549" s="648" t="s">
        <v>280</v>
      </c>
    </row>
    <row r="550" spans="2:10" x14ac:dyDescent="0.3">
      <c r="B550" s="648" t="s">
        <v>354</v>
      </c>
      <c r="C550" s="648">
        <v>2016</v>
      </c>
      <c r="D550" s="648" t="s">
        <v>53</v>
      </c>
      <c r="E550" s="648" t="s">
        <v>128</v>
      </c>
      <c r="F550" s="648" t="s">
        <v>307</v>
      </c>
      <c r="G550" s="648">
        <v>4</v>
      </c>
      <c r="H550" s="648">
        <v>19</v>
      </c>
      <c r="I550" s="648">
        <v>48500</v>
      </c>
      <c r="J550" s="648" t="s">
        <v>280</v>
      </c>
    </row>
    <row r="551" spans="2:10" x14ac:dyDescent="0.3">
      <c r="B551" s="648" t="s">
        <v>354</v>
      </c>
      <c r="C551" s="648">
        <v>2016</v>
      </c>
      <c r="D551" s="648" t="s">
        <v>53</v>
      </c>
      <c r="E551" s="648" t="s">
        <v>128</v>
      </c>
      <c r="F551" s="648" t="s">
        <v>307</v>
      </c>
      <c r="G551" s="648">
        <v>4</v>
      </c>
      <c r="H551" s="648">
        <v>20</v>
      </c>
      <c r="I551" s="648">
        <v>48500</v>
      </c>
      <c r="J551" s="648" t="s">
        <v>280</v>
      </c>
    </row>
    <row r="552" spans="2:10" x14ac:dyDescent="0.3">
      <c r="B552" s="648" t="s">
        <v>329</v>
      </c>
      <c r="C552" s="648">
        <v>2016</v>
      </c>
      <c r="D552" s="648" t="s">
        <v>51</v>
      </c>
      <c r="E552" s="648" t="s">
        <v>127</v>
      </c>
      <c r="F552" s="648" t="s">
        <v>307</v>
      </c>
      <c r="G552" s="648">
        <v>2</v>
      </c>
      <c r="H552" s="648">
        <v>13</v>
      </c>
      <c r="I552" s="648">
        <v>42500</v>
      </c>
      <c r="J552" s="648" t="s">
        <v>255</v>
      </c>
    </row>
    <row r="553" spans="2:10" x14ac:dyDescent="0.3">
      <c r="B553" s="648" t="s">
        <v>329</v>
      </c>
      <c r="C553" s="648">
        <v>2016</v>
      </c>
      <c r="D553" s="648" t="s">
        <v>51</v>
      </c>
      <c r="E553" s="648" t="s">
        <v>127</v>
      </c>
      <c r="F553" s="648" t="s">
        <v>307</v>
      </c>
      <c r="G553" s="648">
        <v>2</v>
      </c>
      <c r="H553" s="648">
        <v>14</v>
      </c>
      <c r="I553" s="648">
        <v>42500</v>
      </c>
      <c r="J553" s="648" t="s">
        <v>255</v>
      </c>
    </row>
    <row r="554" spans="2:10" x14ac:dyDescent="0.3">
      <c r="B554" s="648" t="s">
        <v>329</v>
      </c>
      <c r="C554" s="648">
        <v>2016</v>
      </c>
      <c r="D554" s="648" t="s">
        <v>51</v>
      </c>
      <c r="E554" s="648" t="s">
        <v>127</v>
      </c>
      <c r="F554" s="648" t="s">
        <v>307</v>
      </c>
      <c r="G554" s="648">
        <v>2</v>
      </c>
      <c r="H554" s="648">
        <v>15</v>
      </c>
      <c r="I554" s="648">
        <v>42500</v>
      </c>
      <c r="J554" s="648" t="s">
        <v>255</v>
      </c>
    </row>
    <row r="555" spans="2:10" x14ac:dyDescent="0.3">
      <c r="B555" s="648" t="s">
        <v>329</v>
      </c>
      <c r="C555" s="648">
        <v>2016</v>
      </c>
      <c r="D555" s="648" t="s">
        <v>51</v>
      </c>
      <c r="E555" s="648" t="s">
        <v>127</v>
      </c>
      <c r="F555" s="648" t="s">
        <v>307</v>
      </c>
      <c r="G555" s="648">
        <v>2</v>
      </c>
      <c r="H555" s="648">
        <v>16</v>
      </c>
      <c r="I555" s="648">
        <v>42500</v>
      </c>
      <c r="J555" s="648" t="s">
        <v>255</v>
      </c>
    </row>
    <row r="556" spans="2:10" x14ac:dyDescent="0.3">
      <c r="B556" s="648" t="s">
        <v>329</v>
      </c>
      <c r="C556" s="648">
        <v>2016</v>
      </c>
      <c r="D556" s="648" t="s">
        <v>51</v>
      </c>
      <c r="E556" s="648" t="s">
        <v>127</v>
      </c>
      <c r="F556" s="648" t="s">
        <v>307</v>
      </c>
      <c r="G556" s="648">
        <v>2</v>
      </c>
      <c r="H556" s="648">
        <v>17</v>
      </c>
      <c r="I556" s="648">
        <v>46500</v>
      </c>
      <c r="J556" s="648" t="s">
        <v>255</v>
      </c>
    </row>
    <row r="557" spans="2:10" x14ac:dyDescent="0.3">
      <c r="B557" s="648" t="s">
        <v>329</v>
      </c>
      <c r="C557" s="648">
        <v>2016</v>
      </c>
      <c r="D557" s="648" t="s">
        <v>51</v>
      </c>
      <c r="E557" s="648" t="s">
        <v>127</v>
      </c>
      <c r="F557" s="648" t="s">
        <v>307</v>
      </c>
      <c r="G557" s="648">
        <v>2</v>
      </c>
      <c r="H557" s="648">
        <v>18</v>
      </c>
      <c r="I557" s="648">
        <v>46500</v>
      </c>
      <c r="J557" s="648" t="s">
        <v>255</v>
      </c>
    </row>
    <row r="558" spans="2:10" x14ac:dyDescent="0.3">
      <c r="B558" s="648" t="s">
        <v>329</v>
      </c>
      <c r="C558" s="648">
        <v>2016</v>
      </c>
      <c r="D558" s="648" t="s">
        <v>51</v>
      </c>
      <c r="E558" s="648" t="s">
        <v>127</v>
      </c>
      <c r="F558" s="648" t="s">
        <v>307</v>
      </c>
      <c r="G558" s="648">
        <v>2</v>
      </c>
      <c r="H558" s="648">
        <v>19</v>
      </c>
      <c r="I558" s="648">
        <v>46500</v>
      </c>
      <c r="J558" s="648" t="s">
        <v>255</v>
      </c>
    </row>
    <row r="559" spans="2:10" x14ac:dyDescent="0.3">
      <c r="B559" s="648" t="s">
        <v>329</v>
      </c>
      <c r="C559" s="648">
        <v>2016</v>
      </c>
      <c r="D559" s="648" t="s">
        <v>51</v>
      </c>
      <c r="E559" s="648" t="s">
        <v>127</v>
      </c>
      <c r="F559" s="648" t="s">
        <v>307</v>
      </c>
      <c r="G559" s="648">
        <v>2</v>
      </c>
      <c r="H559" s="648">
        <v>20</v>
      </c>
      <c r="I559" s="648">
        <v>46500</v>
      </c>
      <c r="J559" s="648" t="s">
        <v>255</v>
      </c>
    </row>
    <row r="560" spans="2:10" x14ac:dyDescent="0.3">
      <c r="B560" s="648" t="s">
        <v>291</v>
      </c>
      <c r="C560" s="648">
        <v>2016</v>
      </c>
      <c r="D560" s="648" t="s">
        <v>51</v>
      </c>
      <c r="E560" s="648" t="s">
        <v>127</v>
      </c>
      <c r="F560" s="648" t="s">
        <v>307</v>
      </c>
      <c r="G560" s="648">
        <v>4</v>
      </c>
      <c r="H560" s="648">
        <v>12</v>
      </c>
      <c r="I560" s="648">
        <v>40500</v>
      </c>
      <c r="J560" s="648" t="s">
        <v>280</v>
      </c>
    </row>
    <row r="561" spans="2:10" x14ac:dyDescent="0.3">
      <c r="B561" s="648" t="s">
        <v>291</v>
      </c>
      <c r="C561" s="648">
        <v>2016</v>
      </c>
      <c r="D561" s="648" t="s">
        <v>51</v>
      </c>
      <c r="E561" s="648" t="s">
        <v>127</v>
      </c>
      <c r="F561" s="648" t="s">
        <v>307</v>
      </c>
      <c r="G561" s="648">
        <v>4</v>
      </c>
      <c r="H561" s="648">
        <v>13</v>
      </c>
      <c r="I561" s="648">
        <v>40500</v>
      </c>
      <c r="J561" s="648" t="s">
        <v>280</v>
      </c>
    </row>
    <row r="562" spans="2:10" x14ac:dyDescent="0.3">
      <c r="B562" s="648" t="s">
        <v>291</v>
      </c>
      <c r="C562" s="648">
        <v>2016</v>
      </c>
      <c r="D562" s="648" t="s">
        <v>51</v>
      </c>
      <c r="E562" s="648" t="s">
        <v>127</v>
      </c>
      <c r="F562" s="648" t="s">
        <v>307</v>
      </c>
      <c r="G562" s="648">
        <v>4</v>
      </c>
      <c r="H562" s="648">
        <v>14</v>
      </c>
      <c r="I562" s="648">
        <v>40500</v>
      </c>
      <c r="J562" s="648" t="s">
        <v>280</v>
      </c>
    </row>
    <row r="563" spans="2:10" x14ac:dyDescent="0.3">
      <c r="B563" s="648" t="s">
        <v>291</v>
      </c>
      <c r="C563" s="648">
        <v>2016</v>
      </c>
      <c r="D563" s="648" t="s">
        <v>51</v>
      </c>
      <c r="E563" s="648" t="s">
        <v>127</v>
      </c>
      <c r="F563" s="648" t="s">
        <v>307</v>
      </c>
      <c r="G563" s="648">
        <v>4</v>
      </c>
      <c r="H563" s="648">
        <v>15</v>
      </c>
      <c r="I563" s="648">
        <v>44500</v>
      </c>
      <c r="J563" s="648" t="s">
        <v>280</v>
      </c>
    </row>
    <row r="564" spans="2:10" x14ac:dyDescent="0.3">
      <c r="B564" s="648" t="s">
        <v>291</v>
      </c>
      <c r="C564" s="648">
        <v>2016</v>
      </c>
      <c r="D564" s="648" t="s">
        <v>51</v>
      </c>
      <c r="E564" s="648" t="s">
        <v>127</v>
      </c>
      <c r="F564" s="648" t="s">
        <v>307</v>
      </c>
      <c r="G564" s="648">
        <v>4</v>
      </c>
      <c r="H564" s="648">
        <v>16</v>
      </c>
      <c r="I564" s="648">
        <v>44500</v>
      </c>
      <c r="J564" s="648" t="s">
        <v>280</v>
      </c>
    </row>
    <row r="565" spans="2:10" x14ac:dyDescent="0.3">
      <c r="B565" s="648" t="s">
        <v>291</v>
      </c>
      <c r="C565" s="648">
        <v>2016</v>
      </c>
      <c r="D565" s="648" t="s">
        <v>51</v>
      </c>
      <c r="E565" s="648" t="s">
        <v>127</v>
      </c>
      <c r="F565" s="648" t="s">
        <v>307</v>
      </c>
      <c r="G565" s="648">
        <v>4</v>
      </c>
      <c r="H565" s="648">
        <v>17</v>
      </c>
      <c r="I565" s="648">
        <v>47500</v>
      </c>
      <c r="J565" s="648" t="s">
        <v>280</v>
      </c>
    </row>
    <row r="566" spans="2:10" x14ac:dyDescent="0.3">
      <c r="B566" s="648" t="s">
        <v>291</v>
      </c>
      <c r="C566" s="648">
        <v>2016</v>
      </c>
      <c r="D566" s="648" t="s">
        <v>51</v>
      </c>
      <c r="E566" s="648" t="s">
        <v>127</v>
      </c>
      <c r="F566" s="648" t="s">
        <v>307</v>
      </c>
      <c r="G566" s="648">
        <v>4</v>
      </c>
      <c r="H566" s="648">
        <v>18</v>
      </c>
      <c r="I566" s="648">
        <v>47500</v>
      </c>
      <c r="J566" s="648" t="s">
        <v>280</v>
      </c>
    </row>
    <row r="567" spans="2:10" x14ac:dyDescent="0.3">
      <c r="B567" s="648" t="s">
        <v>291</v>
      </c>
      <c r="C567" s="648">
        <v>2016</v>
      </c>
      <c r="D567" s="648" t="s">
        <v>51</v>
      </c>
      <c r="E567" s="648" t="s">
        <v>127</v>
      </c>
      <c r="F567" s="648" t="s">
        <v>307</v>
      </c>
      <c r="G567" s="648">
        <v>4</v>
      </c>
      <c r="H567" s="648">
        <v>19</v>
      </c>
      <c r="I567" s="648">
        <v>47500</v>
      </c>
      <c r="J567" s="648" t="s">
        <v>280</v>
      </c>
    </row>
    <row r="568" spans="2:10" x14ac:dyDescent="0.3">
      <c r="B568" s="648" t="s">
        <v>291</v>
      </c>
      <c r="C568" s="648">
        <v>2016</v>
      </c>
      <c r="D568" s="648" t="s">
        <v>51</v>
      </c>
      <c r="E568" s="648" t="s">
        <v>127</v>
      </c>
      <c r="F568" s="648" t="s">
        <v>307</v>
      </c>
      <c r="G568" s="648">
        <v>4</v>
      </c>
      <c r="H568" s="648">
        <v>20</v>
      </c>
      <c r="I568" s="648">
        <v>47500</v>
      </c>
      <c r="J568" s="648" t="s">
        <v>280</v>
      </c>
    </row>
    <row r="569" spans="2:10" x14ac:dyDescent="0.3">
      <c r="B569" s="648" t="s">
        <v>315</v>
      </c>
      <c r="C569" s="648">
        <v>2016</v>
      </c>
      <c r="D569" s="648" t="s">
        <v>53</v>
      </c>
      <c r="E569" s="648" t="s">
        <v>128</v>
      </c>
      <c r="F569" s="648" t="s">
        <v>307</v>
      </c>
      <c r="G569" s="648">
        <v>1</v>
      </c>
      <c r="H569" s="648">
        <v>13</v>
      </c>
      <c r="I569" s="648">
        <v>51500</v>
      </c>
      <c r="J569" s="648" t="s">
        <v>280</v>
      </c>
    </row>
    <row r="570" spans="2:10" x14ac:dyDescent="0.3">
      <c r="B570" s="648" t="s">
        <v>315</v>
      </c>
      <c r="C570" s="648">
        <v>2016</v>
      </c>
      <c r="D570" s="648" t="s">
        <v>53</v>
      </c>
      <c r="E570" s="648" t="s">
        <v>128</v>
      </c>
      <c r="F570" s="648" t="s">
        <v>307</v>
      </c>
      <c r="G570" s="648">
        <v>1</v>
      </c>
      <c r="H570" s="648">
        <v>14</v>
      </c>
      <c r="I570" s="648">
        <v>51500</v>
      </c>
      <c r="J570" s="648" t="s">
        <v>280</v>
      </c>
    </row>
    <row r="571" spans="2:10" x14ac:dyDescent="0.3">
      <c r="B571" s="648" t="s">
        <v>315</v>
      </c>
      <c r="C571" s="648">
        <v>2016</v>
      </c>
      <c r="D571" s="648" t="s">
        <v>53</v>
      </c>
      <c r="E571" s="648" t="s">
        <v>128</v>
      </c>
      <c r="F571" s="648" t="s">
        <v>307</v>
      </c>
      <c r="G571" s="648">
        <v>1</v>
      </c>
      <c r="H571" s="648">
        <v>15</v>
      </c>
      <c r="I571" s="648">
        <v>51500</v>
      </c>
      <c r="J571" s="648" t="s">
        <v>280</v>
      </c>
    </row>
    <row r="572" spans="2:10" x14ac:dyDescent="0.3">
      <c r="B572" s="648" t="s">
        <v>315</v>
      </c>
      <c r="C572" s="648">
        <v>2016</v>
      </c>
      <c r="D572" s="648" t="s">
        <v>53</v>
      </c>
      <c r="E572" s="648" t="s">
        <v>128</v>
      </c>
      <c r="F572" s="648" t="s">
        <v>307</v>
      </c>
      <c r="G572" s="648">
        <v>1</v>
      </c>
      <c r="H572" s="648">
        <v>16</v>
      </c>
      <c r="I572" s="648">
        <v>56500</v>
      </c>
      <c r="J572" s="648" t="s">
        <v>280</v>
      </c>
    </row>
    <row r="573" spans="2:10" x14ac:dyDescent="0.3">
      <c r="B573" s="648" t="s">
        <v>315</v>
      </c>
      <c r="C573" s="648">
        <v>2016</v>
      </c>
      <c r="D573" s="648" t="s">
        <v>53</v>
      </c>
      <c r="E573" s="648" t="s">
        <v>128</v>
      </c>
      <c r="F573" s="648" t="s">
        <v>307</v>
      </c>
      <c r="G573" s="648">
        <v>1</v>
      </c>
      <c r="H573" s="648">
        <v>17</v>
      </c>
      <c r="I573" s="648">
        <v>56500</v>
      </c>
      <c r="J573" s="648" t="s">
        <v>280</v>
      </c>
    </row>
    <row r="574" spans="2:10" x14ac:dyDescent="0.3">
      <c r="B574" s="648" t="s">
        <v>315</v>
      </c>
      <c r="C574" s="648">
        <v>2016</v>
      </c>
      <c r="D574" s="648" t="s">
        <v>53</v>
      </c>
      <c r="E574" s="648" t="s">
        <v>128</v>
      </c>
      <c r="F574" s="648" t="s">
        <v>307</v>
      </c>
      <c r="G574" s="648">
        <v>1</v>
      </c>
      <c r="H574" s="648">
        <v>18</v>
      </c>
      <c r="I574" s="648">
        <v>56500</v>
      </c>
      <c r="J574" s="648" t="s">
        <v>280</v>
      </c>
    </row>
    <row r="575" spans="2:10" x14ac:dyDescent="0.3">
      <c r="B575" s="648" t="s">
        <v>315</v>
      </c>
      <c r="C575" s="648">
        <v>2016</v>
      </c>
      <c r="D575" s="648" t="s">
        <v>53</v>
      </c>
      <c r="E575" s="648" t="s">
        <v>128</v>
      </c>
      <c r="F575" s="648" t="s">
        <v>307</v>
      </c>
      <c r="G575" s="648">
        <v>1</v>
      </c>
      <c r="H575" s="648">
        <v>19</v>
      </c>
      <c r="I575" s="648">
        <v>56500</v>
      </c>
      <c r="J575" s="648" t="s">
        <v>280</v>
      </c>
    </row>
    <row r="576" spans="2:10" x14ac:dyDescent="0.3">
      <c r="B576" s="648" t="s">
        <v>315</v>
      </c>
      <c r="C576" s="648">
        <v>2016</v>
      </c>
      <c r="D576" s="648" t="s">
        <v>53</v>
      </c>
      <c r="E576" s="648" t="s">
        <v>128</v>
      </c>
      <c r="F576" s="648" t="s">
        <v>307</v>
      </c>
      <c r="G576" s="648">
        <v>1</v>
      </c>
      <c r="H576" s="648">
        <v>20</v>
      </c>
      <c r="I576" s="648">
        <v>56500</v>
      </c>
      <c r="J576" s="648" t="s">
        <v>280</v>
      </c>
    </row>
    <row r="577" spans="2:10" x14ac:dyDescent="0.3">
      <c r="B577" s="648" t="s">
        <v>271</v>
      </c>
      <c r="C577" s="648">
        <v>2015</v>
      </c>
      <c r="D577" s="648" t="s">
        <v>51</v>
      </c>
      <c r="E577" s="648" t="s">
        <v>126</v>
      </c>
      <c r="F577" s="648" t="s">
        <v>307</v>
      </c>
      <c r="G577" s="648">
        <v>1</v>
      </c>
      <c r="H577" s="648">
        <v>13</v>
      </c>
      <c r="I577" s="648">
        <v>43500</v>
      </c>
      <c r="J577" s="648" t="s">
        <v>255</v>
      </c>
    </row>
    <row r="578" spans="2:10" x14ac:dyDescent="0.3">
      <c r="B578" s="648" t="s">
        <v>271</v>
      </c>
      <c r="C578" s="648">
        <v>2015</v>
      </c>
      <c r="D578" s="648" t="s">
        <v>51</v>
      </c>
      <c r="E578" s="648" t="s">
        <v>126</v>
      </c>
      <c r="F578" s="648" t="s">
        <v>307</v>
      </c>
      <c r="G578" s="648">
        <v>1</v>
      </c>
      <c r="H578" s="648">
        <v>14</v>
      </c>
      <c r="I578" s="648">
        <v>43500</v>
      </c>
      <c r="J578" s="648" t="s">
        <v>255</v>
      </c>
    </row>
    <row r="579" spans="2:10" x14ac:dyDescent="0.3">
      <c r="B579" s="648" t="s">
        <v>271</v>
      </c>
      <c r="C579" s="648">
        <v>2015</v>
      </c>
      <c r="D579" s="648" t="s">
        <v>51</v>
      </c>
      <c r="E579" s="648" t="s">
        <v>126</v>
      </c>
      <c r="F579" s="648" t="s">
        <v>307</v>
      </c>
      <c r="G579" s="648">
        <v>1</v>
      </c>
      <c r="H579" s="648">
        <v>15</v>
      </c>
      <c r="I579" s="648">
        <v>45500</v>
      </c>
      <c r="J579" s="648" t="s">
        <v>255</v>
      </c>
    </row>
    <row r="580" spans="2:10" x14ac:dyDescent="0.3">
      <c r="B580" s="648" t="s">
        <v>271</v>
      </c>
      <c r="C580" s="648">
        <v>2015</v>
      </c>
      <c r="D580" s="648" t="s">
        <v>51</v>
      </c>
      <c r="E580" s="648" t="s">
        <v>126</v>
      </c>
      <c r="F580" s="648" t="s">
        <v>307</v>
      </c>
      <c r="G580" s="648">
        <v>1</v>
      </c>
      <c r="H580" s="648">
        <v>16</v>
      </c>
      <c r="I580" s="648">
        <v>45500</v>
      </c>
      <c r="J580" s="648" t="s">
        <v>255</v>
      </c>
    </row>
    <row r="581" spans="2:10" x14ac:dyDescent="0.3">
      <c r="B581" s="648" t="s">
        <v>271</v>
      </c>
      <c r="C581" s="648">
        <v>2015</v>
      </c>
      <c r="D581" s="648" t="s">
        <v>51</v>
      </c>
      <c r="E581" s="648" t="s">
        <v>126</v>
      </c>
      <c r="F581" s="648" t="s">
        <v>307</v>
      </c>
      <c r="G581" s="648">
        <v>1</v>
      </c>
      <c r="H581" s="648">
        <v>17</v>
      </c>
      <c r="I581" s="648">
        <v>45500</v>
      </c>
      <c r="J581" s="648" t="s">
        <v>255</v>
      </c>
    </row>
    <row r="582" spans="2:10" x14ac:dyDescent="0.3">
      <c r="B582" s="648" t="s">
        <v>271</v>
      </c>
      <c r="C582" s="648">
        <v>2015</v>
      </c>
      <c r="D582" s="648" t="s">
        <v>51</v>
      </c>
      <c r="E582" s="648" t="s">
        <v>126</v>
      </c>
      <c r="F582" s="648" t="s">
        <v>307</v>
      </c>
      <c r="G582" s="648">
        <v>1</v>
      </c>
      <c r="H582" s="648">
        <v>18</v>
      </c>
      <c r="I582" s="648">
        <v>47500</v>
      </c>
      <c r="J582" s="648" t="s">
        <v>255</v>
      </c>
    </row>
    <row r="583" spans="2:10" x14ac:dyDescent="0.3">
      <c r="B583" s="648" t="s">
        <v>271</v>
      </c>
      <c r="C583" s="648">
        <v>2015</v>
      </c>
      <c r="D583" s="648" t="s">
        <v>51</v>
      </c>
      <c r="E583" s="648" t="s">
        <v>126</v>
      </c>
      <c r="F583" s="648" t="s">
        <v>307</v>
      </c>
      <c r="G583" s="648">
        <v>1</v>
      </c>
      <c r="H583" s="648">
        <v>19</v>
      </c>
      <c r="I583" s="648">
        <v>47500</v>
      </c>
      <c r="J583" s="648" t="s">
        <v>255</v>
      </c>
    </row>
    <row r="584" spans="2:10" x14ac:dyDescent="0.3">
      <c r="B584" s="648" t="s">
        <v>271</v>
      </c>
      <c r="C584" s="648">
        <v>2015</v>
      </c>
      <c r="D584" s="648" t="s">
        <v>51</v>
      </c>
      <c r="E584" s="648" t="s">
        <v>126</v>
      </c>
      <c r="F584" s="648" t="s">
        <v>307</v>
      </c>
      <c r="G584" s="648">
        <v>1</v>
      </c>
      <c r="H584" s="648">
        <v>20</v>
      </c>
      <c r="I584" s="648">
        <v>47500</v>
      </c>
      <c r="J584" s="648" t="s">
        <v>255</v>
      </c>
    </row>
    <row r="585" spans="2:10" x14ac:dyDescent="0.3">
      <c r="B585" s="648" t="s">
        <v>370</v>
      </c>
      <c r="C585" s="648">
        <v>2017</v>
      </c>
      <c r="D585" s="648" t="s">
        <v>51</v>
      </c>
      <c r="E585" s="648" t="s">
        <v>56</v>
      </c>
      <c r="F585" s="648" t="s">
        <v>306</v>
      </c>
      <c r="G585" s="648">
        <v>2</v>
      </c>
      <c r="H585" s="648">
        <v>11</v>
      </c>
      <c r="I585" s="648">
        <v>38500</v>
      </c>
      <c r="J585" s="648" t="s">
        <v>280</v>
      </c>
    </row>
    <row r="586" spans="2:10" x14ac:dyDescent="0.3">
      <c r="B586" s="648" t="s">
        <v>370</v>
      </c>
      <c r="C586" s="648">
        <v>2017</v>
      </c>
      <c r="D586" s="648" t="s">
        <v>51</v>
      </c>
      <c r="E586" s="648" t="s">
        <v>56</v>
      </c>
      <c r="F586" s="648" t="s">
        <v>306</v>
      </c>
      <c r="G586" s="648">
        <v>2</v>
      </c>
      <c r="H586" s="648">
        <v>12</v>
      </c>
      <c r="I586" s="648">
        <v>38500</v>
      </c>
      <c r="J586" s="648" t="s">
        <v>280</v>
      </c>
    </row>
    <row r="587" spans="2:10" x14ac:dyDescent="0.3">
      <c r="B587" s="648" t="s">
        <v>370</v>
      </c>
      <c r="C587" s="648">
        <v>2017</v>
      </c>
      <c r="D587" s="648" t="s">
        <v>51</v>
      </c>
      <c r="E587" s="648" t="s">
        <v>56</v>
      </c>
      <c r="F587" s="648" t="s">
        <v>306</v>
      </c>
      <c r="G587" s="648">
        <v>2</v>
      </c>
      <c r="H587" s="648">
        <v>13</v>
      </c>
      <c r="I587" s="648">
        <v>42500</v>
      </c>
      <c r="J587" s="648" t="s">
        <v>280</v>
      </c>
    </row>
    <row r="588" spans="2:10" x14ac:dyDescent="0.3">
      <c r="B588" s="648" t="s">
        <v>370</v>
      </c>
      <c r="C588" s="648">
        <v>2017</v>
      </c>
      <c r="D588" s="648" t="s">
        <v>51</v>
      </c>
      <c r="E588" s="648" t="s">
        <v>56</v>
      </c>
      <c r="F588" s="648" t="s">
        <v>306</v>
      </c>
      <c r="G588" s="648">
        <v>2</v>
      </c>
      <c r="H588" s="648">
        <v>14</v>
      </c>
      <c r="I588" s="648">
        <v>42500</v>
      </c>
      <c r="J588" s="648" t="s">
        <v>280</v>
      </c>
    </row>
    <row r="589" spans="2:10" x14ac:dyDescent="0.3">
      <c r="B589" s="648" t="s">
        <v>370</v>
      </c>
      <c r="C589" s="648">
        <v>2017</v>
      </c>
      <c r="D589" s="648" t="s">
        <v>51</v>
      </c>
      <c r="E589" s="648" t="s">
        <v>56</v>
      </c>
      <c r="F589" s="648" t="s">
        <v>306</v>
      </c>
      <c r="G589" s="648">
        <v>2</v>
      </c>
      <c r="H589" s="648">
        <v>15</v>
      </c>
      <c r="I589" s="648">
        <v>42500</v>
      </c>
      <c r="J589" s="648" t="s">
        <v>280</v>
      </c>
    </row>
    <row r="590" spans="2:10" x14ac:dyDescent="0.3">
      <c r="B590" s="648" t="s">
        <v>370</v>
      </c>
      <c r="C590" s="648">
        <v>2017</v>
      </c>
      <c r="D590" s="648" t="s">
        <v>51</v>
      </c>
      <c r="E590" s="648" t="s">
        <v>56</v>
      </c>
      <c r="F590" s="648" t="s">
        <v>306</v>
      </c>
      <c r="G590" s="648">
        <v>2</v>
      </c>
      <c r="H590" s="648">
        <v>16</v>
      </c>
      <c r="I590" s="648">
        <v>42500</v>
      </c>
      <c r="J590" s="648" t="s">
        <v>280</v>
      </c>
    </row>
    <row r="591" spans="2:10" x14ac:dyDescent="0.3">
      <c r="B591" s="648" t="s">
        <v>370</v>
      </c>
      <c r="C591" s="648">
        <v>2017</v>
      </c>
      <c r="D591" s="648" t="s">
        <v>51</v>
      </c>
      <c r="E591" s="648" t="s">
        <v>56</v>
      </c>
      <c r="F591" s="648" t="s">
        <v>306</v>
      </c>
      <c r="G591" s="648">
        <v>2</v>
      </c>
      <c r="H591" s="648">
        <v>17</v>
      </c>
      <c r="I591" s="648">
        <v>47000</v>
      </c>
      <c r="J591" s="648" t="s">
        <v>280</v>
      </c>
    </row>
    <row r="592" spans="2:10" x14ac:dyDescent="0.3">
      <c r="B592" s="648" t="s">
        <v>370</v>
      </c>
      <c r="C592" s="648">
        <v>2017</v>
      </c>
      <c r="D592" s="648" t="s">
        <v>51</v>
      </c>
      <c r="E592" s="648" t="s">
        <v>56</v>
      </c>
      <c r="F592" s="648" t="s">
        <v>306</v>
      </c>
      <c r="G592" s="648">
        <v>2</v>
      </c>
      <c r="H592" s="648">
        <v>18</v>
      </c>
      <c r="I592" s="648">
        <v>47000</v>
      </c>
      <c r="J592" s="648" t="s">
        <v>280</v>
      </c>
    </row>
    <row r="593" spans="2:10" x14ac:dyDescent="0.3">
      <c r="B593" s="648" t="s">
        <v>370</v>
      </c>
      <c r="C593" s="648">
        <v>2017</v>
      </c>
      <c r="D593" s="648" t="s">
        <v>51</v>
      </c>
      <c r="E593" s="648" t="s">
        <v>56</v>
      </c>
      <c r="F593" s="648" t="s">
        <v>306</v>
      </c>
      <c r="G593" s="648">
        <v>2</v>
      </c>
      <c r="H593" s="648">
        <v>19</v>
      </c>
      <c r="I593" s="648">
        <v>47000</v>
      </c>
      <c r="J593" s="648" t="s">
        <v>280</v>
      </c>
    </row>
    <row r="594" spans="2:10" x14ac:dyDescent="0.3">
      <c r="B594" s="648" t="s">
        <v>370</v>
      </c>
      <c r="C594" s="648">
        <v>2017</v>
      </c>
      <c r="D594" s="648" t="s">
        <v>51</v>
      </c>
      <c r="E594" s="648" t="s">
        <v>56</v>
      </c>
      <c r="F594" s="648" t="s">
        <v>306</v>
      </c>
      <c r="G594" s="648">
        <v>2</v>
      </c>
      <c r="H594" s="648">
        <v>20</v>
      </c>
      <c r="I594" s="648">
        <v>47000</v>
      </c>
      <c r="J594" s="648" t="s">
        <v>280</v>
      </c>
    </row>
    <row r="595" spans="2:10" x14ac:dyDescent="0.3">
      <c r="B595" s="648" t="s">
        <v>272</v>
      </c>
      <c r="C595" s="648">
        <v>2014</v>
      </c>
      <c r="D595" s="648" t="s">
        <v>51</v>
      </c>
      <c r="E595" s="648" t="s">
        <v>273</v>
      </c>
      <c r="F595" s="648" t="s">
        <v>308</v>
      </c>
      <c r="G595" s="648">
        <v>2</v>
      </c>
      <c r="H595" s="648">
        <v>3</v>
      </c>
      <c r="I595" s="648">
        <v>76000</v>
      </c>
      <c r="J595" s="648" t="s">
        <v>255</v>
      </c>
    </row>
    <row r="596" spans="2:10" x14ac:dyDescent="0.3">
      <c r="B596" s="648" t="s">
        <v>272</v>
      </c>
      <c r="C596" s="648">
        <v>2014</v>
      </c>
      <c r="D596" s="648" t="s">
        <v>51</v>
      </c>
      <c r="E596" s="648" t="s">
        <v>273</v>
      </c>
      <c r="F596" s="648" t="s">
        <v>308</v>
      </c>
      <c r="G596" s="648">
        <v>2</v>
      </c>
      <c r="H596" s="648">
        <v>4</v>
      </c>
      <c r="I596" s="648">
        <v>76000</v>
      </c>
      <c r="J596" s="648" t="s">
        <v>255</v>
      </c>
    </row>
    <row r="597" spans="2:10" x14ac:dyDescent="0.3">
      <c r="B597" s="648" t="s">
        <v>272</v>
      </c>
      <c r="C597" s="648">
        <v>2014</v>
      </c>
      <c r="D597" s="648" t="s">
        <v>51</v>
      </c>
      <c r="E597" s="648" t="s">
        <v>273</v>
      </c>
      <c r="F597" s="648" t="s">
        <v>308</v>
      </c>
      <c r="G597" s="648">
        <v>2</v>
      </c>
      <c r="H597" s="648">
        <v>5</v>
      </c>
      <c r="I597" s="648">
        <v>76000</v>
      </c>
      <c r="J597" s="648" t="s">
        <v>255</v>
      </c>
    </row>
    <row r="598" spans="2:10" x14ac:dyDescent="0.3">
      <c r="B598" s="648" t="s">
        <v>272</v>
      </c>
      <c r="C598" s="648">
        <v>2014</v>
      </c>
      <c r="D598" s="648" t="s">
        <v>51</v>
      </c>
      <c r="E598" s="648" t="s">
        <v>273</v>
      </c>
      <c r="F598" s="648" t="s">
        <v>308</v>
      </c>
      <c r="G598" s="648">
        <v>2</v>
      </c>
      <c r="H598" s="648">
        <v>6</v>
      </c>
      <c r="I598" s="648">
        <v>87000</v>
      </c>
      <c r="J598" s="648" t="s">
        <v>255</v>
      </c>
    </row>
    <row r="599" spans="2:10" x14ac:dyDescent="0.3">
      <c r="B599" s="648" t="s">
        <v>272</v>
      </c>
      <c r="C599" s="648">
        <v>2014</v>
      </c>
      <c r="D599" s="648" t="s">
        <v>51</v>
      </c>
      <c r="E599" s="648" t="s">
        <v>273</v>
      </c>
      <c r="F599" s="648" t="s">
        <v>308</v>
      </c>
      <c r="G599" s="648">
        <v>2</v>
      </c>
      <c r="H599" s="648">
        <v>7</v>
      </c>
      <c r="I599" s="648">
        <v>87000</v>
      </c>
      <c r="J599" s="648" t="s">
        <v>255</v>
      </c>
    </row>
    <row r="600" spans="2:10" x14ac:dyDescent="0.3">
      <c r="B600" s="648" t="s">
        <v>272</v>
      </c>
      <c r="C600" s="648">
        <v>2014</v>
      </c>
      <c r="D600" s="648" t="s">
        <v>51</v>
      </c>
      <c r="E600" s="648" t="s">
        <v>273</v>
      </c>
      <c r="F600" s="648" t="s">
        <v>308</v>
      </c>
      <c r="G600" s="648">
        <v>2</v>
      </c>
      <c r="H600" s="648">
        <v>8</v>
      </c>
      <c r="I600" s="648">
        <v>87000</v>
      </c>
      <c r="J600" s="648" t="s">
        <v>255</v>
      </c>
    </row>
    <row r="601" spans="2:10" x14ac:dyDescent="0.3">
      <c r="B601" s="648" t="s">
        <v>272</v>
      </c>
      <c r="C601" s="648">
        <v>2014</v>
      </c>
      <c r="D601" s="648" t="s">
        <v>51</v>
      </c>
      <c r="E601" s="648" t="s">
        <v>273</v>
      </c>
      <c r="F601" s="648" t="s">
        <v>308</v>
      </c>
      <c r="G601" s="648">
        <v>2</v>
      </c>
      <c r="H601" s="648">
        <v>9</v>
      </c>
      <c r="I601" s="648">
        <v>87000</v>
      </c>
      <c r="J601" s="648" t="s">
        <v>255</v>
      </c>
    </row>
    <row r="602" spans="2:10" x14ac:dyDescent="0.3">
      <c r="B602" s="648" t="s">
        <v>272</v>
      </c>
      <c r="C602" s="648">
        <v>2014</v>
      </c>
      <c r="D602" s="648" t="s">
        <v>51</v>
      </c>
      <c r="E602" s="648" t="s">
        <v>273</v>
      </c>
      <c r="F602" s="648" t="s">
        <v>308</v>
      </c>
      <c r="G602" s="648">
        <v>2</v>
      </c>
      <c r="H602" s="648">
        <v>10</v>
      </c>
      <c r="I602" s="648">
        <v>96000</v>
      </c>
      <c r="J602" s="648" t="s">
        <v>255</v>
      </c>
    </row>
    <row r="603" spans="2:10" x14ac:dyDescent="0.3">
      <c r="B603" s="648" t="s">
        <v>272</v>
      </c>
      <c r="C603" s="648">
        <v>2014</v>
      </c>
      <c r="D603" s="648" t="s">
        <v>51</v>
      </c>
      <c r="E603" s="648" t="s">
        <v>273</v>
      </c>
      <c r="F603" s="648" t="s">
        <v>308</v>
      </c>
      <c r="G603" s="648">
        <v>2</v>
      </c>
      <c r="H603" s="648">
        <v>11</v>
      </c>
      <c r="I603" s="648">
        <v>96000</v>
      </c>
      <c r="J603" s="648" t="s">
        <v>255</v>
      </c>
    </row>
    <row r="604" spans="2:10" x14ac:dyDescent="0.3">
      <c r="B604" s="648" t="s">
        <v>272</v>
      </c>
      <c r="C604" s="648">
        <v>2014</v>
      </c>
      <c r="D604" s="648" t="s">
        <v>51</v>
      </c>
      <c r="E604" s="648" t="s">
        <v>273</v>
      </c>
      <c r="F604" s="648" t="s">
        <v>308</v>
      </c>
      <c r="G604" s="648">
        <v>2</v>
      </c>
      <c r="H604" s="648">
        <v>12</v>
      </c>
      <c r="I604" s="648">
        <v>96000</v>
      </c>
      <c r="J604" s="648" t="s">
        <v>255</v>
      </c>
    </row>
    <row r="605" spans="2:10" x14ac:dyDescent="0.3">
      <c r="B605" s="648" t="s">
        <v>272</v>
      </c>
      <c r="C605" s="648">
        <v>2014</v>
      </c>
      <c r="D605" s="648" t="s">
        <v>51</v>
      </c>
      <c r="E605" s="648" t="s">
        <v>273</v>
      </c>
      <c r="F605" s="648" t="s">
        <v>308</v>
      </c>
      <c r="G605" s="648">
        <v>2</v>
      </c>
      <c r="H605" s="648">
        <v>13</v>
      </c>
      <c r="I605" s="648">
        <v>96000</v>
      </c>
      <c r="J605" s="648" t="s">
        <v>255</v>
      </c>
    </row>
    <row r="606" spans="2:10" x14ac:dyDescent="0.3">
      <c r="B606" s="648" t="s">
        <v>272</v>
      </c>
      <c r="C606" s="648">
        <v>2014</v>
      </c>
      <c r="D606" s="648" t="s">
        <v>51</v>
      </c>
      <c r="E606" s="648" t="s">
        <v>273</v>
      </c>
      <c r="F606" s="648" t="s">
        <v>308</v>
      </c>
      <c r="G606" s="648">
        <v>2</v>
      </c>
      <c r="H606" s="648">
        <v>14</v>
      </c>
      <c r="I606" s="648">
        <v>96000</v>
      </c>
      <c r="J606" s="648" t="s">
        <v>255</v>
      </c>
    </row>
    <row r="607" spans="2:10" x14ac:dyDescent="0.3">
      <c r="B607" s="648" t="s">
        <v>272</v>
      </c>
      <c r="C607" s="648">
        <v>2014</v>
      </c>
      <c r="D607" s="648" t="s">
        <v>51</v>
      </c>
      <c r="E607" s="648" t="s">
        <v>273</v>
      </c>
      <c r="F607" s="648" t="s">
        <v>308</v>
      </c>
      <c r="G607" s="648">
        <v>2</v>
      </c>
      <c r="H607" s="648">
        <v>15</v>
      </c>
      <c r="I607" s="648">
        <v>96000</v>
      </c>
      <c r="J607" s="648" t="s">
        <v>255</v>
      </c>
    </row>
    <row r="608" spans="2:10" x14ac:dyDescent="0.3">
      <c r="B608" s="648" t="s">
        <v>272</v>
      </c>
      <c r="C608" s="648">
        <v>2014</v>
      </c>
      <c r="D608" s="648" t="s">
        <v>51</v>
      </c>
      <c r="E608" s="648" t="s">
        <v>273</v>
      </c>
      <c r="F608" s="648" t="s">
        <v>308</v>
      </c>
      <c r="G608" s="648">
        <v>2</v>
      </c>
      <c r="H608" s="648">
        <v>16</v>
      </c>
      <c r="I608" s="648">
        <v>115000</v>
      </c>
      <c r="J608" s="648" t="s">
        <v>255</v>
      </c>
    </row>
    <row r="609" spans="2:10" x14ac:dyDescent="0.3">
      <c r="B609" s="648" t="s">
        <v>272</v>
      </c>
      <c r="C609" s="648">
        <v>2014</v>
      </c>
      <c r="D609" s="648" t="s">
        <v>51</v>
      </c>
      <c r="E609" s="648" t="s">
        <v>273</v>
      </c>
      <c r="F609" s="648" t="s">
        <v>308</v>
      </c>
      <c r="G609" s="648">
        <v>2</v>
      </c>
      <c r="H609" s="648">
        <v>17</v>
      </c>
      <c r="I609" s="648">
        <v>115000</v>
      </c>
      <c r="J609" s="648" t="s">
        <v>255</v>
      </c>
    </row>
    <row r="610" spans="2:10" x14ac:dyDescent="0.3">
      <c r="B610" s="648" t="s">
        <v>272</v>
      </c>
      <c r="C610" s="648">
        <v>2014</v>
      </c>
      <c r="D610" s="648" t="s">
        <v>51</v>
      </c>
      <c r="E610" s="648" t="s">
        <v>273</v>
      </c>
      <c r="F610" s="648" t="s">
        <v>308</v>
      </c>
      <c r="G610" s="648">
        <v>2</v>
      </c>
      <c r="H610" s="648">
        <v>18</v>
      </c>
      <c r="I610" s="648">
        <v>115000</v>
      </c>
      <c r="J610" s="648" t="s">
        <v>255</v>
      </c>
    </row>
    <row r="611" spans="2:10" x14ac:dyDescent="0.3">
      <c r="B611" s="648" t="s">
        <v>272</v>
      </c>
      <c r="C611" s="648">
        <v>2014</v>
      </c>
      <c r="D611" s="648" t="s">
        <v>51</v>
      </c>
      <c r="E611" s="648" t="s">
        <v>273</v>
      </c>
      <c r="F611" s="648" t="s">
        <v>308</v>
      </c>
      <c r="G611" s="648">
        <v>2</v>
      </c>
      <c r="H611" s="648">
        <v>19</v>
      </c>
      <c r="I611" s="648">
        <v>115000</v>
      </c>
      <c r="J611" s="648" t="s">
        <v>255</v>
      </c>
    </row>
    <row r="612" spans="2:10" x14ac:dyDescent="0.3">
      <c r="B612" s="648" t="s">
        <v>272</v>
      </c>
      <c r="C612" s="648">
        <v>2014</v>
      </c>
      <c r="D612" s="648" t="s">
        <v>51</v>
      </c>
      <c r="E612" s="648" t="s">
        <v>273</v>
      </c>
      <c r="F612" s="648" t="s">
        <v>308</v>
      </c>
      <c r="G612" s="648">
        <v>2</v>
      </c>
      <c r="H612" s="648">
        <v>20</v>
      </c>
      <c r="I612" s="648">
        <v>115000</v>
      </c>
      <c r="J612" s="648" t="s">
        <v>255</v>
      </c>
    </row>
    <row r="613" spans="2:10" x14ac:dyDescent="0.3">
      <c r="B613" s="648" t="s">
        <v>330</v>
      </c>
      <c r="C613" s="648">
        <v>2016</v>
      </c>
      <c r="D613" s="648" t="s">
        <v>51</v>
      </c>
      <c r="E613" s="648" t="s">
        <v>127</v>
      </c>
      <c r="F613" s="648" t="s">
        <v>307</v>
      </c>
      <c r="G613" s="648">
        <v>2</v>
      </c>
      <c r="H613" s="648">
        <v>13</v>
      </c>
      <c r="I613" s="648">
        <v>40000</v>
      </c>
      <c r="J613" s="648" t="s">
        <v>255</v>
      </c>
    </row>
    <row r="614" spans="2:10" x14ac:dyDescent="0.3">
      <c r="B614" s="648" t="s">
        <v>330</v>
      </c>
      <c r="C614" s="648">
        <v>2016</v>
      </c>
      <c r="D614" s="648" t="s">
        <v>51</v>
      </c>
      <c r="E614" s="648" t="s">
        <v>127</v>
      </c>
      <c r="F614" s="648" t="s">
        <v>307</v>
      </c>
      <c r="G614" s="648">
        <v>2</v>
      </c>
      <c r="H614" s="648">
        <v>14</v>
      </c>
      <c r="I614" s="648">
        <v>40000</v>
      </c>
      <c r="J614" s="648" t="s">
        <v>255</v>
      </c>
    </row>
    <row r="615" spans="2:10" x14ac:dyDescent="0.3">
      <c r="B615" s="648" t="s">
        <v>330</v>
      </c>
      <c r="C615" s="648">
        <v>2016</v>
      </c>
      <c r="D615" s="648" t="s">
        <v>51</v>
      </c>
      <c r="E615" s="648" t="s">
        <v>127</v>
      </c>
      <c r="F615" s="648" t="s">
        <v>307</v>
      </c>
      <c r="G615" s="648">
        <v>2</v>
      </c>
      <c r="H615" s="648">
        <v>15</v>
      </c>
      <c r="I615" s="648">
        <v>44000</v>
      </c>
      <c r="J615" s="648" t="s">
        <v>255</v>
      </c>
    </row>
    <row r="616" spans="2:10" x14ac:dyDescent="0.3">
      <c r="B616" s="648" t="s">
        <v>330</v>
      </c>
      <c r="C616" s="648">
        <v>2016</v>
      </c>
      <c r="D616" s="648" t="s">
        <v>51</v>
      </c>
      <c r="E616" s="648" t="s">
        <v>127</v>
      </c>
      <c r="F616" s="648" t="s">
        <v>307</v>
      </c>
      <c r="G616" s="648">
        <v>2</v>
      </c>
      <c r="H616" s="648">
        <v>16</v>
      </c>
      <c r="I616" s="648">
        <v>44000</v>
      </c>
      <c r="J616" s="648" t="s">
        <v>255</v>
      </c>
    </row>
    <row r="617" spans="2:10" x14ac:dyDescent="0.3">
      <c r="B617" s="648" t="s">
        <v>330</v>
      </c>
      <c r="C617" s="648">
        <v>2016</v>
      </c>
      <c r="D617" s="648" t="s">
        <v>51</v>
      </c>
      <c r="E617" s="648" t="s">
        <v>127</v>
      </c>
      <c r="F617" s="648" t="s">
        <v>307</v>
      </c>
      <c r="G617" s="648">
        <v>2</v>
      </c>
      <c r="H617" s="648">
        <v>17</v>
      </c>
      <c r="I617" s="648">
        <v>47000</v>
      </c>
      <c r="J617" s="648" t="s">
        <v>255</v>
      </c>
    </row>
    <row r="618" spans="2:10" x14ac:dyDescent="0.3">
      <c r="B618" s="648" t="s">
        <v>330</v>
      </c>
      <c r="C618" s="648">
        <v>2016</v>
      </c>
      <c r="D618" s="648" t="s">
        <v>51</v>
      </c>
      <c r="E618" s="648" t="s">
        <v>127</v>
      </c>
      <c r="F618" s="648" t="s">
        <v>307</v>
      </c>
      <c r="G618" s="648">
        <v>2</v>
      </c>
      <c r="H618" s="648">
        <v>18</v>
      </c>
      <c r="I618" s="648">
        <v>47000</v>
      </c>
      <c r="J618" s="648" t="s">
        <v>255</v>
      </c>
    </row>
    <row r="619" spans="2:10" x14ac:dyDescent="0.3">
      <c r="B619" s="648" t="s">
        <v>330</v>
      </c>
      <c r="C619" s="648">
        <v>2016</v>
      </c>
      <c r="D619" s="648" t="s">
        <v>51</v>
      </c>
      <c r="E619" s="648" t="s">
        <v>127</v>
      </c>
      <c r="F619" s="648" t="s">
        <v>307</v>
      </c>
      <c r="G619" s="648">
        <v>2</v>
      </c>
      <c r="H619" s="648">
        <v>19</v>
      </c>
      <c r="I619" s="648">
        <v>47000</v>
      </c>
      <c r="J619" s="648" t="s">
        <v>255</v>
      </c>
    </row>
    <row r="620" spans="2:10" x14ac:dyDescent="0.3">
      <c r="B620" s="648" t="s">
        <v>330</v>
      </c>
      <c r="C620" s="648">
        <v>2016</v>
      </c>
      <c r="D620" s="648" t="s">
        <v>51</v>
      </c>
      <c r="E620" s="648" t="s">
        <v>127</v>
      </c>
      <c r="F620" s="648" t="s">
        <v>307</v>
      </c>
      <c r="G620" s="648">
        <v>2</v>
      </c>
      <c r="H620" s="648">
        <v>20</v>
      </c>
      <c r="I620" s="648">
        <v>47000</v>
      </c>
      <c r="J620" s="648" t="s">
        <v>255</v>
      </c>
    </row>
    <row r="621" spans="2:10" x14ac:dyDescent="0.3">
      <c r="B621" s="648" t="s">
        <v>275</v>
      </c>
      <c r="C621" s="648">
        <v>2016</v>
      </c>
      <c r="D621" s="648" t="s">
        <v>53</v>
      </c>
      <c r="E621" s="648" t="s">
        <v>259</v>
      </c>
      <c r="F621" s="648" t="s">
        <v>259</v>
      </c>
      <c r="G621" s="648">
        <v>22</v>
      </c>
      <c r="H621" s="648">
        <v>3</v>
      </c>
      <c r="I621" s="648">
        <v>54000</v>
      </c>
      <c r="J621" s="648" t="s">
        <v>255</v>
      </c>
    </row>
    <row r="622" spans="2:10" x14ac:dyDescent="0.3">
      <c r="B622" s="648" t="s">
        <v>275</v>
      </c>
      <c r="C622" s="648">
        <v>2016</v>
      </c>
      <c r="D622" s="648" t="s">
        <v>53</v>
      </c>
      <c r="E622" s="648" t="s">
        <v>259</v>
      </c>
      <c r="F622" s="648" t="s">
        <v>259</v>
      </c>
      <c r="G622" s="648">
        <v>22</v>
      </c>
      <c r="H622" s="648">
        <v>4</v>
      </c>
      <c r="I622" s="648">
        <v>54000</v>
      </c>
      <c r="J622" s="648" t="s">
        <v>255</v>
      </c>
    </row>
    <row r="623" spans="2:10" x14ac:dyDescent="0.3">
      <c r="B623" s="648" t="s">
        <v>275</v>
      </c>
      <c r="C623" s="648">
        <v>2016</v>
      </c>
      <c r="D623" s="648" t="s">
        <v>53</v>
      </c>
      <c r="E623" s="648" t="s">
        <v>259</v>
      </c>
      <c r="F623" s="648" t="s">
        <v>259</v>
      </c>
      <c r="G623" s="648">
        <v>22</v>
      </c>
      <c r="H623" s="648">
        <v>5</v>
      </c>
      <c r="I623" s="648">
        <v>54000</v>
      </c>
      <c r="J623" s="648" t="s">
        <v>255</v>
      </c>
    </row>
    <row r="624" spans="2:10" x14ac:dyDescent="0.3">
      <c r="B624" s="648" t="s">
        <v>275</v>
      </c>
      <c r="C624" s="648">
        <v>2016</v>
      </c>
      <c r="D624" s="648" t="s">
        <v>53</v>
      </c>
      <c r="E624" s="648" t="s">
        <v>259</v>
      </c>
      <c r="F624" s="648" t="s">
        <v>259</v>
      </c>
      <c r="G624" s="648">
        <v>22</v>
      </c>
      <c r="H624" s="648">
        <v>6</v>
      </c>
      <c r="I624" s="648">
        <v>59000</v>
      </c>
      <c r="J624" s="648" t="s">
        <v>255</v>
      </c>
    </row>
    <row r="625" spans="2:10" x14ac:dyDescent="0.3">
      <c r="B625" s="648" t="s">
        <v>275</v>
      </c>
      <c r="C625" s="648">
        <v>2016</v>
      </c>
      <c r="D625" s="648" t="s">
        <v>53</v>
      </c>
      <c r="E625" s="648" t="s">
        <v>259</v>
      </c>
      <c r="F625" s="648" t="s">
        <v>259</v>
      </c>
      <c r="G625" s="648">
        <v>22</v>
      </c>
      <c r="H625" s="648">
        <v>7</v>
      </c>
      <c r="I625" s="648">
        <v>59000</v>
      </c>
      <c r="J625" s="648" t="s">
        <v>255</v>
      </c>
    </row>
    <row r="626" spans="2:10" x14ac:dyDescent="0.3">
      <c r="B626" s="648" t="s">
        <v>275</v>
      </c>
      <c r="C626" s="648">
        <v>2016</v>
      </c>
      <c r="D626" s="648" t="s">
        <v>53</v>
      </c>
      <c r="E626" s="648" t="s">
        <v>259</v>
      </c>
      <c r="F626" s="648" t="s">
        <v>259</v>
      </c>
      <c r="G626" s="648">
        <v>22</v>
      </c>
      <c r="H626" s="648">
        <v>8</v>
      </c>
      <c r="I626" s="648">
        <v>59000</v>
      </c>
      <c r="J626" s="648" t="s">
        <v>255</v>
      </c>
    </row>
    <row r="627" spans="2:10" x14ac:dyDescent="0.3">
      <c r="B627" s="648" t="s">
        <v>275</v>
      </c>
      <c r="C627" s="648">
        <v>2016</v>
      </c>
      <c r="D627" s="648" t="s">
        <v>53</v>
      </c>
      <c r="E627" s="648" t="s">
        <v>259</v>
      </c>
      <c r="F627" s="648" t="s">
        <v>259</v>
      </c>
      <c r="G627" s="648">
        <v>22</v>
      </c>
      <c r="H627" s="648">
        <v>9</v>
      </c>
      <c r="I627" s="648">
        <v>59000</v>
      </c>
      <c r="J627" s="648" t="s">
        <v>255</v>
      </c>
    </row>
    <row r="628" spans="2:10" x14ac:dyDescent="0.3">
      <c r="B628" s="648" t="s">
        <v>275</v>
      </c>
      <c r="C628" s="648">
        <v>2016</v>
      </c>
      <c r="D628" s="648" t="s">
        <v>53</v>
      </c>
      <c r="E628" s="648" t="s">
        <v>259</v>
      </c>
      <c r="F628" s="648" t="s">
        <v>259</v>
      </c>
      <c r="G628" s="648">
        <v>22</v>
      </c>
      <c r="H628" s="648">
        <v>10</v>
      </c>
      <c r="I628" s="648">
        <v>59000</v>
      </c>
      <c r="J628" s="648" t="s">
        <v>255</v>
      </c>
    </row>
    <row r="629" spans="2:10" x14ac:dyDescent="0.3">
      <c r="B629" s="648" t="s">
        <v>275</v>
      </c>
      <c r="C629" s="648">
        <v>2016</v>
      </c>
      <c r="D629" s="648" t="s">
        <v>53</v>
      </c>
      <c r="E629" s="648" t="s">
        <v>259</v>
      </c>
      <c r="F629" s="648" t="s">
        <v>259</v>
      </c>
      <c r="G629" s="648">
        <v>22</v>
      </c>
      <c r="H629" s="648">
        <v>11</v>
      </c>
      <c r="I629" s="648">
        <v>64000</v>
      </c>
      <c r="J629" s="648" t="s">
        <v>255</v>
      </c>
    </row>
    <row r="630" spans="2:10" x14ac:dyDescent="0.3">
      <c r="B630" s="648" t="s">
        <v>275</v>
      </c>
      <c r="C630" s="648">
        <v>2016</v>
      </c>
      <c r="D630" s="648" t="s">
        <v>53</v>
      </c>
      <c r="E630" s="648" t="s">
        <v>259</v>
      </c>
      <c r="F630" s="648" t="s">
        <v>259</v>
      </c>
      <c r="G630" s="648">
        <v>22</v>
      </c>
      <c r="H630" s="648">
        <v>12</v>
      </c>
      <c r="I630" s="648">
        <v>64000</v>
      </c>
      <c r="J630" s="648" t="s">
        <v>255</v>
      </c>
    </row>
    <row r="631" spans="2:10" x14ac:dyDescent="0.3">
      <c r="B631" s="648" t="s">
        <v>275</v>
      </c>
      <c r="C631" s="648">
        <v>2016</v>
      </c>
      <c r="D631" s="648" t="s">
        <v>53</v>
      </c>
      <c r="E631" s="648" t="s">
        <v>259</v>
      </c>
      <c r="F631" s="648" t="s">
        <v>259</v>
      </c>
      <c r="G631" s="648">
        <v>22</v>
      </c>
      <c r="H631" s="648">
        <v>13</v>
      </c>
      <c r="I631" s="648">
        <v>64000</v>
      </c>
      <c r="J631" s="648" t="s">
        <v>255</v>
      </c>
    </row>
    <row r="632" spans="2:10" x14ac:dyDescent="0.3">
      <c r="B632" s="648" t="s">
        <v>275</v>
      </c>
      <c r="C632" s="648">
        <v>2016</v>
      </c>
      <c r="D632" s="648" t="s">
        <v>53</v>
      </c>
      <c r="E632" s="648" t="s">
        <v>259</v>
      </c>
      <c r="F632" s="648" t="s">
        <v>259</v>
      </c>
      <c r="G632" s="648">
        <v>22</v>
      </c>
      <c r="H632" s="648">
        <v>14</v>
      </c>
      <c r="I632" s="648">
        <v>64000</v>
      </c>
      <c r="J632" s="648" t="s">
        <v>255</v>
      </c>
    </row>
    <row r="633" spans="2:10" x14ac:dyDescent="0.3">
      <c r="B633" s="648" t="s">
        <v>275</v>
      </c>
      <c r="C633" s="648">
        <v>2016</v>
      </c>
      <c r="D633" s="648" t="s">
        <v>53</v>
      </c>
      <c r="E633" s="648" t="s">
        <v>259</v>
      </c>
      <c r="F633" s="648" t="s">
        <v>259</v>
      </c>
      <c r="G633" s="648">
        <v>22</v>
      </c>
      <c r="H633" s="648">
        <v>15</v>
      </c>
      <c r="I633" s="648">
        <v>64000</v>
      </c>
      <c r="J633" s="648" t="s">
        <v>255</v>
      </c>
    </row>
    <row r="634" spans="2:10" x14ac:dyDescent="0.3">
      <c r="B634" s="648" t="s">
        <v>275</v>
      </c>
      <c r="C634" s="648">
        <v>2016</v>
      </c>
      <c r="D634" s="648" t="s">
        <v>53</v>
      </c>
      <c r="E634" s="648" t="s">
        <v>259</v>
      </c>
      <c r="F634" s="648" t="s">
        <v>259</v>
      </c>
      <c r="G634" s="648">
        <v>22</v>
      </c>
      <c r="H634" s="648">
        <v>16</v>
      </c>
      <c r="I634" s="648">
        <v>70000</v>
      </c>
      <c r="J634" s="648" t="s">
        <v>255</v>
      </c>
    </row>
    <row r="635" spans="2:10" x14ac:dyDescent="0.3">
      <c r="B635" s="648" t="s">
        <v>275</v>
      </c>
      <c r="C635" s="648">
        <v>2016</v>
      </c>
      <c r="D635" s="648" t="s">
        <v>53</v>
      </c>
      <c r="E635" s="648" t="s">
        <v>259</v>
      </c>
      <c r="F635" s="648" t="s">
        <v>259</v>
      </c>
      <c r="G635" s="648">
        <v>22</v>
      </c>
      <c r="H635" s="648">
        <v>17</v>
      </c>
      <c r="I635" s="648">
        <v>70000</v>
      </c>
      <c r="J635" s="648" t="s">
        <v>255</v>
      </c>
    </row>
    <row r="636" spans="2:10" x14ac:dyDescent="0.3">
      <c r="B636" s="648" t="s">
        <v>275</v>
      </c>
      <c r="C636" s="648">
        <v>2016</v>
      </c>
      <c r="D636" s="648" t="s">
        <v>53</v>
      </c>
      <c r="E636" s="648" t="s">
        <v>259</v>
      </c>
      <c r="F636" s="648" t="s">
        <v>259</v>
      </c>
      <c r="G636" s="648">
        <v>22</v>
      </c>
      <c r="H636" s="648">
        <v>18</v>
      </c>
      <c r="I636" s="648">
        <v>70000</v>
      </c>
      <c r="J636" s="648" t="s">
        <v>255</v>
      </c>
    </row>
    <row r="637" spans="2:10" x14ac:dyDescent="0.3">
      <c r="B637" s="648" t="s">
        <v>275</v>
      </c>
      <c r="C637" s="648">
        <v>2016</v>
      </c>
      <c r="D637" s="648" t="s">
        <v>53</v>
      </c>
      <c r="E637" s="648" t="s">
        <v>259</v>
      </c>
      <c r="F637" s="648" t="s">
        <v>259</v>
      </c>
      <c r="G637" s="648">
        <v>22</v>
      </c>
      <c r="H637" s="648">
        <v>19</v>
      </c>
      <c r="I637" s="648">
        <v>70000</v>
      </c>
      <c r="J637" s="648" t="s">
        <v>255</v>
      </c>
    </row>
    <row r="638" spans="2:10" x14ac:dyDescent="0.3">
      <c r="B638" s="648" t="s">
        <v>275</v>
      </c>
      <c r="C638" s="648">
        <v>2016</v>
      </c>
      <c r="D638" s="648" t="s">
        <v>53</v>
      </c>
      <c r="E638" s="648" t="s">
        <v>259</v>
      </c>
      <c r="F638" s="648" t="s">
        <v>259</v>
      </c>
      <c r="G638" s="648">
        <v>22</v>
      </c>
      <c r="H638" s="648">
        <v>20</v>
      </c>
      <c r="I638" s="648">
        <v>70000</v>
      </c>
      <c r="J638" s="648" t="s">
        <v>255</v>
      </c>
    </row>
    <row r="639" spans="2:10" x14ac:dyDescent="0.3">
      <c r="B639" s="648" t="s">
        <v>316</v>
      </c>
      <c r="C639" s="648">
        <v>2016</v>
      </c>
      <c r="D639" s="648" t="s">
        <v>51</v>
      </c>
      <c r="E639" s="648" t="s">
        <v>127</v>
      </c>
      <c r="F639" s="648" t="s">
        <v>307</v>
      </c>
      <c r="G639" s="648">
        <v>12</v>
      </c>
      <c r="H639" s="648">
        <v>13</v>
      </c>
      <c r="I639" s="648">
        <v>40200</v>
      </c>
      <c r="J639" s="648" t="s">
        <v>280</v>
      </c>
    </row>
    <row r="640" spans="2:10" x14ac:dyDescent="0.3">
      <c r="B640" s="648" t="s">
        <v>316</v>
      </c>
      <c r="C640" s="648">
        <v>2016</v>
      </c>
      <c r="D640" s="648" t="s">
        <v>51</v>
      </c>
      <c r="E640" s="648" t="s">
        <v>127</v>
      </c>
      <c r="F640" s="648" t="s">
        <v>307</v>
      </c>
      <c r="G640" s="648">
        <v>12</v>
      </c>
      <c r="H640" s="648">
        <v>14</v>
      </c>
      <c r="I640" s="648">
        <v>40200</v>
      </c>
      <c r="J640" s="648" t="s">
        <v>280</v>
      </c>
    </row>
    <row r="641" spans="2:10" x14ac:dyDescent="0.3">
      <c r="B641" s="648" t="s">
        <v>316</v>
      </c>
      <c r="C641" s="648">
        <v>2016</v>
      </c>
      <c r="D641" s="648" t="s">
        <v>51</v>
      </c>
      <c r="E641" s="648" t="s">
        <v>127</v>
      </c>
      <c r="F641" s="648" t="s">
        <v>307</v>
      </c>
      <c r="G641" s="648">
        <v>12</v>
      </c>
      <c r="H641" s="648">
        <v>15</v>
      </c>
      <c r="I641" s="648">
        <v>43700</v>
      </c>
      <c r="J641" s="648" t="s">
        <v>280</v>
      </c>
    </row>
    <row r="642" spans="2:10" x14ac:dyDescent="0.3">
      <c r="B642" s="648" t="s">
        <v>316</v>
      </c>
      <c r="C642" s="648">
        <v>2016</v>
      </c>
      <c r="D642" s="648" t="s">
        <v>51</v>
      </c>
      <c r="E642" s="648" t="s">
        <v>127</v>
      </c>
      <c r="F642" s="648" t="s">
        <v>307</v>
      </c>
      <c r="G642" s="648">
        <v>12</v>
      </c>
      <c r="H642" s="648">
        <v>16</v>
      </c>
      <c r="I642" s="648">
        <v>43700</v>
      </c>
      <c r="J642" s="648" t="s">
        <v>280</v>
      </c>
    </row>
    <row r="643" spans="2:10" x14ac:dyDescent="0.3">
      <c r="B643" s="648" t="s">
        <v>316</v>
      </c>
      <c r="C643" s="648">
        <v>2016</v>
      </c>
      <c r="D643" s="648" t="s">
        <v>51</v>
      </c>
      <c r="E643" s="648" t="s">
        <v>127</v>
      </c>
      <c r="F643" s="648" t="s">
        <v>307</v>
      </c>
      <c r="G643" s="648">
        <v>12</v>
      </c>
      <c r="H643" s="648">
        <v>17</v>
      </c>
      <c r="I643" s="648">
        <v>47000</v>
      </c>
      <c r="J643" s="648" t="s">
        <v>280</v>
      </c>
    </row>
    <row r="644" spans="2:10" x14ac:dyDescent="0.3">
      <c r="B644" s="648" t="s">
        <v>316</v>
      </c>
      <c r="C644" s="648">
        <v>2016</v>
      </c>
      <c r="D644" s="648" t="s">
        <v>51</v>
      </c>
      <c r="E644" s="648" t="s">
        <v>127</v>
      </c>
      <c r="F644" s="648" t="s">
        <v>307</v>
      </c>
      <c r="G644" s="648">
        <v>12</v>
      </c>
      <c r="H644" s="648">
        <v>18</v>
      </c>
      <c r="I644" s="648">
        <v>47000</v>
      </c>
      <c r="J644" s="648" t="s">
        <v>280</v>
      </c>
    </row>
    <row r="645" spans="2:10" x14ac:dyDescent="0.3">
      <c r="B645" s="648" t="s">
        <v>316</v>
      </c>
      <c r="C645" s="648">
        <v>2016</v>
      </c>
      <c r="D645" s="648" t="s">
        <v>51</v>
      </c>
      <c r="E645" s="648" t="s">
        <v>127</v>
      </c>
      <c r="F645" s="648" t="s">
        <v>307</v>
      </c>
      <c r="G645" s="648">
        <v>12</v>
      </c>
      <c r="H645" s="648">
        <v>19</v>
      </c>
      <c r="I645" s="648">
        <v>47000</v>
      </c>
      <c r="J645" s="648" t="s">
        <v>280</v>
      </c>
    </row>
    <row r="646" spans="2:10" x14ac:dyDescent="0.3">
      <c r="B646" s="648" t="s">
        <v>316</v>
      </c>
      <c r="C646" s="648">
        <v>2016</v>
      </c>
      <c r="D646" s="648" t="s">
        <v>51</v>
      </c>
      <c r="E646" s="648" t="s">
        <v>127</v>
      </c>
      <c r="F646" s="648" t="s">
        <v>307</v>
      </c>
      <c r="G646" s="648">
        <v>12</v>
      </c>
      <c r="H646" s="648">
        <v>20</v>
      </c>
      <c r="I646" s="648">
        <v>47000</v>
      </c>
      <c r="J646" s="648" t="s">
        <v>280</v>
      </c>
    </row>
    <row r="647" spans="2:10" x14ac:dyDescent="0.3">
      <c r="B647" s="648" t="s">
        <v>331</v>
      </c>
      <c r="C647" s="648">
        <v>2015</v>
      </c>
      <c r="D647" s="648" t="s">
        <v>51</v>
      </c>
      <c r="E647" s="648" t="s">
        <v>127</v>
      </c>
      <c r="F647" s="648" t="s">
        <v>307</v>
      </c>
      <c r="G647" s="648">
        <v>2</v>
      </c>
      <c r="H647" s="648">
        <v>13</v>
      </c>
      <c r="I647" s="648">
        <v>44000</v>
      </c>
      <c r="J647" s="648" t="s">
        <v>255</v>
      </c>
    </row>
    <row r="648" spans="2:10" x14ac:dyDescent="0.3">
      <c r="B648" s="648" t="s">
        <v>331</v>
      </c>
      <c r="C648" s="648">
        <v>2015</v>
      </c>
      <c r="D648" s="648" t="s">
        <v>51</v>
      </c>
      <c r="E648" s="648" t="s">
        <v>127</v>
      </c>
      <c r="F648" s="648" t="s">
        <v>307</v>
      </c>
      <c r="G648" s="648">
        <v>2</v>
      </c>
      <c r="H648" s="648">
        <v>14</v>
      </c>
      <c r="I648" s="648">
        <v>44000</v>
      </c>
      <c r="J648" s="648" t="s">
        <v>255</v>
      </c>
    </row>
    <row r="649" spans="2:10" x14ac:dyDescent="0.3">
      <c r="B649" s="648" t="s">
        <v>331</v>
      </c>
      <c r="C649" s="648">
        <v>2015</v>
      </c>
      <c r="D649" s="648" t="s">
        <v>51</v>
      </c>
      <c r="E649" s="648" t="s">
        <v>127</v>
      </c>
      <c r="F649" s="648" t="s">
        <v>307</v>
      </c>
      <c r="G649" s="648">
        <v>2</v>
      </c>
      <c r="H649" s="648">
        <v>15</v>
      </c>
      <c r="I649" s="648">
        <v>44000</v>
      </c>
      <c r="J649" s="648" t="s">
        <v>255</v>
      </c>
    </row>
    <row r="650" spans="2:10" x14ac:dyDescent="0.3">
      <c r="B650" s="648" t="s">
        <v>331</v>
      </c>
      <c r="C650" s="648">
        <v>2015</v>
      </c>
      <c r="D650" s="648" t="s">
        <v>51</v>
      </c>
      <c r="E650" s="648" t="s">
        <v>127</v>
      </c>
      <c r="F650" s="648" t="s">
        <v>307</v>
      </c>
      <c r="G650" s="648">
        <v>2</v>
      </c>
      <c r="H650" s="648">
        <v>16</v>
      </c>
      <c r="I650" s="648">
        <v>44000</v>
      </c>
      <c r="J650" s="648" t="s">
        <v>255</v>
      </c>
    </row>
    <row r="651" spans="2:10" x14ac:dyDescent="0.3">
      <c r="B651" s="648" t="s">
        <v>331</v>
      </c>
      <c r="C651" s="648">
        <v>2015</v>
      </c>
      <c r="D651" s="648" t="s">
        <v>51</v>
      </c>
      <c r="E651" s="648" t="s">
        <v>127</v>
      </c>
      <c r="F651" s="648" t="s">
        <v>307</v>
      </c>
      <c r="G651" s="648">
        <v>2</v>
      </c>
      <c r="H651" s="648">
        <v>17</v>
      </c>
      <c r="I651" s="648">
        <v>48000</v>
      </c>
      <c r="J651" s="648" t="s">
        <v>255</v>
      </c>
    </row>
    <row r="652" spans="2:10" x14ac:dyDescent="0.3">
      <c r="B652" s="648" t="s">
        <v>331</v>
      </c>
      <c r="C652" s="648">
        <v>2015</v>
      </c>
      <c r="D652" s="648" t="s">
        <v>51</v>
      </c>
      <c r="E652" s="648" t="s">
        <v>127</v>
      </c>
      <c r="F652" s="648" t="s">
        <v>307</v>
      </c>
      <c r="G652" s="648">
        <v>2</v>
      </c>
      <c r="H652" s="648">
        <v>18</v>
      </c>
      <c r="I652" s="648">
        <v>48000</v>
      </c>
      <c r="J652" s="648" t="s">
        <v>255</v>
      </c>
    </row>
    <row r="653" spans="2:10" x14ac:dyDescent="0.3">
      <c r="B653" s="648" t="s">
        <v>331</v>
      </c>
      <c r="C653" s="648">
        <v>2015</v>
      </c>
      <c r="D653" s="648" t="s">
        <v>51</v>
      </c>
      <c r="E653" s="648" t="s">
        <v>127</v>
      </c>
      <c r="F653" s="648" t="s">
        <v>307</v>
      </c>
      <c r="G653" s="648">
        <v>2</v>
      </c>
      <c r="H653" s="648">
        <v>19</v>
      </c>
      <c r="I653" s="648">
        <v>48000</v>
      </c>
      <c r="J653" s="648" t="s">
        <v>255</v>
      </c>
    </row>
    <row r="654" spans="2:10" x14ac:dyDescent="0.3">
      <c r="B654" s="648" t="s">
        <v>331</v>
      </c>
      <c r="C654" s="648">
        <v>2015</v>
      </c>
      <c r="D654" s="648" t="s">
        <v>51</v>
      </c>
      <c r="E654" s="648" t="s">
        <v>127</v>
      </c>
      <c r="F654" s="648" t="s">
        <v>307</v>
      </c>
      <c r="G654" s="648">
        <v>2</v>
      </c>
      <c r="H654" s="648">
        <v>20</v>
      </c>
      <c r="I654" s="648">
        <v>48000</v>
      </c>
      <c r="J654" s="648" t="s">
        <v>255</v>
      </c>
    </row>
    <row r="655" spans="2:10" x14ac:dyDescent="0.3">
      <c r="B655" s="648" t="s">
        <v>355</v>
      </c>
      <c r="C655" s="648">
        <v>2017</v>
      </c>
      <c r="D655" s="648" t="s">
        <v>51</v>
      </c>
      <c r="E655" s="648" t="s">
        <v>127</v>
      </c>
      <c r="F655" s="648" t="s">
        <v>307</v>
      </c>
      <c r="G655" s="648">
        <v>2</v>
      </c>
      <c r="H655" s="648">
        <v>11</v>
      </c>
      <c r="I655" s="648">
        <v>35000</v>
      </c>
      <c r="J655" s="648" t="s">
        <v>280</v>
      </c>
    </row>
    <row r="656" spans="2:10" x14ac:dyDescent="0.3">
      <c r="B656" s="648" t="s">
        <v>355</v>
      </c>
      <c r="C656" s="648">
        <v>2017</v>
      </c>
      <c r="D656" s="648" t="s">
        <v>51</v>
      </c>
      <c r="E656" s="648" t="s">
        <v>127</v>
      </c>
      <c r="F656" s="648" t="s">
        <v>307</v>
      </c>
      <c r="G656" s="648">
        <v>2</v>
      </c>
      <c r="H656" s="648">
        <v>12</v>
      </c>
      <c r="I656" s="648">
        <v>35000</v>
      </c>
      <c r="J656" s="648" t="s">
        <v>280</v>
      </c>
    </row>
    <row r="657" spans="2:10" x14ac:dyDescent="0.3">
      <c r="B657" s="648" t="s">
        <v>355</v>
      </c>
      <c r="C657" s="648">
        <v>2017</v>
      </c>
      <c r="D657" s="648" t="s">
        <v>51</v>
      </c>
      <c r="E657" s="648" t="s">
        <v>127</v>
      </c>
      <c r="F657" s="648" t="s">
        <v>307</v>
      </c>
      <c r="G657" s="648">
        <v>2</v>
      </c>
      <c r="H657" s="648">
        <v>13</v>
      </c>
      <c r="I657" s="648">
        <v>35000</v>
      </c>
      <c r="J657" s="648" t="s">
        <v>280</v>
      </c>
    </row>
    <row r="658" spans="2:10" x14ac:dyDescent="0.3">
      <c r="B658" s="648" t="s">
        <v>355</v>
      </c>
      <c r="C658" s="648">
        <v>2017</v>
      </c>
      <c r="D658" s="648" t="s">
        <v>51</v>
      </c>
      <c r="E658" s="648" t="s">
        <v>127</v>
      </c>
      <c r="F658" s="648" t="s">
        <v>307</v>
      </c>
      <c r="G658" s="648">
        <v>2</v>
      </c>
      <c r="H658" s="648">
        <v>14</v>
      </c>
      <c r="I658" s="648">
        <v>35000</v>
      </c>
      <c r="J658" s="648" t="s">
        <v>280</v>
      </c>
    </row>
    <row r="659" spans="2:10" x14ac:dyDescent="0.3">
      <c r="B659" s="648" t="s">
        <v>355</v>
      </c>
      <c r="C659" s="648">
        <v>2017</v>
      </c>
      <c r="D659" s="648" t="s">
        <v>51</v>
      </c>
      <c r="E659" s="648" t="s">
        <v>127</v>
      </c>
      <c r="F659" s="648" t="s">
        <v>307</v>
      </c>
      <c r="G659" s="648">
        <v>2</v>
      </c>
      <c r="H659" s="648">
        <v>15</v>
      </c>
      <c r="I659" s="648">
        <v>35000</v>
      </c>
      <c r="J659" s="648" t="s">
        <v>280</v>
      </c>
    </row>
    <row r="660" spans="2:10" x14ac:dyDescent="0.3">
      <c r="B660" s="648" t="s">
        <v>355</v>
      </c>
      <c r="C660" s="648">
        <v>2017</v>
      </c>
      <c r="D660" s="648" t="s">
        <v>51</v>
      </c>
      <c r="E660" s="648" t="s">
        <v>127</v>
      </c>
      <c r="F660" s="648" t="s">
        <v>307</v>
      </c>
      <c r="G660" s="648">
        <v>2</v>
      </c>
      <c r="H660" s="648">
        <v>16</v>
      </c>
      <c r="I660" s="648">
        <v>35000</v>
      </c>
      <c r="J660" s="648" t="s">
        <v>280</v>
      </c>
    </row>
    <row r="661" spans="2:10" x14ac:dyDescent="0.3">
      <c r="B661" s="648" t="s">
        <v>355</v>
      </c>
      <c r="C661" s="648">
        <v>2017</v>
      </c>
      <c r="D661" s="648" t="s">
        <v>51</v>
      </c>
      <c r="E661" s="648" t="s">
        <v>127</v>
      </c>
      <c r="F661" s="648" t="s">
        <v>307</v>
      </c>
      <c r="G661" s="648">
        <v>2</v>
      </c>
      <c r="H661" s="648">
        <v>17</v>
      </c>
      <c r="I661" s="648">
        <v>35000</v>
      </c>
      <c r="J661" s="648" t="s">
        <v>280</v>
      </c>
    </row>
    <row r="662" spans="2:10" x14ac:dyDescent="0.3">
      <c r="B662" s="648" t="s">
        <v>355</v>
      </c>
      <c r="C662" s="648">
        <v>2017</v>
      </c>
      <c r="D662" s="648" t="s">
        <v>51</v>
      </c>
      <c r="E662" s="648" t="s">
        <v>127</v>
      </c>
      <c r="F662" s="648" t="s">
        <v>307</v>
      </c>
      <c r="G662" s="648">
        <v>2</v>
      </c>
      <c r="H662" s="648">
        <v>18</v>
      </c>
      <c r="I662" s="648">
        <v>35000</v>
      </c>
      <c r="J662" s="648" t="s">
        <v>280</v>
      </c>
    </row>
    <row r="663" spans="2:10" x14ac:dyDescent="0.3">
      <c r="B663" s="648" t="s">
        <v>355</v>
      </c>
      <c r="C663" s="648">
        <v>2017</v>
      </c>
      <c r="D663" s="648" t="s">
        <v>51</v>
      </c>
      <c r="E663" s="648" t="s">
        <v>127</v>
      </c>
      <c r="F663" s="648" t="s">
        <v>307</v>
      </c>
      <c r="G663" s="648">
        <v>2</v>
      </c>
      <c r="H663" s="648">
        <v>19</v>
      </c>
      <c r="I663" s="648">
        <v>35000</v>
      </c>
      <c r="J663" s="648" t="s">
        <v>280</v>
      </c>
    </row>
    <row r="664" spans="2:10" x14ac:dyDescent="0.3">
      <c r="B664" s="648" t="s">
        <v>355</v>
      </c>
      <c r="C664" s="648">
        <v>2017</v>
      </c>
      <c r="D664" s="648" t="s">
        <v>51</v>
      </c>
      <c r="E664" s="648" t="s">
        <v>127</v>
      </c>
      <c r="F664" s="648" t="s">
        <v>307</v>
      </c>
      <c r="G664" s="648">
        <v>2</v>
      </c>
      <c r="H664" s="648">
        <v>20</v>
      </c>
      <c r="I664" s="648">
        <v>35000</v>
      </c>
      <c r="J664" s="648" t="s">
        <v>280</v>
      </c>
    </row>
    <row r="665" spans="2:10" x14ac:dyDescent="0.3">
      <c r="B665" s="648" t="s">
        <v>254</v>
      </c>
      <c r="C665" s="648">
        <v>2016</v>
      </c>
      <c r="D665" s="648" t="s">
        <v>51</v>
      </c>
      <c r="E665" s="648" t="s">
        <v>56</v>
      </c>
      <c r="F665" s="648" t="s">
        <v>306</v>
      </c>
      <c r="G665" s="648">
        <v>4</v>
      </c>
      <c r="H665" s="648">
        <v>8</v>
      </c>
      <c r="I665" s="648">
        <v>41000</v>
      </c>
      <c r="J665" s="648" t="s">
        <v>255</v>
      </c>
    </row>
    <row r="666" spans="2:10" x14ac:dyDescent="0.3">
      <c r="B666" s="648" t="s">
        <v>254</v>
      </c>
      <c r="C666" s="648">
        <v>2016</v>
      </c>
      <c r="D666" s="648" t="s">
        <v>51</v>
      </c>
      <c r="E666" s="648" t="s">
        <v>56</v>
      </c>
      <c r="F666" s="648" t="s">
        <v>306</v>
      </c>
      <c r="G666" s="648">
        <v>4</v>
      </c>
      <c r="H666" s="648">
        <v>4</v>
      </c>
      <c r="I666" s="648">
        <v>36000</v>
      </c>
      <c r="J666" s="648" t="s">
        <v>255</v>
      </c>
    </row>
    <row r="667" spans="2:10" x14ac:dyDescent="0.3">
      <c r="B667" s="648" t="s">
        <v>254</v>
      </c>
      <c r="C667" s="648">
        <v>2016</v>
      </c>
      <c r="D667" s="648" t="s">
        <v>51</v>
      </c>
      <c r="E667" s="648" t="s">
        <v>56</v>
      </c>
      <c r="F667" s="648" t="s">
        <v>306</v>
      </c>
      <c r="G667" s="648">
        <v>4</v>
      </c>
      <c r="H667" s="648">
        <v>5</v>
      </c>
      <c r="I667" s="648">
        <v>41000</v>
      </c>
      <c r="J667" s="648" t="s">
        <v>255</v>
      </c>
    </row>
    <row r="668" spans="2:10" x14ac:dyDescent="0.3">
      <c r="B668" s="648" t="s">
        <v>254</v>
      </c>
      <c r="C668" s="648">
        <v>2016</v>
      </c>
      <c r="D668" s="648" t="s">
        <v>51</v>
      </c>
      <c r="E668" s="648" t="s">
        <v>56</v>
      </c>
      <c r="F668" s="648" t="s">
        <v>306</v>
      </c>
      <c r="G668" s="648">
        <v>4</v>
      </c>
      <c r="H668" s="648">
        <v>6</v>
      </c>
      <c r="I668" s="648">
        <v>41000</v>
      </c>
      <c r="J668" s="648" t="s">
        <v>255</v>
      </c>
    </row>
    <row r="669" spans="2:10" x14ac:dyDescent="0.3">
      <c r="B669" s="648" t="s">
        <v>254</v>
      </c>
      <c r="C669" s="648">
        <v>2016</v>
      </c>
      <c r="D669" s="648" t="s">
        <v>51</v>
      </c>
      <c r="E669" s="648" t="s">
        <v>56</v>
      </c>
      <c r="F669" s="648" t="s">
        <v>306</v>
      </c>
      <c r="G669" s="648">
        <v>4</v>
      </c>
      <c r="H669" s="648">
        <v>7</v>
      </c>
      <c r="I669" s="648">
        <v>41000</v>
      </c>
      <c r="J669" s="648" t="s">
        <v>255</v>
      </c>
    </row>
    <row r="670" spans="2:10" x14ac:dyDescent="0.3">
      <c r="B670" s="648" t="s">
        <v>254</v>
      </c>
      <c r="C670" s="648">
        <v>2016</v>
      </c>
      <c r="D670" s="648" t="s">
        <v>51</v>
      </c>
      <c r="E670" s="648" t="s">
        <v>56</v>
      </c>
      <c r="F670" s="648" t="s">
        <v>306</v>
      </c>
      <c r="G670" s="648">
        <v>4</v>
      </c>
      <c r="H670" s="648">
        <v>9</v>
      </c>
      <c r="I670" s="648">
        <v>45000</v>
      </c>
      <c r="J670" s="648" t="s">
        <v>255</v>
      </c>
    </row>
    <row r="671" spans="2:10" x14ac:dyDescent="0.3">
      <c r="B671" s="648" t="s">
        <v>254</v>
      </c>
      <c r="C671" s="648">
        <v>2016</v>
      </c>
      <c r="D671" s="648" t="s">
        <v>51</v>
      </c>
      <c r="E671" s="648" t="s">
        <v>56</v>
      </c>
      <c r="F671" s="648" t="s">
        <v>306</v>
      </c>
      <c r="G671" s="648">
        <v>4</v>
      </c>
      <c r="H671" s="648">
        <v>10</v>
      </c>
      <c r="I671" s="648">
        <v>45000</v>
      </c>
      <c r="J671" s="648" t="s">
        <v>255</v>
      </c>
    </row>
    <row r="672" spans="2:10" x14ac:dyDescent="0.3">
      <c r="B672" s="648" t="s">
        <v>254</v>
      </c>
      <c r="C672" s="648">
        <v>2016</v>
      </c>
      <c r="D672" s="648" t="s">
        <v>51</v>
      </c>
      <c r="E672" s="648" t="s">
        <v>56</v>
      </c>
      <c r="F672" s="648" t="s">
        <v>306</v>
      </c>
      <c r="G672" s="648">
        <v>4</v>
      </c>
      <c r="H672" s="648">
        <v>11</v>
      </c>
      <c r="I672" s="648">
        <v>48000</v>
      </c>
      <c r="J672" s="648" t="s">
        <v>255</v>
      </c>
    </row>
    <row r="673" spans="2:10" x14ac:dyDescent="0.3">
      <c r="B673" s="648" t="s">
        <v>254</v>
      </c>
      <c r="C673" s="648">
        <v>2016</v>
      </c>
      <c r="D673" s="648" t="s">
        <v>51</v>
      </c>
      <c r="E673" s="648" t="s">
        <v>56</v>
      </c>
      <c r="F673" s="648" t="s">
        <v>306</v>
      </c>
      <c r="G673" s="648">
        <v>4</v>
      </c>
      <c r="H673" s="648">
        <v>12</v>
      </c>
      <c r="I673" s="648">
        <v>48000</v>
      </c>
      <c r="J673" s="648" t="s">
        <v>255</v>
      </c>
    </row>
    <row r="674" spans="2:10" x14ac:dyDescent="0.3">
      <c r="B674" s="648" t="s">
        <v>254</v>
      </c>
      <c r="C674" s="648">
        <v>2016</v>
      </c>
      <c r="D674" s="648" t="s">
        <v>51</v>
      </c>
      <c r="E674" s="648" t="s">
        <v>56</v>
      </c>
      <c r="F674" s="648" t="s">
        <v>306</v>
      </c>
      <c r="G674" s="648">
        <v>4</v>
      </c>
      <c r="H674" s="648">
        <v>13</v>
      </c>
      <c r="I674" s="648">
        <v>48000</v>
      </c>
      <c r="J674" s="648" t="s">
        <v>255</v>
      </c>
    </row>
    <row r="675" spans="2:10" x14ac:dyDescent="0.3">
      <c r="B675" s="648" t="s">
        <v>254</v>
      </c>
      <c r="C675" s="648">
        <v>2016</v>
      </c>
      <c r="D675" s="648" t="s">
        <v>51</v>
      </c>
      <c r="E675" s="648" t="s">
        <v>56</v>
      </c>
      <c r="F675" s="648" t="s">
        <v>306</v>
      </c>
      <c r="G675" s="648">
        <v>4</v>
      </c>
      <c r="H675" s="648">
        <v>14</v>
      </c>
      <c r="I675" s="648">
        <v>48000</v>
      </c>
      <c r="J675" s="648" t="s">
        <v>255</v>
      </c>
    </row>
    <row r="676" spans="2:10" x14ac:dyDescent="0.3">
      <c r="B676" s="648" t="s">
        <v>254</v>
      </c>
      <c r="C676" s="648">
        <v>2016</v>
      </c>
      <c r="D676" s="648" t="s">
        <v>51</v>
      </c>
      <c r="E676" s="648" t="s">
        <v>56</v>
      </c>
      <c r="F676" s="648" t="s">
        <v>306</v>
      </c>
      <c r="G676" s="648">
        <v>4</v>
      </c>
      <c r="H676" s="648">
        <v>15</v>
      </c>
      <c r="I676" s="648">
        <v>48000</v>
      </c>
      <c r="J676" s="648" t="s">
        <v>255</v>
      </c>
    </row>
    <row r="677" spans="2:10" x14ac:dyDescent="0.3">
      <c r="B677" s="648" t="s">
        <v>254</v>
      </c>
      <c r="C677" s="648">
        <v>2016</v>
      </c>
      <c r="D677" s="648" t="s">
        <v>51</v>
      </c>
      <c r="E677" s="648" t="s">
        <v>56</v>
      </c>
      <c r="F677" s="648" t="s">
        <v>306</v>
      </c>
      <c r="G677" s="648">
        <v>4</v>
      </c>
      <c r="H677" s="648">
        <v>16</v>
      </c>
      <c r="I677" s="648">
        <v>53000</v>
      </c>
      <c r="J677" s="648" t="s">
        <v>255</v>
      </c>
    </row>
    <row r="678" spans="2:10" x14ac:dyDescent="0.3">
      <c r="B678" s="648" t="s">
        <v>254</v>
      </c>
      <c r="C678" s="648">
        <v>2016</v>
      </c>
      <c r="D678" s="648" t="s">
        <v>51</v>
      </c>
      <c r="E678" s="648" t="s">
        <v>56</v>
      </c>
      <c r="F678" s="648" t="s">
        <v>306</v>
      </c>
      <c r="G678" s="648">
        <v>4</v>
      </c>
      <c r="H678" s="648">
        <v>18</v>
      </c>
      <c r="I678" s="648">
        <v>53000</v>
      </c>
      <c r="J678" s="648" t="s">
        <v>255</v>
      </c>
    </row>
    <row r="679" spans="2:10" x14ac:dyDescent="0.3">
      <c r="B679" s="648" t="s">
        <v>254</v>
      </c>
      <c r="C679" s="648">
        <v>2016</v>
      </c>
      <c r="D679" s="648" t="s">
        <v>51</v>
      </c>
      <c r="E679" s="648" t="s">
        <v>56</v>
      </c>
      <c r="F679" s="648" t="s">
        <v>306</v>
      </c>
      <c r="G679" s="648">
        <v>4</v>
      </c>
      <c r="H679" s="648">
        <v>19</v>
      </c>
      <c r="I679" s="648">
        <v>53000</v>
      </c>
      <c r="J679" s="648" t="s">
        <v>255</v>
      </c>
    </row>
    <row r="680" spans="2:10" x14ac:dyDescent="0.3">
      <c r="B680" s="648" t="s">
        <v>254</v>
      </c>
      <c r="C680" s="648">
        <v>2016</v>
      </c>
      <c r="D680" s="648" t="s">
        <v>51</v>
      </c>
      <c r="E680" s="648" t="s">
        <v>56</v>
      </c>
      <c r="F680" s="648" t="s">
        <v>306</v>
      </c>
      <c r="G680" s="648">
        <v>4</v>
      </c>
      <c r="H680" s="648">
        <v>20</v>
      </c>
      <c r="I680" s="648">
        <v>53000</v>
      </c>
      <c r="J680" s="648" t="s">
        <v>255</v>
      </c>
    </row>
    <row r="681" spans="2:10" x14ac:dyDescent="0.3">
      <c r="B681" s="648" t="s">
        <v>254</v>
      </c>
      <c r="C681" s="648">
        <v>2016</v>
      </c>
      <c r="D681" s="648" t="s">
        <v>51</v>
      </c>
      <c r="E681" s="648" t="s">
        <v>56</v>
      </c>
      <c r="F681" s="648" t="s">
        <v>306</v>
      </c>
      <c r="G681" s="648">
        <v>4</v>
      </c>
      <c r="H681" s="648">
        <v>17</v>
      </c>
      <c r="I681" s="648">
        <v>53000</v>
      </c>
      <c r="J681" s="648" t="s">
        <v>255</v>
      </c>
    </row>
    <row r="682" spans="2:10" x14ac:dyDescent="0.3">
      <c r="B682" s="648" t="s">
        <v>254</v>
      </c>
      <c r="C682" s="648">
        <v>2016</v>
      </c>
      <c r="D682" s="648" t="s">
        <v>51</v>
      </c>
      <c r="E682" s="648" t="s">
        <v>56</v>
      </c>
      <c r="F682" s="648" t="s">
        <v>306</v>
      </c>
      <c r="G682" s="648">
        <v>4</v>
      </c>
      <c r="H682" s="648">
        <v>3</v>
      </c>
      <c r="I682" s="648">
        <v>36000</v>
      </c>
      <c r="J682" s="648" t="s">
        <v>255</v>
      </c>
    </row>
    <row r="683" spans="2:10" x14ac:dyDescent="0.3">
      <c r="B683" s="648" t="s">
        <v>332</v>
      </c>
      <c r="C683" s="648">
        <v>2016</v>
      </c>
      <c r="D683" s="648" t="s">
        <v>51</v>
      </c>
      <c r="E683" s="648" t="s">
        <v>52</v>
      </c>
      <c r="F683" s="648" t="s">
        <v>306</v>
      </c>
      <c r="G683" s="648">
        <v>8</v>
      </c>
      <c r="H683" s="648">
        <v>13</v>
      </c>
      <c r="I683" s="648">
        <v>39000</v>
      </c>
      <c r="J683" s="648" t="s">
        <v>255</v>
      </c>
    </row>
    <row r="684" spans="2:10" x14ac:dyDescent="0.3">
      <c r="B684" s="648" t="s">
        <v>332</v>
      </c>
      <c r="C684" s="648">
        <v>2016</v>
      </c>
      <c r="D684" s="648" t="s">
        <v>51</v>
      </c>
      <c r="E684" s="648" t="s">
        <v>52</v>
      </c>
      <c r="F684" s="648" t="s">
        <v>306</v>
      </c>
      <c r="G684" s="648">
        <v>8</v>
      </c>
      <c r="H684" s="648">
        <v>14</v>
      </c>
      <c r="I684" s="648">
        <v>39000</v>
      </c>
      <c r="J684" s="648" t="s">
        <v>255</v>
      </c>
    </row>
    <row r="685" spans="2:10" x14ac:dyDescent="0.3">
      <c r="B685" s="648" t="s">
        <v>332</v>
      </c>
      <c r="C685" s="648">
        <v>2016</v>
      </c>
      <c r="D685" s="648" t="s">
        <v>51</v>
      </c>
      <c r="E685" s="648" t="s">
        <v>52</v>
      </c>
      <c r="F685" s="648" t="s">
        <v>306</v>
      </c>
      <c r="G685" s="648">
        <v>8</v>
      </c>
      <c r="H685" s="648">
        <v>15</v>
      </c>
      <c r="I685" s="648">
        <v>42000</v>
      </c>
      <c r="J685" s="648" t="s">
        <v>255</v>
      </c>
    </row>
    <row r="686" spans="2:10" x14ac:dyDescent="0.3">
      <c r="B686" s="648" t="s">
        <v>332</v>
      </c>
      <c r="C686" s="648">
        <v>2016</v>
      </c>
      <c r="D686" s="648" t="s">
        <v>51</v>
      </c>
      <c r="E686" s="648" t="s">
        <v>52</v>
      </c>
      <c r="F686" s="648" t="s">
        <v>306</v>
      </c>
      <c r="G686" s="648">
        <v>8</v>
      </c>
      <c r="H686" s="648">
        <v>16</v>
      </c>
      <c r="I686" s="648">
        <v>42000</v>
      </c>
      <c r="J686" s="648" t="s">
        <v>255</v>
      </c>
    </row>
    <row r="687" spans="2:10" x14ac:dyDescent="0.3">
      <c r="B687" s="648" t="s">
        <v>332</v>
      </c>
      <c r="C687" s="648">
        <v>2016</v>
      </c>
      <c r="D687" s="648" t="s">
        <v>51</v>
      </c>
      <c r="E687" s="648" t="s">
        <v>52</v>
      </c>
      <c r="F687" s="648" t="s">
        <v>306</v>
      </c>
      <c r="G687" s="648">
        <v>8</v>
      </c>
      <c r="H687" s="648">
        <v>17</v>
      </c>
      <c r="I687" s="648">
        <v>42000</v>
      </c>
      <c r="J687" s="648" t="s">
        <v>255</v>
      </c>
    </row>
    <row r="688" spans="2:10" x14ac:dyDescent="0.3">
      <c r="B688" s="648" t="s">
        <v>332</v>
      </c>
      <c r="C688" s="648">
        <v>2016</v>
      </c>
      <c r="D688" s="648" t="s">
        <v>51</v>
      </c>
      <c r="E688" s="648" t="s">
        <v>52</v>
      </c>
      <c r="F688" s="648" t="s">
        <v>306</v>
      </c>
      <c r="G688" s="648">
        <v>8</v>
      </c>
      <c r="H688" s="648">
        <v>18</v>
      </c>
      <c r="I688" s="648">
        <v>45000</v>
      </c>
      <c r="J688" s="648" t="s">
        <v>255</v>
      </c>
    </row>
    <row r="689" spans="2:10" x14ac:dyDescent="0.3">
      <c r="B689" s="648" t="s">
        <v>332</v>
      </c>
      <c r="C689" s="648">
        <v>2016</v>
      </c>
      <c r="D689" s="648" t="s">
        <v>51</v>
      </c>
      <c r="E689" s="648" t="s">
        <v>52</v>
      </c>
      <c r="F689" s="648" t="s">
        <v>306</v>
      </c>
      <c r="G689" s="648">
        <v>8</v>
      </c>
      <c r="H689" s="648">
        <v>19</v>
      </c>
      <c r="I689" s="648">
        <v>45000</v>
      </c>
      <c r="J689" s="648" t="s">
        <v>255</v>
      </c>
    </row>
    <row r="690" spans="2:10" x14ac:dyDescent="0.3">
      <c r="B690" s="648" t="s">
        <v>332</v>
      </c>
      <c r="C690" s="648">
        <v>2016</v>
      </c>
      <c r="D690" s="648" t="s">
        <v>51</v>
      </c>
      <c r="E690" s="648" t="s">
        <v>52</v>
      </c>
      <c r="F690" s="648" t="s">
        <v>306</v>
      </c>
      <c r="G690" s="648">
        <v>8</v>
      </c>
      <c r="H690" s="648">
        <v>20</v>
      </c>
      <c r="I690" s="648">
        <v>45000</v>
      </c>
      <c r="J690" s="648" t="s">
        <v>255</v>
      </c>
    </row>
    <row r="691" spans="2:10" x14ac:dyDescent="0.3">
      <c r="B691" s="648" t="s">
        <v>356</v>
      </c>
      <c r="C691" s="648">
        <v>2017</v>
      </c>
      <c r="D691" s="648" t="s">
        <v>53</v>
      </c>
      <c r="E691" s="648" t="s">
        <v>71</v>
      </c>
      <c r="F691" s="648" t="s">
        <v>71</v>
      </c>
      <c r="G691" s="648">
        <v>3</v>
      </c>
      <c r="H691" s="648">
        <v>13</v>
      </c>
      <c r="I691" s="648">
        <v>65150</v>
      </c>
      <c r="J691" s="648" t="s">
        <v>280</v>
      </c>
    </row>
    <row r="692" spans="2:10" x14ac:dyDescent="0.3">
      <c r="B692" s="648" t="s">
        <v>356</v>
      </c>
      <c r="C692" s="648">
        <v>2017</v>
      </c>
      <c r="D692" s="648" t="s">
        <v>53</v>
      </c>
      <c r="E692" s="648" t="s">
        <v>71</v>
      </c>
      <c r="F692" s="648" t="s">
        <v>71</v>
      </c>
      <c r="G692" s="648">
        <v>3</v>
      </c>
      <c r="H692" s="648">
        <v>14</v>
      </c>
      <c r="I692" s="648">
        <v>65150</v>
      </c>
      <c r="J692" s="648" t="s">
        <v>280</v>
      </c>
    </row>
    <row r="693" spans="2:10" x14ac:dyDescent="0.3">
      <c r="B693" s="648" t="s">
        <v>356</v>
      </c>
      <c r="C693" s="648">
        <v>2017</v>
      </c>
      <c r="D693" s="648" t="s">
        <v>53</v>
      </c>
      <c r="E693" s="648" t="s">
        <v>71</v>
      </c>
      <c r="F693" s="648" t="s">
        <v>71</v>
      </c>
      <c r="G693" s="648">
        <v>3</v>
      </c>
      <c r="H693" s="648">
        <v>15</v>
      </c>
      <c r="I693" s="648">
        <v>65150</v>
      </c>
      <c r="J693" s="648" t="s">
        <v>280</v>
      </c>
    </row>
    <row r="694" spans="2:10" x14ac:dyDescent="0.3">
      <c r="B694" s="648" t="s">
        <v>356</v>
      </c>
      <c r="C694" s="648">
        <v>2017</v>
      </c>
      <c r="D694" s="648" t="s">
        <v>53</v>
      </c>
      <c r="E694" s="648" t="s">
        <v>71</v>
      </c>
      <c r="F694" s="648" t="s">
        <v>71</v>
      </c>
      <c r="G694" s="648">
        <v>3</v>
      </c>
      <c r="H694" s="648">
        <v>16</v>
      </c>
      <c r="I694" s="648">
        <v>70150</v>
      </c>
      <c r="J694" s="648" t="s">
        <v>280</v>
      </c>
    </row>
    <row r="695" spans="2:10" x14ac:dyDescent="0.3">
      <c r="B695" s="648" t="s">
        <v>356</v>
      </c>
      <c r="C695" s="648">
        <v>2017</v>
      </c>
      <c r="D695" s="648" t="s">
        <v>53</v>
      </c>
      <c r="E695" s="648" t="s">
        <v>71</v>
      </c>
      <c r="F695" s="648" t="s">
        <v>71</v>
      </c>
      <c r="G695" s="648">
        <v>3</v>
      </c>
      <c r="H695" s="648">
        <v>17</v>
      </c>
      <c r="I695" s="648">
        <v>70150</v>
      </c>
      <c r="J695" s="648" t="s">
        <v>280</v>
      </c>
    </row>
    <row r="696" spans="2:10" x14ac:dyDescent="0.3">
      <c r="B696" s="648" t="s">
        <v>356</v>
      </c>
      <c r="C696" s="648">
        <v>2017</v>
      </c>
      <c r="D696" s="648" t="s">
        <v>53</v>
      </c>
      <c r="E696" s="648" t="s">
        <v>71</v>
      </c>
      <c r="F696" s="648" t="s">
        <v>71</v>
      </c>
      <c r="G696" s="648">
        <v>3</v>
      </c>
      <c r="H696" s="648">
        <v>18</v>
      </c>
      <c r="I696" s="648">
        <v>70150</v>
      </c>
      <c r="J696" s="648" t="s">
        <v>280</v>
      </c>
    </row>
    <row r="697" spans="2:10" x14ac:dyDescent="0.3">
      <c r="B697" s="648" t="s">
        <v>356</v>
      </c>
      <c r="C697" s="648">
        <v>2017</v>
      </c>
      <c r="D697" s="648" t="s">
        <v>53</v>
      </c>
      <c r="E697" s="648" t="s">
        <v>71</v>
      </c>
      <c r="F697" s="648" t="s">
        <v>71</v>
      </c>
      <c r="G697" s="648">
        <v>3</v>
      </c>
      <c r="H697" s="648">
        <v>19</v>
      </c>
      <c r="I697" s="648">
        <v>70150</v>
      </c>
      <c r="J697" s="648" t="s">
        <v>280</v>
      </c>
    </row>
    <row r="698" spans="2:10" x14ac:dyDescent="0.3">
      <c r="B698" s="648" t="s">
        <v>356</v>
      </c>
      <c r="C698" s="648">
        <v>2017</v>
      </c>
      <c r="D698" s="648" t="s">
        <v>53</v>
      </c>
      <c r="E698" s="648" t="s">
        <v>71</v>
      </c>
      <c r="F698" s="648" t="s">
        <v>71</v>
      </c>
      <c r="G698" s="648">
        <v>3</v>
      </c>
      <c r="H698" s="648">
        <v>20</v>
      </c>
      <c r="I698" s="648">
        <v>70150</v>
      </c>
      <c r="J698" s="648" t="s">
        <v>280</v>
      </c>
    </row>
    <row r="699" spans="2:10" x14ac:dyDescent="0.3">
      <c r="B699" s="648" t="s">
        <v>356</v>
      </c>
      <c r="C699" s="648">
        <v>2017</v>
      </c>
      <c r="D699" s="648" t="s">
        <v>53</v>
      </c>
      <c r="E699" s="648" t="s">
        <v>128</v>
      </c>
      <c r="F699" s="648" t="s">
        <v>307</v>
      </c>
      <c r="G699" s="648">
        <v>2</v>
      </c>
      <c r="H699" s="648">
        <v>13</v>
      </c>
      <c r="I699" s="648">
        <v>44150</v>
      </c>
      <c r="J699" s="648" t="s">
        <v>280</v>
      </c>
    </row>
    <row r="700" spans="2:10" x14ac:dyDescent="0.3">
      <c r="B700" s="648" t="s">
        <v>356</v>
      </c>
      <c r="C700" s="648">
        <v>2017</v>
      </c>
      <c r="D700" s="648" t="s">
        <v>53</v>
      </c>
      <c r="E700" s="648" t="s">
        <v>128</v>
      </c>
      <c r="F700" s="648" t="s">
        <v>307</v>
      </c>
      <c r="G700" s="648">
        <v>2</v>
      </c>
      <c r="H700" s="648">
        <v>14</v>
      </c>
      <c r="I700" s="648">
        <v>44150</v>
      </c>
      <c r="J700" s="648" t="s">
        <v>280</v>
      </c>
    </row>
    <row r="701" spans="2:10" x14ac:dyDescent="0.3">
      <c r="B701" s="648" t="s">
        <v>356</v>
      </c>
      <c r="C701" s="648">
        <v>2017</v>
      </c>
      <c r="D701" s="648" t="s">
        <v>53</v>
      </c>
      <c r="E701" s="648" t="s">
        <v>128</v>
      </c>
      <c r="F701" s="648" t="s">
        <v>307</v>
      </c>
      <c r="G701" s="648">
        <v>2</v>
      </c>
      <c r="H701" s="648">
        <v>15</v>
      </c>
      <c r="I701" s="648">
        <v>44150</v>
      </c>
      <c r="J701" s="648" t="s">
        <v>280</v>
      </c>
    </row>
    <row r="702" spans="2:10" x14ac:dyDescent="0.3">
      <c r="B702" s="648" t="s">
        <v>356</v>
      </c>
      <c r="C702" s="648">
        <v>2017</v>
      </c>
      <c r="D702" s="648" t="s">
        <v>53</v>
      </c>
      <c r="E702" s="648" t="s">
        <v>128</v>
      </c>
      <c r="F702" s="648" t="s">
        <v>307</v>
      </c>
      <c r="G702" s="648">
        <v>2</v>
      </c>
      <c r="H702" s="648">
        <v>16</v>
      </c>
      <c r="I702" s="648">
        <v>50150</v>
      </c>
      <c r="J702" s="648" t="s">
        <v>280</v>
      </c>
    </row>
    <row r="703" spans="2:10" x14ac:dyDescent="0.3">
      <c r="B703" s="648" t="s">
        <v>356</v>
      </c>
      <c r="C703" s="648">
        <v>2017</v>
      </c>
      <c r="D703" s="648" t="s">
        <v>53</v>
      </c>
      <c r="E703" s="648" t="s">
        <v>128</v>
      </c>
      <c r="F703" s="648" t="s">
        <v>307</v>
      </c>
      <c r="G703" s="648">
        <v>2</v>
      </c>
      <c r="H703" s="648">
        <v>17</v>
      </c>
      <c r="I703" s="648">
        <v>50150</v>
      </c>
      <c r="J703" s="648" t="s">
        <v>280</v>
      </c>
    </row>
    <row r="704" spans="2:10" x14ac:dyDescent="0.3">
      <c r="B704" s="648" t="s">
        <v>356</v>
      </c>
      <c r="C704" s="648">
        <v>2017</v>
      </c>
      <c r="D704" s="648" t="s">
        <v>53</v>
      </c>
      <c r="E704" s="648" t="s">
        <v>128</v>
      </c>
      <c r="F704" s="648" t="s">
        <v>307</v>
      </c>
      <c r="G704" s="648">
        <v>2</v>
      </c>
      <c r="H704" s="648">
        <v>18</v>
      </c>
      <c r="I704" s="648">
        <v>50150</v>
      </c>
      <c r="J704" s="648" t="s">
        <v>280</v>
      </c>
    </row>
    <row r="705" spans="2:10" x14ac:dyDescent="0.3">
      <c r="B705" s="648" t="s">
        <v>356</v>
      </c>
      <c r="C705" s="648">
        <v>2017</v>
      </c>
      <c r="D705" s="648" t="s">
        <v>53</v>
      </c>
      <c r="E705" s="648" t="s">
        <v>128</v>
      </c>
      <c r="F705" s="648" t="s">
        <v>307</v>
      </c>
      <c r="G705" s="648">
        <v>2</v>
      </c>
      <c r="H705" s="648">
        <v>19</v>
      </c>
      <c r="I705" s="648">
        <v>50150</v>
      </c>
      <c r="J705" s="648" t="s">
        <v>280</v>
      </c>
    </row>
    <row r="706" spans="2:10" x14ac:dyDescent="0.3">
      <c r="B706" s="648" t="s">
        <v>356</v>
      </c>
      <c r="C706" s="648">
        <v>2017</v>
      </c>
      <c r="D706" s="648" t="s">
        <v>53</v>
      </c>
      <c r="E706" s="648" t="s">
        <v>128</v>
      </c>
      <c r="F706" s="648" t="s">
        <v>307</v>
      </c>
      <c r="G706" s="648">
        <v>2</v>
      </c>
      <c r="H706" s="648">
        <v>20</v>
      </c>
      <c r="I706" s="648">
        <v>50150</v>
      </c>
      <c r="J706" s="648" t="s">
        <v>280</v>
      </c>
    </row>
    <row r="707" spans="2:10" x14ac:dyDescent="0.3">
      <c r="B707" s="648" t="s">
        <v>367</v>
      </c>
      <c r="C707" s="648">
        <v>2017</v>
      </c>
      <c r="D707" s="648" t="s">
        <v>51</v>
      </c>
      <c r="E707" s="648" t="s">
        <v>273</v>
      </c>
      <c r="F707" s="648" t="s">
        <v>308</v>
      </c>
      <c r="G707" s="648">
        <v>14</v>
      </c>
      <c r="H707" s="648">
        <v>1</v>
      </c>
      <c r="I707" s="648">
        <v>32500</v>
      </c>
      <c r="J707" s="648" t="s">
        <v>255</v>
      </c>
    </row>
    <row r="708" spans="2:10" x14ac:dyDescent="0.3">
      <c r="B708" s="648" t="s">
        <v>367</v>
      </c>
      <c r="C708" s="648">
        <v>2017</v>
      </c>
      <c r="D708" s="648" t="s">
        <v>51</v>
      </c>
      <c r="E708" s="648" t="s">
        <v>273</v>
      </c>
      <c r="F708" s="648" t="s">
        <v>308</v>
      </c>
      <c r="G708" s="648">
        <v>14</v>
      </c>
      <c r="H708" s="648">
        <v>2</v>
      </c>
      <c r="I708" s="648">
        <v>32500</v>
      </c>
      <c r="J708" s="648" t="s">
        <v>255</v>
      </c>
    </row>
    <row r="709" spans="2:10" x14ac:dyDescent="0.3">
      <c r="B709" s="648" t="s">
        <v>367</v>
      </c>
      <c r="C709" s="648">
        <v>2017</v>
      </c>
      <c r="D709" s="648" t="s">
        <v>51</v>
      </c>
      <c r="E709" s="648" t="s">
        <v>273</v>
      </c>
      <c r="F709" s="648" t="s">
        <v>308</v>
      </c>
      <c r="G709" s="648">
        <v>14</v>
      </c>
      <c r="H709" s="648">
        <v>3</v>
      </c>
      <c r="I709" s="648">
        <v>54000</v>
      </c>
      <c r="J709" s="648" t="s">
        <v>255</v>
      </c>
    </row>
    <row r="710" spans="2:10" x14ac:dyDescent="0.3">
      <c r="B710" s="648" t="s">
        <v>367</v>
      </c>
      <c r="C710" s="648">
        <v>2017</v>
      </c>
      <c r="D710" s="648" t="s">
        <v>51</v>
      </c>
      <c r="E710" s="648" t="s">
        <v>273</v>
      </c>
      <c r="F710" s="648" t="s">
        <v>308</v>
      </c>
      <c r="G710" s="648">
        <v>14</v>
      </c>
      <c r="H710" s="648">
        <v>4</v>
      </c>
      <c r="I710" s="648">
        <v>54000</v>
      </c>
      <c r="J710" s="648" t="s">
        <v>255</v>
      </c>
    </row>
    <row r="711" spans="2:10" x14ac:dyDescent="0.3">
      <c r="B711" s="648" t="s">
        <v>367</v>
      </c>
      <c r="C711" s="648">
        <v>2017</v>
      </c>
      <c r="D711" s="648" t="s">
        <v>51</v>
      </c>
      <c r="E711" s="648" t="s">
        <v>273</v>
      </c>
      <c r="F711" s="648" t="s">
        <v>308</v>
      </c>
      <c r="G711" s="648">
        <v>14</v>
      </c>
      <c r="H711" s="648">
        <v>5</v>
      </c>
      <c r="I711" s="648">
        <v>54000</v>
      </c>
      <c r="J711" s="648" t="s">
        <v>255</v>
      </c>
    </row>
    <row r="712" spans="2:10" x14ac:dyDescent="0.3">
      <c r="B712" s="648" t="s">
        <v>367</v>
      </c>
      <c r="C712" s="648">
        <v>2017</v>
      </c>
      <c r="D712" s="648" t="s">
        <v>51</v>
      </c>
      <c r="E712" s="648" t="s">
        <v>273</v>
      </c>
      <c r="F712" s="648" t="s">
        <v>308</v>
      </c>
      <c r="G712" s="648">
        <v>14</v>
      </c>
      <c r="H712" s="648">
        <v>6</v>
      </c>
      <c r="I712" s="648">
        <v>61000</v>
      </c>
      <c r="J712" s="648" t="s">
        <v>255</v>
      </c>
    </row>
    <row r="713" spans="2:10" x14ac:dyDescent="0.3">
      <c r="B713" s="648" t="s">
        <v>367</v>
      </c>
      <c r="C713" s="648">
        <v>2017</v>
      </c>
      <c r="D713" s="648" t="s">
        <v>51</v>
      </c>
      <c r="E713" s="648" t="s">
        <v>273</v>
      </c>
      <c r="F713" s="648" t="s">
        <v>308</v>
      </c>
      <c r="G713" s="648">
        <v>14</v>
      </c>
      <c r="H713" s="648">
        <v>7</v>
      </c>
      <c r="I713" s="648">
        <v>61000</v>
      </c>
      <c r="J713" s="648" t="s">
        <v>255</v>
      </c>
    </row>
    <row r="714" spans="2:10" x14ac:dyDescent="0.3">
      <c r="B714" s="648" t="s">
        <v>367</v>
      </c>
      <c r="C714" s="648">
        <v>2017</v>
      </c>
      <c r="D714" s="648" t="s">
        <v>51</v>
      </c>
      <c r="E714" s="648" t="s">
        <v>273</v>
      </c>
      <c r="F714" s="648" t="s">
        <v>308</v>
      </c>
      <c r="G714" s="648">
        <v>14</v>
      </c>
      <c r="H714" s="648">
        <v>8</v>
      </c>
      <c r="I714" s="648">
        <v>61000</v>
      </c>
      <c r="J714" s="648" t="s">
        <v>255</v>
      </c>
    </row>
    <row r="715" spans="2:10" x14ac:dyDescent="0.3">
      <c r="B715" s="648" t="s">
        <v>367</v>
      </c>
      <c r="C715" s="648">
        <v>2017</v>
      </c>
      <c r="D715" s="648" t="s">
        <v>51</v>
      </c>
      <c r="E715" s="648" t="s">
        <v>273</v>
      </c>
      <c r="F715" s="648" t="s">
        <v>308</v>
      </c>
      <c r="G715" s="648">
        <v>14</v>
      </c>
      <c r="H715" s="648">
        <v>9</v>
      </c>
      <c r="I715" s="648">
        <v>61000</v>
      </c>
      <c r="J715" s="648" t="s">
        <v>255</v>
      </c>
    </row>
    <row r="716" spans="2:10" x14ac:dyDescent="0.3">
      <c r="B716" s="648" t="s">
        <v>367</v>
      </c>
      <c r="C716" s="648">
        <v>2017</v>
      </c>
      <c r="D716" s="648" t="s">
        <v>51</v>
      </c>
      <c r="E716" s="648" t="s">
        <v>273</v>
      </c>
      <c r="F716" s="648" t="s">
        <v>308</v>
      </c>
      <c r="G716" s="648">
        <v>14</v>
      </c>
      <c r="H716" s="648">
        <v>10</v>
      </c>
      <c r="I716" s="648">
        <v>61000</v>
      </c>
      <c r="J716" s="648" t="s">
        <v>255</v>
      </c>
    </row>
    <row r="717" spans="2:10" x14ac:dyDescent="0.3">
      <c r="B717" s="648" t="s">
        <v>367</v>
      </c>
      <c r="C717" s="648">
        <v>2017</v>
      </c>
      <c r="D717" s="648" t="s">
        <v>51</v>
      </c>
      <c r="E717" s="648" t="s">
        <v>273</v>
      </c>
      <c r="F717" s="648" t="s">
        <v>308</v>
      </c>
      <c r="G717" s="648">
        <v>14</v>
      </c>
      <c r="H717" s="648">
        <v>11</v>
      </c>
      <c r="I717" s="648">
        <v>70000</v>
      </c>
      <c r="J717" s="648" t="s">
        <v>255</v>
      </c>
    </row>
    <row r="718" spans="2:10" x14ac:dyDescent="0.3">
      <c r="B718" s="648" t="s">
        <v>367</v>
      </c>
      <c r="C718" s="648">
        <v>2017</v>
      </c>
      <c r="D718" s="648" t="s">
        <v>51</v>
      </c>
      <c r="E718" s="648" t="s">
        <v>273</v>
      </c>
      <c r="F718" s="648" t="s">
        <v>308</v>
      </c>
      <c r="G718" s="648">
        <v>14</v>
      </c>
      <c r="H718" s="648">
        <v>12</v>
      </c>
      <c r="I718" s="648">
        <v>70000</v>
      </c>
      <c r="J718" s="648" t="s">
        <v>255</v>
      </c>
    </row>
    <row r="719" spans="2:10" x14ac:dyDescent="0.3">
      <c r="B719" s="648" t="s">
        <v>367</v>
      </c>
      <c r="C719" s="648">
        <v>2017</v>
      </c>
      <c r="D719" s="648" t="s">
        <v>51</v>
      </c>
      <c r="E719" s="648" t="s">
        <v>273</v>
      </c>
      <c r="F719" s="648" t="s">
        <v>308</v>
      </c>
      <c r="G719" s="648">
        <v>14</v>
      </c>
      <c r="H719" s="648">
        <v>13</v>
      </c>
      <c r="I719" s="648">
        <v>70000</v>
      </c>
      <c r="J719" s="648" t="s">
        <v>255</v>
      </c>
    </row>
    <row r="720" spans="2:10" x14ac:dyDescent="0.3">
      <c r="B720" s="648" t="s">
        <v>367</v>
      </c>
      <c r="C720" s="648">
        <v>2017</v>
      </c>
      <c r="D720" s="648" t="s">
        <v>51</v>
      </c>
      <c r="E720" s="648" t="s">
        <v>273</v>
      </c>
      <c r="F720" s="648" t="s">
        <v>308</v>
      </c>
      <c r="G720" s="648">
        <v>14</v>
      </c>
      <c r="H720" s="648">
        <v>14</v>
      </c>
      <c r="I720" s="648">
        <v>70000</v>
      </c>
      <c r="J720" s="648" t="s">
        <v>255</v>
      </c>
    </row>
    <row r="721" spans="2:10" x14ac:dyDescent="0.3">
      <c r="B721" s="648" t="s">
        <v>367</v>
      </c>
      <c r="C721" s="648">
        <v>2017</v>
      </c>
      <c r="D721" s="648" t="s">
        <v>51</v>
      </c>
      <c r="E721" s="648" t="s">
        <v>273</v>
      </c>
      <c r="F721" s="648" t="s">
        <v>308</v>
      </c>
      <c r="G721" s="648">
        <v>14</v>
      </c>
      <c r="H721" s="648">
        <v>15</v>
      </c>
      <c r="I721" s="648">
        <v>70000</v>
      </c>
      <c r="J721" s="648" t="s">
        <v>255</v>
      </c>
    </row>
    <row r="722" spans="2:10" x14ac:dyDescent="0.3">
      <c r="B722" s="648" t="s">
        <v>367</v>
      </c>
      <c r="C722" s="648">
        <v>2017</v>
      </c>
      <c r="D722" s="648" t="s">
        <v>51</v>
      </c>
      <c r="E722" s="648" t="s">
        <v>273</v>
      </c>
      <c r="F722" s="648" t="s">
        <v>308</v>
      </c>
      <c r="G722" s="648">
        <v>14</v>
      </c>
      <c r="H722" s="648">
        <v>16</v>
      </c>
      <c r="I722" s="648">
        <v>70000</v>
      </c>
      <c r="J722" s="648" t="s">
        <v>255</v>
      </c>
    </row>
    <row r="723" spans="2:10" x14ac:dyDescent="0.3">
      <c r="B723" s="648" t="s">
        <v>367</v>
      </c>
      <c r="C723" s="648">
        <v>2017</v>
      </c>
      <c r="D723" s="648" t="s">
        <v>51</v>
      </c>
      <c r="E723" s="648" t="s">
        <v>273</v>
      </c>
      <c r="F723" s="648" t="s">
        <v>308</v>
      </c>
      <c r="G723" s="648">
        <v>14</v>
      </c>
      <c r="H723" s="648">
        <v>17</v>
      </c>
      <c r="I723" s="648">
        <v>85000</v>
      </c>
      <c r="J723" s="648" t="s">
        <v>255</v>
      </c>
    </row>
    <row r="724" spans="2:10" x14ac:dyDescent="0.3">
      <c r="B724" s="648" t="s">
        <v>367</v>
      </c>
      <c r="C724" s="648">
        <v>2017</v>
      </c>
      <c r="D724" s="648" t="s">
        <v>51</v>
      </c>
      <c r="E724" s="648" t="s">
        <v>273</v>
      </c>
      <c r="F724" s="648" t="s">
        <v>308</v>
      </c>
      <c r="G724" s="648">
        <v>14</v>
      </c>
      <c r="H724" s="648">
        <v>18</v>
      </c>
      <c r="I724" s="648">
        <v>85000</v>
      </c>
      <c r="J724" s="648" t="s">
        <v>255</v>
      </c>
    </row>
    <row r="725" spans="2:10" x14ac:dyDescent="0.3">
      <c r="B725" s="648" t="s">
        <v>367</v>
      </c>
      <c r="C725" s="648">
        <v>2017</v>
      </c>
      <c r="D725" s="648" t="s">
        <v>51</v>
      </c>
      <c r="E725" s="648" t="s">
        <v>273</v>
      </c>
      <c r="F725" s="648" t="s">
        <v>308</v>
      </c>
      <c r="G725" s="648">
        <v>14</v>
      </c>
      <c r="H725" s="648">
        <v>19</v>
      </c>
      <c r="I725" s="648">
        <v>85000</v>
      </c>
      <c r="J725" s="648" t="s">
        <v>255</v>
      </c>
    </row>
    <row r="726" spans="2:10" x14ac:dyDescent="0.3">
      <c r="B726" s="648" t="s">
        <v>367</v>
      </c>
      <c r="C726" s="648">
        <v>2017</v>
      </c>
      <c r="D726" s="648" t="s">
        <v>51</v>
      </c>
      <c r="E726" s="648" t="s">
        <v>273</v>
      </c>
      <c r="F726" s="648" t="s">
        <v>308</v>
      </c>
      <c r="G726" s="648">
        <v>14</v>
      </c>
      <c r="H726" s="648">
        <v>20</v>
      </c>
      <c r="I726" s="648">
        <v>85000</v>
      </c>
      <c r="J726" s="648" t="s">
        <v>255</v>
      </c>
    </row>
    <row r="727" spans="2:10" x14ac:dyDescent="0.3">
      <c r="B727" s="648" t="s">
        <v>274</v>
      </c>
      <c r="C727" s="648">
        <v>2015</v>
      </c>
      <c r="D727" s="648" t="s">
        <v>51</v>
      </c>
      <c r="E727" s="648" t="s">
        <v>127</v>
      </c>
      <c r="F727" s="648" t="s">
        <v>307</v>
      </c>
      <c r="G727" s="648">
        <v>3</v>
      </c>
      <c r="H727" s="648">
        <v>11</v>
      </c>
      <c r="I727" s="648">
        <v>38500</v>
      </c>
      <c r="J727" s="648" t="s">
        <v>255</v>
      </c>
    </row>
    <row r="728" spans="2:10" x14ac:dyDescent="0.3">
      <c r="B728" s="648" t="s">
        <v>274</v>
      </c>
      <c r="C728" s="648">
        <v>2015</v>
      </c>
      <c r="D728" s="648" t="s">
        <v>51</v>
      </c>
      <c r="E728" s="648" t="s">
        <v>127</v>
      </c>
      <c r="F728" s="648" t="s">
        <v>307</v>
      </c>
      <c r="G728" s="648">
        <v>3</v>
      </c>
      <c r="H728" s="648">
        <v>12</v>
      </c>
      <c r="I728" s="648">
        <v>38500</v>
      </c>
      <c r="J728" s="648" t="s">
        <v>255</v>
      </c>
    </row>
    <row r="729" spans="2:10" x14ac:dyDescent="0.3">
      <c r="B729" s="648" t="s">
        <v>274</v>
      </c>
      <c r="C729" s="648">
        <v>2015</v>
      </c>
      <c r="D729" s="648" t="s">
        <v>51</v>
      </c>
      <c r="E729" s="648" t="s">
        <v>127</v>
      </c>
      <c r="F729" s="648" t="s">
        <v>307</v>
      </c>
      <c r="G729" s="648">
        <v>3</v>
      </c>
      <c r="H729" s="648">
        <v>13</v>
      </c>
      <c r="I729" s="648">
        <v>41500</v>
      </c>
      <c r="J729" s="648" t="s">
        <v>255</v>
      </c>
    </row>
    <row r="730" spans="2:10" x14ac:dyDescent="0.3">
      <c r="B730" s="648" t="s">
        <v>274</v>
      </c>
      <c r="C730" s="648">
        <v>2015</v>
      </c>
      <c r="D730" s="648" t="s">
        <v>51</v>
      </c>
      <c r="E730" s="648" t="s">
        <v>127</v>
      </c>
      <c r="F730" s="648" t="s">
        <v>307</v>
      </c>
      <c r="G730" s="648">
        <v>3</v>
      </c>
      <c r="H730" s="648">
        <v>14</v>
      </c>
      <c r="I730" s="648">
        <v>41500</v>
      </c>
      <c r="J730" s="648" t="s">
        <v>255</v>
      </c>
    </row>
    <row r="731" spans="2:10" x14ac:dyDescent="0.3">
      <c r="B731" s="648" t="s">
        <v>274</v>
      </c>
      <c r="C731" s="648">
        <v>2015</v>
      </c>
      <c r="D731" s="648" t="s">
        <v>51</v>
      </c>
      <c r="E731" s="648" t="s">
        <v>127</v>
      </c>
      <c r="F731" s="648" t="s">
        <v>307</v>
      </c>
      <c r="G731" s="648">
        <v>3</v>
      </c>
      <c r="H731" s="648">
        <v>15</v>
      </c>
      <c r="I731" s="648">
        <v>44500</v>
      </c>
      <c r="J731" s="648" t="s">
        <v>255</v>
      </c>
    </row>
    <row r="732" spans="2:10" x14ac:dyDescent="0.3">
      <c r="B732" s="648" t="s">
        <v>274</v>
      </c>
      <c r="C732" s="648">
        <v>2015</v>
      </c>
      <c r="D732" s="648" t="s">
        <v>51</v>
      </c>
      <c r="E732" s="648" t="s">
        <v>127</v>
      </c>
      <c r="F732" s="648" t="s">
        <v>307</v>
      </c>
      <c r="G732" s="648">
        <v>3</v>
      </c>
      <c r="H732" s="648">
        <v>16</v>
      </c>
      <c r="I732" s="648">
        <v>44500</v>
      </c>
      <c r="J732" s="648" t="s">
        <v>255</v>
      </c>
    </row>
    <row r="733" spans="2:10" x14ac:dyDescent="0.3">
      <c r="B733" s="648" t="s">
        <v>274</v>
      </c>
      <c r="C733" s="648">
        <v>2015</v>
      </c>
      <c r="D733" s="648" t="s">
        <v>51</v>
      </c>
      <c r="E733" s="648" t="s">
        <v>127</v>
      </c>
      <c r="F733" s="648" t="s">
        <v>307</v>
      </c>
      <c r="G733" s="648">
        <v>3</v>
      </c>
      <c r="H733" s="648">
        <v>17</v>
      </c>
      <c r="I733" s="648">
        <v>44500</v>
      </c>
      <c r="J733" s="648" t="s">
        <v>255</v>
      </c>
    </row>
    <row r="734" spans="2:10" x14ac:dyDescent="0.3">
      <c r="B734" s="648" t="s">
        <v>274</v>
      </c>
      <c r="C734" s="648">
        <v>2015</v>
      </c>
      <c r="D734" s="648" t="s">
        <v>51</v>
      </c>
      <c r="E734" s="648" t="s">
        <v>127</v>
      </c>
      <c r="F734" s="648" t="s">
        <v>307</v>
      </c>
      <c r="G734" s="648">
        <v>3</v>
      </c>
      <c r="H734" s="648">
        <v>18</v>
      </c>
      <c r="I734" s="648">
        <v>44500</v>
      </c>
      <c r="J734" s="648" t="s">
        <v>255</v>
      </c>
    </row>
    <row r="735" spans="2:10" x14ac:dyDescent="0.3">
      <c r="B735" s="648" t="s">
        <v>274</v>
      </c>
      <c r="C735" s="648">
        <v>2015</v>
      </c>
      <c r="D735" s="648" t="s">
        <v>51</v>
      </c>
      <c r="E735" s="648" t="s">
        <v>127</v>
      </c>
      <c r="F735" s="648" t="s">
        <v>307</v>
      </c>
      <c r="G735" s="648">
        <v>3</v>
      </c>
      <c r="H735" s="648">
        <v>19</v>
      </c>
      <c r="I735" s="648">
        <v>44500</v>
      </c>
      <c r="J735" s="648" t="s">
        <v>255</v>
      </c>
    </row>
    <row r="736" spans="2:10" x14ac:dyDescent="0.3">
      <c r="B736" s="648" t="s">
        <v>274</v>
      </c>
      <c r="C736" s="648">
        <v>2015</v>
      </c>
      <c r="D736" s="648" t="s">
        <v>51</v>
      </c>
      <c r="E736" s="648" t="s">
        <v>127</v>
      </c>
      <c r="F736" s="648" t="s">
        <v>307</v>
      </c>
      <c r="G736" s="648">
        <v>3</v>
      </c>
      <c r="H736" s="648">
        <v>20</v>
      </c>
      <c r="I736" s="648">
        <v>44500</v>
      </c>
      <c r="J736" s="648" t="s">
        <v>255</v>
      </c>
    </row>
    <row r="737" spans="2:10" x14ac:dyDescent="0.3">
      <c r="B737" s="648" t="s">
        <v>357</v>
      </c>
      <c r="C737" s="648">
        <v>2017</v>
      </c>
      <c r="D737" s="648" t="s">
        <v>53</v>
      </c>
      <c r="E737" s="648" t="s">
        <v>72</v>
      </c>
      <c r="F737" s="648" t="s">
        <v>71</v>
      </c>
      <c r="G737" s="648">
        <v>3</v>
      </c>
      <c r="H737" s="648">
        <v>6</v>
      </c>
      <c r="I737" s="648">
        <v>47500</v>
      </c>
      <c r="J737" s="648" t="s">
        <v>280</v>
      </c>
    </row>
    <row r="738" spans="2:10" x14ac:dyDescent="0.3">
      <c r="B738" s="648" t="s">
        <v>357</v>
      </c>
      <c r="C738" s="648">
        <v>2017</v>
      </c>
      <c r="D738" s="648" t="s">
        <v>53</v>
      </c>
      <c r="E738" s="648" t="s">
        <v>72</v>
      </c>
      <c r="F738" s="648" t="s">
        <v>71</v>
      </c>
      <c r="G738" s="648">
        <v>3</v>
      </c>
      <c r="H738" s="648">
        <v>7</v>
      </c>
      <c r="I738" s="648">
        <v>47500</v>
      </c>
      <c r="J738" s="648" t="s">
        <v>280</v>
      </c>
    </row>
    <row r="739" spans="2:10" x14ac:dyDescent="0.3">
      <c r="B739" s="648" t="s">
        <v>357</v>
      </c>
      <c r="C739" s="648">
        <v>2017</v>
      </c>
      <c r="D739" s="648" t="s">
        <v>53</v>
      </c>
      <c r="E739" s="648" t="s">
        <v>72</v>
      </c>
      <c r="F739" s="648" t="s">
        <v>71</v>
      </c>
      <c r="G739" s="648">
        <v>3</v>
      </c>
      <c r="H739" s="648">
        <v>8</v>
      </c>
      <c r="I739" s="648">
        <v>47500</v>
      </c>
      <c r="J739" s="648" t="s">
        <v>280</v>
      </c>
    </row>
    <row r="740" spans="2:10" x14ac:dyDescent="0.3">
      <c r="B740" s="648" t="s">
        <v>357</v>
      </c>
      <c r="C740" s="648">
        <v>2017</v>
      </c>
      <c r="D740" s="648" t="s">
        <v>53</v>
      </c>
      <c r="E740" s="648" t="s">
        <v>72</v>
      </c>
      <c r="F740" s="648" t="s">
        <v>71</v>
      </c>
      <c r="G740" s="648">
        <v>3</v>
      </c>
      <c r="H740" s="648">
        <v>9</v>
      </c>
      <c r="I740" s="648">
        <v>47500</v>
      </c>
      <c r="J740" s="648" t="s">
        <v>280</v>
      </c>
    </row>
    <row r="741" spans="2:10" x14ac:dyDescent="0.3">
      <c r="B741" s="648" t="s">
        <v>357</v>
      </c>
      <c r="C741" s="648">
        <v>2017</v>
      </c>
      <c r="D741" s="648" t="s">
        <v>53</v>
      </c>
      <c r="E741" s="648" t="s">
        <v>72</v>
      </c>
      <c r="F741" s="648" t="s">
        <v>71</v>
      </c>
      <c r="G741" s="648">
        <v>3</v>
      </c>
      <c r="H741" s="648">
        <v>10</v>
      </c>
      <c r="I741" s="648">
        <v>50000</v>
      </c>
      <c r="J741" s="648" t="s">
        <v>280</v>
      </c>
    </row>
    <row r="742" spans="2:10" x14ac:dyDescent="0.3">
      <c r="B742" s="648" t="s">
        <v>357</v>
      </c>
      <c r="C742" s="648">
        <v>2017</v>
      </c>
      <c r="D742" s="648" t="s">
        <v>53</v>
      </c>
      <c r="E742" s="648" t="s">
        <v>72</v>
      </c>
      <c r="F742" s="648" t="s">
        <v>71</v>
      </c>
      <c r="G742" s="648">
        <v>3</v>
      </c>
      <c r="H742" s="648">
        <v>11</v>
      </c>
      <c r="I742" s="648">
        <v>50000</v>
      </c>
      <c r="J742" s="648" t="s">
        <v>280</v>
      </c>
    </row>
    <row r="743" spans="2:10" x14ac:dyDescent="0.3">
      <c r="B743" s="648" t="s">
        <v>357</v>
      </c>
      <c r="C743" s="648">
        <v>2017</v>
      </c>
      <c r="D743" s="648" t="s">
        <v>53</v>
      </c>
      <c r="E743" s="648" t="s">
        <v>72</v>
      </c>
      <c r="F743" s="648" t="s">
        <v>71</v>
      </c>
      <c r="G743" s="648">
        <v>3</v>
      </c>
      <c r="H743" s="648">
        <v>12</v>
      </c>
      <c r="I743" s="648">
        <v>50000</v>
      </c>
      <c r="J743" s="648" t="s">
        <v>280</v>
      </c>
    </row>
    <row r="744" spans="2:10" x14ac:dyDescent="0.3">
      <c r="B744" s="648" t="s">
        <v>357</v>
      </c>
      <c r="C744" s="648">
        <v>2017</v>
      </c>
      <c r="D744" s="648" t="s">
        <v>53</v>
      </c>
      <c r="E744" s="648" t="s">
        <v>72</v>
      </c>
      <c r="F744" s="648" t="s">
        <v>71</v>
      </c>
      <c r="G744" s="648">
        <v>3</v>
      </c>
      <c r="H744" s="648">
        <v>13</v>
      </c>
      <c r="I744" s="648">
        <v>55000</v>
      </c>
      <c r="J744" s="648" t="s">
        <v>280</v>
      </c>
    </row>
    <row r="745" spans="2:10" x14ac:dyDescent="0.3">
      <c r="B745" s="648" t="s">
        <v>357</v>
      </c>
      <c r="C745" s="648">
        <v>2017</v>
      </c>
      <c r="D745" s="648" t="s">
        <v>53</v>
      </c>
      <c r="E745" s="648" t="s">
        <v>72</v>
      </c>
      <c r="F745" s="648" t="s">
        <v>71</v>
      </c>
      <c r="G745" s="648">
        <v>3</v>
      </c>
      <c r="H745" s="648">
        <v>14</v>
      </c>
      <c r="I745" s="648">
        <v>55000</v>
      </c>
      <c r="J745" s="648" t="s">
        <v>280</v>
      </c>
    </row>
    <row r="746" spans="2:10" x14ac:dyDescent="0.3">
      <c r="B746" s="648" t="s">
        <v>357</v>
      </c>
      <c r="C746" s="648">
        <v>2017</v>
      </c>
      <c r="D746" s="648" t="s">
        <v>53</v>
      </c>
      <c r="E746" s="648" t="s">
        <v>72</v>
      </c>
      <c r="F746" s="648" t="s">
        <v>71</v>
      </c>
      <c r="G746" s="648">
        <v>3</v>
      </c>
      <c r="H746" s="648">
        <v>15</v>
      </c>
      <c r="I746" s="648">
        <v>55000</v>
      </c>
      <c r="J746" s="648" t="s">
        <v>280</v>
      </c>
    </row>
    <row r="747" spans="2:10" x14ac:dyDescent="0.3">
      <c r="B747" s="648" t="s">
        <v>357</v>
      </c>
      <c r="C747" s="648">
        <v>2017</v>
      </c>
      <c r="D747" s="648" t="s">
        <v>53</v>
      </c>
      <c r="E747" s="648" t="s">
        <v>72</v>
      </c>
      <c r="F747" s="648" t="s">
        <v>71</v>
      </c>
      <c r="G747" s="648">
        <v>3</v>
      </c>
      <c r="H747" s="648">
        <v>16</v>
      </c>
      <c r="I747" s="648">
        <v>58500</v>
      </c>
      <c r="J747" s="648" t="s">
        <v>280</v>
      </c>
    </row>
    <row r="748" spans="2:10" x14ac:dyDescent="0.3">
      <c r="B748" s="648" t="s">
        <v>357</v>
      </c>
      <c r="C748" s="648">
        <v>2017</v>
      </c>
      <c r="D748" s="648" t="s">
        <v>53</v>
      </c>
      <c r="E748" s="648" t="s">
        <v>72</v>
      </c>
      <c r="F748" s="648" t="s">
        <v>71</v>
      </c>
      <c r="G748" s="648">
        <v>3</v>
      </c>
      <c r="H748" s="648">
        <v>17</v>
      </c>
      <c r="I748" s="648">
        <v>58500</v>
      </c>
      <c r="J748" s="648" t="s">
        <v>280</v>
      </c>
    </row>
    <row r="749" spans="2:10" x14ac:dyDescent="0.3">
      <c r="B749" s="648" t="s">
        <v>357</v>
      </c>
      <c r="C749" s="648">
        <v>2017</v>
      </c>
      <c r="D749" s="648" t="s">
        <v>53</v>
      </c>
      <c r="E749" s="648" t="s">
        <v>72</v>
      </c>
      <c r="F749" s="648" t="s">
        <v>71</v>
      </c>
      <c r="G749" s="648">
        <v>3</v>
      </c>
      <c r="H749" s="648">
        <v>18</v>
      </c>
      <c r="I749" s="648">
        <v>58500</v>
      </c>
      <c r="J749" s="648" t="s">
        <v>280</v>
      </c>
    </row>
    <row r="750" spans="2:10" x14ac:dyDescent="0.3">
      <c r="B750" s="648" t="s">
        <v>357</v>
      </c>
      <c r="C750" s="648">
        <v>2017</v>
      </c>
      <c r="D750" s="648" t="s">
        <v>53</v>
      </c>
      <c r="E750" s="648" t="s">
        <v>72</v>
      </c>
      <c r="F750" s="648" t="s">
        <v>71</v>
      </c>
      <c r="G750" s="648">
        <v>3</v>
      </c>
      <c r="H750" s="648">
        <v>19</v>
      </c>
      <c r="I750" s="648">
        <v>58500</v>
      </c>
      <c r="J750" s="648" t="s">
        <v>280</v>
      </c>
    </row>
    <row r="751" spans="2:10" x14ac:dyDescent="0.3">
      <c r="B751" s="648" t="s">
        <v>357</v>
      </c>
      <c r="C751" s="648">
        <v>2017</v>
      </c>
      <c r="D751" s="648" t="s">
        <v>53</v>
      </c>
      <c r="E751" s="648" t="s">
        <v>72</v>
      </c>
      <c r="F751" s="648" t="s">
        <v>71</v>
      </c>
      <c r="G751" s="648">
        <v>3</v>
      </c>
      <c r="H751" s="648">
        <v>20</v>
      </c>
      <c r="I751" s="648">
        <v>58500</v>
      </c>
      <c r="J751" s="648" t="s">
        <v>280</v>
      </c>
    </row>
    <row r="752" spans="2:10" x14ac:dyDescent="0.3">
      <c r="B752" s="648" t="s">
        <v>317</v>
      </c>
      <c r="C752" s="648">
        <v>2016</v>
      </c>
      <c r="D752" s="648" t="s">
        <v>54</v>
      </c>
      <c r="E752" s="648" t="s">
        <v>55</v>
      </c>
      <c r="F752" s="648" t="s">
        <v>55</v>
      </c>
      <c r="G752" s="648">
        <v>10</v>
      </c>
      <c r="H752" s="648">
        <v>6</v>
      </c>
      <c r="I752" s="648">
        <v>61200</v>
      </c>
      <c r="J752" s="648" t="s">
        <v>280</v>
      </c>
    </row>
    <row r="753" spans="2:10" x14ac:dyDescent="0.3">
      <c r="B753" s="648" t="s">
        <v>317</v>
      </c>
      <c r="C753" s="648">
        <v>2016</v>
      </c>
      <c r="D753" s="648" t="s">
        <v>54</v>
      </c>
      <c r="E753" s="648" t="s">
        <v>55</v>
      </c>
      <c r="F753" s="648" t="s">
        <v>55</v>
      </c>
      <c r="G753" s="648">
        <v>10</v>
      </c>
      <c r="H753" s="648">
        <v>7</v>
      </c>
      <c r="I753" s="648">
        <v>61200</v>
      </c>
      <c r="J753" s="648" t="s">
        <v>280</v>
      </c>
    </row>
    <row r="754" spans="2:10" x14ac:dyDescent="0.3">
      <c r="B754" s="648" t="s">
        <v>317</v>
      </c>
      <c r="C754" s="648">
        <v>2016</v>
      </c>
      <c r="D754" s="648" t="s">
        <v>54</v>
      </c>
      <c r="E754" s="648" t="s">
        <v>55</v>
      </c>
      <c r="F754" s="648" t="s">
        <v>55</v>
      </c>
      <c r="G754" s="648">
        <v>10</v>
      </c>
      <c r="H754" s="648">
        <v>8</v>
      </c>
      <c r="I754" s="648">
        <v>61200</v>
      </c>
      <c r="J754" s="648" t="s">
        <v>280</v>
      </c>
    </row>
    <row r="755" spans="2:10" x14ac:dyDescent="0.3">
      <c r="B755" s="648" t="s">
        <v>317</v>
      </c>
      <c r="C755" s="648">
        <v>2016</v>
      </c>
      <c r="D755" s="648" t="s">
        <v>54</v>
      </c>
      <c r="E755" s="648" t="s">
        <v>55</v>
      </c>
      <c r="F755" s="648" t="s">
        <v>55</v>
      </c>
      <c r="G755" s="648">
        <v>10</v>
      </c>
      <c r="H755" s="648">
        <v>9</v>
      </c>
      <c r="I755" s="648">
        <v>61200</v>
      </c>
      <c r="J755" s="648" t="s">
        <v>280</v>
      </c>
    </row>
    <row r="756" spans="2:10" x14ac:dyDescent="0.3">
      <c r="B756" s="648" t="s">
        <v>317</v>
      </c>
      <c r="C756" s="648">
        <v>2016</v>
      </c>
      <c r="D756" s="648" t="s">
        <v>54</v>
      </c>
      <c r="E756" s="648" t="s">
        <v>55</v>
      </c>
      <c r="F756" s="648" t="s">
        <v>55</v>
      </c>
      <c r="G756" s="648">
        <v>10</v>
      </c>
      <c r="H756" s="648">
        <v>10</v>
      </c>
      <c r="I756" s="648">
        <v>61200</v>
      </c>
      <c r="J756" s="648" t="s">
        <v>280</v>
      </c>
    </row>
    <row r="757" spans="2:10" x14ac:dyDescent="0.3">
      <c r="B757" s="648" t="s">
        <v>317</v>
      </c>
      <c r="C757" s="648">
        <v>2016</v>
      </c>
      <c r="D757" s="648" t="s">
        <v>54</v>
      </c>
      <c r="E757" s="648" t="s">
        <v>55</v>
      </c>
      <c r="F757" s="648" t="s">
        <v>55</v>
      </c>
      <c r="G757" s="648">
        <v>10</v>
      </c>
      <c r="H757" s="648">
        <v>11</v>
      </c>
      <c r="I757" s="648">
        <v>71185</v>
      </c>
      <c r="J757" s="648" t="s">
        <v>280</v>
      </c>
    </row>
    <row r="758" spans="2:10" x14ac:dyDescent="0.3">
      <c r="B758" s="648" t="s">
        <v>317</v>
      </c>
      <c r="C758" s="648">
        <v>2016</v>
      </c>
      <c r="D758" s="648" t="s">
        <v>54</v>
      </c>
      <c r="E758" s="648" t="s">
        <v>55</v>
      </c>
      <c r="F758" s="648" t="s">
        <v>55</v>
      </c>
      <c r="G758" s="648">
        <v>10</v>
      </c>
      <c r="H758" s="648">
        <v>12</v>
      </c>
      <c r="I758" s="648">
        <v>71185</v>
      </c>
      <c r="J758" s="648" t="s">
        <v>280</v>
      </c>
    </row>
    <row r="759" spans="2:10" x14ac:dyDescent="0.3">
      <c r="B759" s="648" t="s">
        <v>317</v>
      </c>
      <c r="C759" s="648">
        <v>2016</v>
      </c>
      <c r="D759" s="648" t="s">
        <v>54</v>
      </c>
      <c r="E759" s="648" t="s">
        <v>55</v>
      </c>
      <c r="F759" s="648" t="s">
        <v>55</v>
      </c>
      <c r="G759" s="648">
        <v>10</v>
      </c>
      <c r="H759" s="648">
        <v>13</v>
      </c>
      <c r="I759" s="648">
        <v>71185</v>
      </c>
      <c r="J759" s="648" t="s">
        <v>280</v>
      </c>
    </row>
    <row r="760" spans="2:10" x14ac:dyDescent="0.3">
      <c r="B760" s="648" t="s">
        <v>317</v>
      </c>
      <c r="C760" s="648">
        <v>2016</v>
      </c>
      <c r="D760" s="648" t="s">
        <v>54</v>
      </c>
      <c r="E760" s="648" t="s">
        <v>55</v>
      </c>
      <c r="F760" s="648" t="s">
        <v>55</v>
      </c>
      <c r="G760" s="648">
        <v>10</v>
      </c>
      <c r="H760" s="648">
        <v>14</v>
      </c>
      <c r="I760" s="648">
        <v>71185</v>
      </c>
      <c r="J760" s="648" t="s">
        <v>280</v>
      </c>
    </row>
    <row r="761" spans="2:10" x14ac:dyDescent="0.3">
      <c r="B761" s="648" t="s">
        <v>317</v>
      </c>
      <c r="C761" s="648">
        <v>2016</v>
      </c>
      <c r="D761" s="648" t="s">
        <v>54</v>
      </c>
      <c r="E761" s="648" t="s">
        <v>55</v>
      </c>
      <c r="F761" s="648" t="s">
        <v>55</v>
      </c>
      <c r="G761" s="648">
        <v>10</v>
      </c>
      <c r="H761" s="648">
        <v>15</v>
      </c>
      <c r="I761" s="648">
        <v>71185</v>
      </c>
      <c r="J761" s="648" t="s">
        <v>280</v>
      </c>
    </row>
    <row r="762" spans="2:10" x14ac:dyDescent="0.3">
      <c r="B762" s="648" t="s">
        <v>317</v>
      </c>
      <c r="C762" s="648">
        <v>2016</v>
      </c>
      <c r="D762" s="648" t="s">
        <v>54</v>
      </c>
      <c r="E762" s="648" t="s">
        <v>55</v>
      </c>
      <c r="F762" s="648" t="s">
        <v>55</v>
      </c>
      <c r="G762" s="648">
        <v>10</v>
      </c>
      <c r="H762" s="648">
        <v>16</v>
      </c>
      <c r="I762" s="648">
        <v>81575</v>
      </c>
      <c r="J762" s="648" t="s">
        <v>280</v>
      </c>
    </row>
    <row r="763" spans="2:10" x14ac:dyDescent="0.3">
      <c r="B763" s="648" t="s">
        <v>317</v>
      </c>
      <c r="C763" s="648">
        <v>2016</v>
      </c>
      <c r="D763" s="648" t="s">
        <v>54</v>
      </c>
      <c r="E763" s="648" t="s">
        <v>55</v>
      </c>
      <c r="F763" s="648" t="s">
        <v>55</v>
      </c>
      <c r="G763" s="648">
        <v>10</v>
      </c>
      <c r="H763" s="648">
        <v>17</v>
      </c>
      <c r="I763" s="648">
        <v>81575</v>
      </c>
      <c r="J763" s="648" t="s">
        <v>280</v>
      </c>
    </row>
    <row r="764" spans="2:10" x14ac:dyDescent="0.3">
      <c r="B764" s="648" t="s">
        <v>317</v>
      </c>
      <c r="C764" s="648">
        <v>2016</v>
      </c>
      <c r="D764" s="648" t="s">
        <v>54</v>
      </c>
      <c r="E764" s="648" t="s">
        <v>55</v>
      </c>
      <c r="F764" s="648" t="s">
        <v>55</v>
      </c>
      <c r="G764" s="648">
        <v>10</v>
      </c>
      <c r="H764" s="648">
        <v>18</v>
      </c>
      <c r="I764" s="648">
        <v>81575</v>
      </c>
      <c r="J764" s="648" t="s">
        <v>280</v>
      </c>
    </row>
    <row r="765" spans="2:10" x14ac:dyDescent="0.3">
      <c r="B765" s="648" t="s">
        <v>317</v>
      </c>
      <c r="C765" s="648">
        <v>2016</v>
      </c>
      <c r="D765" s="648" t="s">
        <v>54</v>
      </c>
      <c r="E765" s="648" t="s">
        <v>55</v>
      </c>
      <c r="F765" s="648" t="s">
        <v>55</v>
      </c>
      <c r="G765" s="648">
        <v>10</v>
      </c>
      <c r="H765" s="648">
        <v>19</v>
      </c>
      <c r="I765" s="648">
        <v>81575</v>
      </c>
      <c r="J765" s="648" t="s">
        <v>280</v>
      </c>
    </row>
    <row r="766" spans="2:10" x14ac:dyDescent="0.3">
      <c r="B766" s="648" t="s">
        <v>317</v>
      </c>
      <c r="C766" s="648">
        <v>2016</v>
      </c>
      <c r="D766" s="648" t="s">
        <v>54</v>
      </c>
      <c r="E766" s="648" t="s">
        <v>55</v>
      </c>
      <c r="F766" s="648" t="s">
        <v>55</v>
      </c>
      <c r="G766" s="648">
        <v>10</v>
      </c>
      <c r="H766" s="648">
        <v>20</v>
      </c>
      <c r="I766" s="648">
        <v>81575</v>
      </c>
      <c r="J766" s="648" t="s">
        <v>280</v>
      </c>
    </row>
    <row r="767" spans="2:10" x14ac:dyDescent="0.3">
      <c r="B767" s="648" t="s">
        <v>358</v>
      </c>
      <c r="C767" s="648">
        <v>2016</v>
      </c>
      <c r="D767" s="648" t="s">
        <v>51</v>
      </c>
      <c r="E767" s="648" t="s">
        <v>127</v>
      </c>
      <c r="F767" s="648" t="s">
        <v>307</v>
      </c>
      <c r="G767" s="648">
        <v>1</v>
      </c>
      <c r="H767" s="648">
        <v>13</v>
      </c>
      <c r="I767" s="648">
        <v>40000</v>
      </c>
      <c r="J767" s="648" t="s">
        <v>280</v>
      </c>
    </row>
    <row r="768" spans="2:10" x14ac:dyDescent="0.3">
      <c r="B768" s="648" t="s">
        <v>358</v>
      </c>
      <c r="C768" s="648">
        <v>2016</v>
      </c>
      <c r="D768" s="648" t="s">
        <v>51</v>
      </c>
      <c r="E768" s="648" t="s">
        <v>127</v>
      </c>
      <c r="F768" s="648" t="s">
        <v>307</v>
      </c>
      <c r="G768" s="648">
        <v>1</v>
      </c>
      <c r="H768" s="648">
        <v>14</v>
      </c>
      <c r="I768" s="648">
        <v>40000</v>
      </c>
      <c r="J768" s="648" t="s">
        <v>280</v>
      </c>
    </row>
    <row r="769" spans="2:10" x14ac:dyDescent="0.3">
      <c r="B769" s="648" t="s">
        <v>358</v>
      </c>
      <c r="C769" s="648">
        <v>2016</v>
      </c>
      <c r="D769" s="648" t="s">
        <v>51</v>
      </c>
      <c r="E769" s="648" t="s">
        <v>127</v>
      </c>
      <c r="F769" s="648" t="s">
        <v>307</v>
      </c>
      <c r="G769" s="648">
        <v>1</v>
      </c>
      <c r="H769" s="648">
        <v>15</v>
      </c>
      <c r="I769" s="648">
        <v>40000</v>
      </c>
      <c r="J769" s="648" t="s">
        <v>280</v>
      </c>
    </row>
    <row r="770" spans="2:10" x14ac:dyDescent="0.3">
      <c r="B770" s="648" t="s">
        <v>358</v>
      </c>
      <c r="C770" s="648">
        <v>2016</v>
      </c>
      <c r="D770" s="648" t="s">
        <v>51</v>
      </c>
      <c r="E770" s="648" t="s">
        <v>127</v>
      </c>
      <c r="F770" s="648" t="s">
        <v>307</v>
      </c>
      <c r="G770" s="648">
        <v>1</v>
      </c>
      <c r="H770" s="648">
        <v>16</v>
      </c>
      <c r="I770" s="648">
        <v>44000</v>
      </c>
      <c r="J770" s="648" t="s">
        <v>280</v>
      </c>
    </row>
    <row r="771" spans="2:10" x14ac:dyDescent="0.3">
      <c r="B771" s="648" t="s">
        <v>358</v>
      </c>
      <c r="C771" s="648">
        <v>2016</v>
      </c>
      <c r="D771" s="648" t="s">
        <v>51</v>
      </c>
      <c r="E771" s="648" t="s">
        <v>127</v>
      </c>
      <c r="F771" s="648" t="s">
        <v>307</v>
      </c>
      <c r="G771" s="648">
        <v>1</v>
      </c>
      <c r="H771" s="648">
        <v>17</v>
      </c>
      <c r="I771" s="648">
        <v>44000</v>
      </c>
      <c r="J771" s="648" t="s">
        <v>280</v>
      </c>
    </row>
    <row r="772" spans="2:10" x14ac:dyDescent="0.3">
      <c r="B772" s="648" t="s">
        <v>358</v>
      </c>
      <c r="C772" s="648">
        <v>2016</v>
      </c>
      <c r="D772" s="648" t="s">
        <v>51</v>
      </c>
      <c r="E772" s="648" t="s">
        <v>127</v>
      </c>
      <c r="F772" s="648" t="s">
        <v>307</v>
      </c>
      <c r="G772" s="648">
        <v>1</v>
      </c>
      <c r="H772" s="648">
        <v>18</v>
      </c>
      <c r="I772" s="648">
        <v>44000</v>
      </c>
      <c r="J772" s="648" t="s">
        <v>280</v>
      </c>
    </row>
    <row r="773" spans="2:10" x14ac:dyDescent="0.3">
      <c r="B773" s="648" t="s">
        <v>358</v>
      </c>
      <c r="C773" s="648">
        <v>2016</v>
      </c>
      <c r="D773" s="648" t="s">
        <v>51</v>
      </c>
      <c r="E773" s="648" t="s">
        <v>127</v>
      </c>
      <c r="F773" s="648" t="s">
        <v>307</v>
      </c>
      <c r="G773" s="648">
        <v>1</v>
      </c>
      <c r="H773" s="648">
        <v>19</v>
      </c>
      <c r="I773" s="648">
        <v>44000</v>
      </c>
      <c r="J773" s="648" t="s">
        <v>280</v>
      </c>
    </row>
    <row r="774" spans="2:10" x14ac:dyDescent="0.3">
      <c r="B774" s="648" t="s">
        <v>358</v>
      </c>
      <c r="C774" s="648">
        <v>2016</v>
      </c>
      <c r="D774" s="648" t="s">
        <v>51</v>
      </c>
      <c r="E774" s="648" t="s">
        <v>127</v>
      </c>
      <c r="F774" s="648" t="s">
        <v>307</v>
      </c>
      <c r="G774" s="648">
        <v>1</v>
      </c>
      <c r="H774" s="648">
        <v>20</v>
      </c>
      <c r="I774" s="648">
        <v>44000</v>
      </c>
      <c r="J774" s="648" t="s">
        <v>280</v>
      </c>
    </row>
    <row r="775" spans="2:10" x14ac:dyDescent="0.3">
      <c r="B775" s="648" t="s">
        <v>276</v>
      </c>
      <c r="C775" s="648">
        <v>2014</v>
      </c>
      <c r="D775" s="648" t="s">
        <v>54</v>
      </c>
      <c r="E775" s="648" t="s">
        <v>127</v>
      </c>
      <c r="F775" s="648" t="s">
        <v>307</v>
      </c>
      <c r="G775" s="648">
        <v>3</v>
      </c>
      <c r="H775" s="648">
        <v>6</v>
      </c>
      <c r="I775" s="648">
        <v>43000</v>
      </c>
      <c r="J775" s="648" t="s">
        <v>255</v>
      </c>
    </row>
    <row r="776" spans="2:10" x14ac:dyDescent="0.3">
      <c r="B776" s="648" t="s">
        <v>276</v>
      </c>
      <c r="C776" s="648">
        <v>2014</v>
      </c>
      <c r="D776" s="648" t="s">
        <v>54</v>
      </c>
      <c r="E776" s="648" t="s">
        <v>127</v>
      </c>
      <c r="F776" s="648" t="s">
        <v>307</v>
      </c>
      <c r="G776" s="648">
        <v>3</v>
      </c>
      <c r="H776" s="648">
        <v>7</v>
      </c>
      <c r="I776" s="648">
        <v>43000</v>
      </c>
      <c r="J776" s="648" t="s">
        <v>255</v>
      </c>
    </row>
    <row r="777" spans="2:10" x14ac:dyDescent="0.3">
      <c r="B777" s="648" t="s">
        <v>276</v>
      </c>
      <c r="C777" s="648">
        <v>2014</v>
      </c>
      <c r="D777" s="648" t="s">
        <v>54</v>
      </c>
      <c r="E777" s="648" t="s">
        <v>127</v>
      </c>
      <c r="F777" s="648" t="s">
        <v>307</v>
      </c>
      <c r="G777" s="648">
        <v>3</v>
      </c>
      <c r="H777" s="648">
        <v>8</v>
      </c>
      <c r="I777" s="648">
        <v>43000</v>
      </c>
      <c r="J777" s="648" t="s">
        <v>255</v>
      </c>
    </row>
    <row r="778" spans="2:10" x14ac:dyDescent="0.3">
      <c r="B778" s="648" t="s">
        <v>276</v>
      </c>
      <c r="C778" s="648">
        <v>2014</v>
      </c>
      <c r="D778" s="648" t="s">
        <v>54</v>
      </c>
      <c r="E778" s="648" t="s">
        <v>127</v>
      </c>
      <c r="F778" s="648" t="s">
        <v>307</v>
      </c>
      <c r="G778" s="648">
        <v>3</v>
      </c>
      <c r="H778" s="648">
        <v>9</v>
      </c>
      <c r="I778" s="648">
        <v>43000</v>
      </c>
      <c r="J778" s="648" t="s">
        <v>255</v>
      </c>
    </row>
    <row r="779" spans="2:10" x14ac:dyDescent="0.3">
      <c r="B779" s="648" t="s">
        <v>276</v>
      </c>
      <c r="C779" s="648">
        <v>2014</v>
      </c>
      <c r="D779" s="648" t="s">
        <v>54</v>
      </c>
      <c r="E779" s="648" t="s">
        <v>127</v>
      </c>
      <c r="F779" s="648" t="s">
        <v>307</v>
      </c>
      <c r="G779" s="648">
        <v>3</v>
      </c>
      <c r="H779" s="648">
        <v>10</v>
      </c>
      <c r="I779" s="648">
        <v>43000</v>
      </c>
      <c r="J779" s="648" t="s">
        <v>255</v>
      </c>
    </row>
    <row r="780" spans="2:10" x14ac:dyDescent="0.3">
      <c r="B780" s="648" t="s">
        <v>276</v>
      </c>
      <c r="C780" s="648">
        <v>2014</v>
      </c>
      <c r="D780" s="648" t="s">
        <v>54</v>
      </c>
      <c r="E780" s="648" t="s">
        <v>127</v>
      </c>
      <c r="F780" s="648" t="s">
        <v>307</v>
      </c>
      <c r="G780" s="648">
        <v>3</v>
      </c>
      <c r="H780" s="648">
        <v>11</v>
      </c>
      <c r="I780" s="648">
        <v>47500</v>
      </c>
      <c r="J780" s="648" t="s">
        <v>255</v>
      </c>
    </row>
    <row r="781" spans="2:10" x14ac:dyDescent="0.3">
      <c r="B781" s="648" t="s">
        <v>276</v>
      </c>
      <c r="C781" s="648">
        <v>2014</v>
      </c>
      <c r="D781" s="648" t="s">
        <v>54</v>
      </c>
      <c r="E781" s="648" t="s">
        <v>127</v>
      </c>
      <c r="F781" s="648" t="s">
        <v>307</v>
      </c>
      <c r="G781" s="648">
        <v>3</v>
      </c>
      <c r="H781" s="648">
        <v>12</v>
      </c>
      <c r="I781" s="648">
        <v>47500</v>
      </c>
      <c r="J781" s="648" t="s">
        <v>255</v>
      </c>
    </row>
    <row r="782" spans="2:10" x14ac:dyDescent="0.3">
      <c r="B782" s="648" t="s">
        <v>276</v>
      </c>
      <c r="C782" s="648">
        <v>2014</v>
      </c>
      <c r="D782" s="648" t="s">
        <v>54</v>
      </c>
      <c r="E782" s="648" t="s">
        <v>127</v>
      </c>
      <c r="F782" s="648" t="s">
        <v>307</v>
      </c>
      <c r="G782" s="648">
        <v>3</v>
      </c>
      <c r="H782" s="648">
        <v>13</v>
      </c>
      <c r="I782" s="648">
        <v>47500</v>
      </c>
      <c r="J782" s="648" t="s">
        <v>255</v>
      </c>
    </row>
    <row r="783" spans="2:10" x14ac:dyDescent="0.3">
      <c r="B783" s="648" t="s">
        <v>276</v>
      </c>
      <c r="C783" s="648">
        <v>2014</v>
      </c>
      <c r="D783" s="648" t="s">
        <v>54</v>
      </c>
      <c r="E783" s="648" t="s">
        <v>127</v>
      </c>
      <c r="F783" s="648" t="s">
        <v>307</v>
      </c>
      <c r="G783" s="648">
        <v>3</v>
      </c>
      <c r="H783" s="648">
        <v>14</v>
      </c>
      <c r="I783" s="648">
        <v>47500</v>
      </c>
      <c r="J783" s="648" t="s">
        <v>255</v>
      </c>
    </row>
    <row r="784" spans="2:10" x14ac:dyDescent="0.3">
      <c r="B784" s="648" t="s">
        <v>276</v>
      </c>
      <c r="C784" s="648">
        <v>2014</v>
      </c>
      <c r="D784" s="648" t="s">
        <v>54</v>
      </c>
      <c r="E784" s="648" t="s">
        <v>127</v>
      </c>
      <c r="F784" s="648" t="s">
        <v>307</v>
      </c>
      <c r="G784" s="648">
        <v>3</v>
      </c>
      <c r="H784" s="648">
        <v>15</v>
      </c>
      <c r="I784" s="648">
        <v>47500</v>
      </c>
      <c r="J784" s="648" t="s">
        <v>255</v>
      </c>
    </row>
    <row r="785" spans="2:10" x14ac:dyDescent="0.3">
      <c r="B785" s="648" t="s">
        <v>276</v>
      </c>
      <c r="C785" s="648">
        <v>2014</v>
      </c>
      <c r="D785" s="648" t="s">
        <v>54</v>
      </c>
      <c r="E785" s="648" t="s">
        <v>127</v>
      </c>
      <c r="F785" s="648" t="s">
        <v>307</v>
      </c>
      <c r="G785" s="648">
        <v>3</v>
      </c>
      <c r="H785" s="648">
        <v>16</v>
      </c>
      <c r="I785" s="648">
        <v>52000</v>
      </c>
      <c r="J785" s="648" t="s">
        <v>255</v>
      </c>
    </row>
    <row r="786" spans="2:10" x14ac:dyDescent="0.3">
      <c r="B786" s="648" t="s">
        <v>276</v>
      </c>
      <c r="C786" s="648">
        <v>2014</v>
      </c>
      <c r="D786" s="648" t="s">
        <v>54</v>
      </c>
      <c r="E786" s="648" t="s">
        <v>127</v>
      </c>
      <c r="F786" s="648" t="s">
        <v>307</v>
      </c>
      <c r="G786" s="648">
        <v>3</v>
      </c>
      <c r="H786" s="648">
        <v>17</v>
      </c>
      <c r="I786" s="648">
        <v>52000</v>
      </c>
      <c r="J786" s="648" t="s">
        <v>255</v>
      </c>
    </row>
    <row r="787" spans="2:10" x14ac:dyDescent="0.3">
      <c r="B787" s="648" t="s">
        <v>276</v>
      </c>
      <c r="C787" s="648">
        <v>2014</v>
      </c>
      <c r="D787" s="648" t="s">
        <v>54</v>
      </c>
      <c r="E787" s="648" t="s">
        <v>127</v>
      </c>
      <c r="F787" s="648" t="s">
        <v>307</v>
      </c>
      <c r="G787" s="648">
        <v>3</v>
      </c>
      <c r="H787" s="648">
        <v>18</v>
      </c>
      <c r="I787" s="648">
        <v>52000</v>
      </c>
      <c r="J787" s="648" t="s">
        <v>255</v>
      </c>
    </row>
    <row r="788" spans="2:10" x14ac:dyDescent="0.3">
      <c r="B788" s="648" t="s">
        <v>276</v>
      </c>
      <c r="C788" s="648">
        <v>2014</v>
      </c>
      <c r="D788" s="648" t="s">
        <v>54</v>
      </c>
      <c r="E788" s="648" t="s">
        <v>127</v>
      </c>
      <c r="F788" s="648" t="s">
        <v>307</v>
      </c>
      <c r="G788" s="648">
        <v>3</v>
      </c>
      <c r="H788" s="648">
        <v>19</v>
      </c>
      <c r="I788" s="648">
        <v>52000</v>
      </c>
      <c r="J788" s="648" t="s">
        <v>255</v>
      </c>
    </row>
    <row r="789" spans="2:10" x14ac:dyDescent="0.3">
      <c r="B789" s="648" t="s">
        <v>276</v>
      </c>
      <c r="C789" s="648">
        <v>2014</v>
      </c>
      <c r="D789" s="648" t="s">
        <v>54</v>
      </c>
      <c r="E789" s="648" t="s">
        <v>127</v>
      </c>
      <c r="F789" s="648" t="s">
        <v>307</v>
      </c>
      <c r="G789" s="648">
        <v>3</v>
      </c>
      <c r="H789" s="648">
        <v>20</v>
      </c>
      <c r="I789" s="648">
        <v>52000</v>
      </c>
      <c r="J789" s="648" t="s">
        <v>255</v>
      </c>
    </row>
    <row r="790" spans="2:10" x14ac:dyDescent="0.3">
      <c r="B790" s="648" t="s">
        <v>277</v>
      </c>
      <c r="C790" s="648">
        <v>2015</v>
      </c>
      <c r="D790" s="648" t="s">
        <v>53</v>
      </c>
      <c r="E790" s="648" t="s">
        <v>71</v>
      </c>
      <c r="F790" s="648" t="s">
        <v>71</v>
      </c>
      <c r="G790" s="648">
        <v>4</v>
      </c>
      <c r="H790" s="648">
        <v>11</v>
      </c>
      <c r="I790" s="648">
        <v>54500</v>
      </c>
      <c r="J790" s="648" t="s">
        <v>255</v>
      </c>
    </row>
    <row r="791" spans="2:10" x14ac:dyDescent="0.3">
      <c r="B791" s="648" t="s">
        <v>277</v>
      </c>
      <c r="C791" s="648">
        <v>2015</v>
      </c>
      <c r="D791" s="648" t="s">
        <v>53</v>
      </c>
      <c r="E791" s="648" t="s">
        <v>71</v>
      </c>
      <c r="F791" s="648" t="s">
        <v>71</v>
      </c>
      <c r="G791" s="648">
        <v>4</v>
      </c>
      <c r="H791" s="648">
        <v>12</v>
      </c>
      <c r="I791" s="648">
        <v>54500</v>
      </c>
      <c r="J791" s="648" t="s">
        <v>255</v>
      </c>
    </row>
    <row r="792" spans="2:10" x14ac:dyDescent="0.3">
      <c r="B792" s="648" t="s">
        <v>277</v>
      </c>
      <c r="C792" s="648">
        <v>2015</v>
      </c>
      <c r="D792" s="648" t="s">
        <v>53</v>
      </c>
      <c r="E792" s="648" t="s">
        <v>71</v>
      </c>
      <c r="F792" s="648" t="s">
        <v>71</v>
      </c>
      <c r="G792" s="648">
        <v>4</v>
      </c>
      <c r="H792" s="648">
        <v>13</v>
      </c>
      <c r="I792" s="648">
        <v>54500</v>
      </c>
      <c r="J792" s="648" t="s">
        <v>255</v>
      </c>
    </row>
    <row r="793" spans="2:10" x14ac:dyDescent="0.3">
      <c r="B793" s="648" t="s">
        <v>277</v>
      </c>
      <c r="C793" s="648">
        <v>2015</v>
      </c>
      <c r="D793" s="648" t="s">
        <v>53</v>
      </c>
      <c r="E793" s="648" t="s">
        <v>71</v>
      </c>
      <c r="F793" s="648" t="s">
        <v>71</v>
      </c>
      <c r="G793" s="648">
        <v>4</v>
      </c>
      <c r="H793" s="648">
        <v>14</v>
      </c>
      <c r="I793" s="648">
        <v>54500</v>
      </c>
      <c r="J793" s="648" t="s">
        <v>255</v>
      </c>
    </row>
    <row r="794" spans="2:10" x14ac:dyDescent="0.3">
      <c r="B794" s="648" t="s">
        <v>277</v>
      </c>
      <c r="C794" s="648">
        <v>2015</v>
      </c>
      <c r="D794" s="648" t="s">
        <v>53</v>
      </c>
      <c r="E794" s="648" t="s">
        <v>71</v>
      </c>
      <c r="F794" s="648" t="s">
        <v>71</v>
      </c>
      <c r="G794" s="648">
        <v>4</v>
      </c>
      <c r="H794" s="648">
        <v>15</v>
      </c>
      <c r="I794" s="648">
        <v>57000</v>
      </c>
      <c r="J794" s="648" t="s">
        <v>255</v>
      </c>
    </row>
    <row r="795" spans="2:10" x14ac:dyDescent="0.3">
      <c r="B795" s="648" t="s">
        <v>277</v>
      </c>
      <c r="C795" s="648">
        <v>2015</v>
      </c>
      <c r="D795" s="648" t="s">
        <v>53</v>
      </c>
      <c r="E795" s="648" t="s">
        <v>71</v>
      </c>
      <c r="F795" s="648" t="s">
        <v>71</v>
      </c>
      <c r="G795" s="648">
        <v>4</v>
      </c>
      <c r="H795" s="648">
        <v>16</v>
      </c>
      <c r="I795" s="648">
        <v>57000</v>
      </c>
      <c r="J795" s="648" t="s">
        <v>255</v>
      </c>
    </row>
    <row r="796" spans="2:10" x14ac:dyDescent="0.3">
      <c r="B796" s="648" t="s">
        <v>277</v>
      </c>
      <c r="C796" s="648">
        <v>2015</v>
      </c>
      <c r="D796" s="648" t="s">
        <v>53</v>
      </c>
      <c r="E796" s="648" t="s">
        <v>71</v>
      </c>
      <c r="F796" s="648" t="s">
        <v>71</v>
      </c>
      <c r="G796" s="648">
        <v>4</v>
      </c>
      <c r="H796" s="648">
        <v>17</v>
      </c>
      <c r="I796" s="648">
        <v>57000</v>
      </c>
      <c r="J796" s="648" t="s">
        <v>255</v>
      </c>
    </row>
    <row r="797" spans="2:10" x14ac:dyDescent="0.3">
      <c r="B797" s="648" t="s">
        <v>277</v>
      </c>
      <c r="C797" s="648">
        <v>2015</v>
      </c>
      <c r="D797" s="648" t="s">
        <v>53</v>
      </c>
      <c r="E797" s="648" t="s">
        <v>71</v>
      </c>
      <c r="F797" s="648" t="s">
        <v>71</v>
      </c>
      <c r="G797" s="648">
        <v>4</v>
      </c>
      <c r="H797" s="648">
        <v>18</v>
      </c>
      <c r="I797" s="648">
        <v>58500</v>
      </c>
      <c r="J797" s="648" t="s">
        <v>255</v>
      </c>
    </row>
    <row r="798" spans="2:10" x14ac:dyDescent="0.3">
      <c r="B798" s="648" t="s">
        <v>277</v>
      </c>
      <c r="C798" s="648">
        <v>2015</v>
      </c>
      <c r="D798" s="648" t="s">
        <v>53</v>
      </c>
      <c r="E798" s="648" t="s">
        <v>71</v>
      </c>
      <c r="F798" s="648" t="s">
        <v>71</v>
      </c>
      <c r="G798" s="648">
        <v>4</v>
      </c>
      <c r="H798" s="648">
        <v>19</v>
      </c>
      <c r="I798" s="648">
        <v>58500</v>
      </c>
      <c r="J798" s="648" t="s">
        <v>255</v>
      </c>
    </row>
    <row r="799" spans="2:10" x14ac:dyDescent="0.3">
      <c r="B799" s="648" t="s">
        <v>277</v>
      </c>
      <c r="C799" s="648">
        <v>2015</v>
      </c>
      <c r="D799" s="648" t="s">
        <v>53</v>
      </c>
      <c r="E799" s="648" t="s">
        <v>71</v>
      </c>
      <c r="F799" s="648" t="s">
        <v>71</v>
      </c>
      <c r="G799" s="648">
        <v>4</v>
      </c>
      <c r="H799" s="648">
        <v>20</v>
      </c>
      <c r="I799" s="648">
        <v>58500</v>
      </c>
      <c r="J799" s="648" t="s">
        <v>255</v>
      </c>
    </row>
    <row r="800" spans="2:10" x14ac:dyDescent="0.3">
      <c r="B800" s="648" t="s">
        <v>333</v>
      </c>
      <c r="C800" s="648">
        <v>2017</v>
      </c>
      <c r="D800" s="648" t="s">
        <v>54</v>
      </c>
      <c r="E800" s="648" t="s">
        <v>130</v>
      </c>
      <c r="F800" s="648" t="s">
        <v>307</v>
      </c>
      <c r="G800" s="648">
        <v>11</v>
      </c>
      <c r="H800" s="648">
        <v>11</v>
      </c>
      <c r="I800" s="648">
        <v>38500</v>
      </c>
      <c r="J800" s="648" t="s">
        <v>255</v>
      </c>
    </row>
    <row r="801" spans="2:10" x14ac:dyDescent="0.3">
      <c r="B801" s="648" t="s">
        <v>333</v>
      </c>
      <c r="C801" s="648">
        <v>2017</v>
      </c>
      <c r="D801" s="648" t="s">
        <v>54</v>
      </c>
      <c r="E801" s="648" t="s">
        <v>130</v>
      </c>
      <c r="F801" s="648" t="s">
        <v>307</v>
      </c>
      <c r="G801" s="648">
        <v>11</v>
      </c>
      <c r="H801" s="648">
        <v>12</v>
      </c>
      <c r="I801" s="648">
        <v>38500</v>
      </c>
      <c r="J801" s="648" t="s">
        <v>255</v>
      </c>
    </row>
    <row r="802" spans="2:10" x14ac:dyDescent="0.3">
      <c r="B802" s="648" t="s">
        <v>333</v>
      </c>
      <c r="C802" s="648">
        <v>2017</v>
      </c>
      <c r="D802" s="648" t="s">
        <v>54</v>
      </c>
      <c r="E802" s="648" t="s">
        <v>130</v>
      </c>
      <c r="F802" s="648" t="s">
        <v>307</v>
      </c>
      <c r="G802" s="648">
        <v>11</v>
      </c>
      <c r="H802" s="648">
        <v>13</v>
      </c>
      <c r="I802" s="648">
        <v>40500</v>
      </c>
      <c r="J802" s="648" t="s">
        <v>255</v>
      </c>
    </row>
    <row r="803" spans="2:10" x14ac:dyDescent="0.3">
      <c r="B803" s="648" t="s">
        <v>333</v>
      </c>
      <c r="C803" s="648">
        <v>2017</v>
      </c>
      <c r="D803" s="648" t="s">
        <v>54</v>
      </c>
      <c r="E803" s="648" t="s">
        <v>130</v>
      </c>
      <c r="F803" s="648" t="s">
        <v>307</v>
      </c>
      <c r="G803" s="648">
        <v>11</v>
      </c>
      <c r="H803" s="648">
        <v>14</v>
      </c>
      <c r="I803" s="648">
        <v>40500</v>
      </c>
      <c r="J803" s="648" t="s">
        <v>255</v>
      </c>
    </row>
    <row r="804" spans="2:10" x14ac:dyDescent="0.3">
      <c r="B804" s="648" t="s">
        <v>333</v>
      </c>
      <c r="C804" s="648">
        <v>2017</v>
      </c>
      <c r="D804" s="648" t="s">
        <v>54</v>
      </c>
      <c r="E804" s="648" t="s">
        <v>130</v>
      </c>
      <c r="F804" s="648" t="s">
        <v>307</v>
      </c>
      <c r="G804" s="648">
        <v>11</v>
      </c>
      <c r="H804" s="648">
        <v>15</v>
      </c>
      <c r="I804" s="648">
        <v>40500</v>
      </c>
      <c r="J804" s="648" t="s">
        <v>255</v>
      </c>
    </row>
    <row r="805" spans="2:10" x14ac:dyDescent="0.3">
      <c r="B805" s="648" t="s">
        <v>333</v>
      </c>
      <c r="C805" s="648">
        <v>2017</v>
      </c>
      <c r="D805" s="648" t="s">
        <v>54</v>
      </c>
      <c r="E805" s="648" t="s">
        <v>130</v>
      </c>
      <c r="F805" s="648" t="s">
        <v>307</v>
      </c>
      <c r="G805" s="648">
        <v>11</v>
      </c>
      <c r="H805" s="648">
        <v>16</v>
      </c>
      <c r="I805" s="648">
        <v>42500</v>
      </c>
      <c r="J805" s="648" t="s">
        <v>255</v>
      </c>
    </row>
    <row r="806" spans="2:10" x14ac:dyDescent="0.3">
      <c r="B806" s="648" t="s">
        <v>333</v>
      </c>
      <c r="C806" s="648">
        <v>2017</v>
      </c>
      <c r="D806" s="648" t="s">
        <v>54</v>
      </c>
      <c r="E806" s="648" t="s">
        <v>130</v>
      </c>
      <c r="F806" s="648" t="s">
        <v>307</v>
      </c>
      <c r="G806" s="648">
        <v>11</v>
      </c>
      <c r="H806" s="648">
        <v>17</v>
      </c>
      <c r="I806" s="648">
        <v>42500</v>
      </c>
      <c r="J806" s="648" t="s">
        <v>255</v>
      </c>
    </row>
    <row r="807" spans="2:10" x14ac:dyDescent="0.3">
      <c r="B807" s="648" t="s">
        <v>333</v>
      </c>
      <c r="C807" s="648">
        <v>2017</v>
      </c>
      <c r="D807" s="648" t="s">
        <v>54</v>
      </c>
      <c r="E807" s="648" t="s">
        <v>130</v>
      </c>
      <c r="F807" s="648" t="s">
        <v>307</v>
      </c>
      <c r="G807" s="648">
        <v>11</v>
      </c>
      <c r="H807" s="648">
        <v>18</v>
      </c>
      <c r="I807" s="648">
        <v>42500</v>
      </c>
      <c r="J807" s="648" t="s">
        <v>255</v>
      </c>
    </row>
    <row r="808" spans="2:10" x14ac:dyDescent="0.3">
      <c r="B808" s="648" t="s">
        <v>333</v>
      </c>
      <c r="C808" s="648">
        <v>2017</v>
      </c>
      <c r="D808" s="648" t="s">
        <v>54</v>
      </c>
      <c r="E808" s="648" t="s">
        <v>130</v>
      </c>
      <c r="F808" s="648" t="s">
        <v>307</v>
      </c>
      <c r="G808" s="648">
        <v>11</v>
      </c>
      <c r="H808" s="648">
        <v>19</v>
      </c>
      <c r="I808" s="648">
        <v>42500</v>
      </c>
      <c r="J808" s="648" t="s">
        <v>255</v>
      </c>
    </row>
    <row r="809" spans="2:10" x14ac:dyDescent="0.3">
      <c r="B809" s="648" t="s">
        <v>333</v>
      </c>
      <c r="C809" s="648">
        <v>2017</v>
      </c>
      <c r="D809" s="648" t="s">
        <v>54</v>
      </c>
      <c r="E809" s="648" t="s">
        <v>130</v>
      </c>
      <c r="F809" s="648" t="s">
        <v>307</v>
      </c>
      <c r="G809" s="648">
        <v>11</v>
      </c>
      <c r="H809" s="648">
        <v>20</v>
      </c>
      <c r="I809" s="648">
        <v>42500</v>
      </c>
      <c r="J809" s="648" t="s">
        <v>255</v>
      </c>
    </row>
    <row r="810" spans="2:10" x14ac:dyDescent="0.3">
      <c r="B810" s="648" t="s">
        <v>278</v>
      </c>
      <c r="C810" s="648">
        <v>2015</v>
      </c>
      <c r="D810" s="648" t="s">
        <v>53</v>
      </c>
      <c r="E810" s="648" t="s">
        <v>128</v>
      </c>
      <c r="F810" s="648" t="s">
        <v>307</v>
      </c>
      <c r="G810" s="648">
        <v>7</v>
      </c>
      <c r="H810" s="648">
        <v>17</v>
      </c>
      <c r="I810" s="648">
        <v>46000</v>
      </c>
      <c r="J810" s="648" t="s">
        <v>255</v>
      </c>
    </row>
    <row r="811" spans="2:10" x14ac:dyDescent="0.3">
      <c r="B811" s="648" t="s">
        <v>278</v>
      </c>
      <c r="C811" s="648">
        <v>2015</v>
      </c>
      <c r="D811" s="648" t="s">
        <v>53</v>
      </c>
      <c r="E811" s="648" t="s">
        <v>128</v>
      </c>
      <c r="F811" s="648" t="s">
        <v>307</v>
      </c>
      <c r="G811" s="648">
        <v>7</v>
      </c>
      <c r="H811" s="648">
        <v>12</v>
      </c>
      <c r="I811" s="648">
        <v>43000</v>
      </c>
      <c r="J811" s="648" t="s">
        <v>255</v>
      </c>
    </row>
    <row r="812" spans="2:10" x14ac:dyDescent="0.3">
      <c r="B812" s="648" t="s">
        <v>278</v>
      </c>
      <c r="C812" s="648">
        <v>2015</v>
      </c>
      <c r="D812" s="648" t="s">
        <v>53</v>
      </c>
      <c r="E812" s="648" t="s">
        <v>128</v>
      </c>
      <c r="F812" s="648" t="s">
        <v>307</v>
      </c>
      <c r="G812" s="648">
        <v>7</v>
      </c>
      <c r="H812" s="648">
        <v>11</v>
      </c>
      <c r="I812" s="648">
        <v>43000</v>
      </c>
      <c r="J812" s="648" t="s">
        <v>255</v>
      </c>
    </row>
    <row r="813" spans="2:10" x14ac:dyDescent="0.3">
      <c r="B813" s="648" t="s">
        <v>278</v>
      </c>
      <c r="C813" s="648">
        <v>2015</v>
      </c>
      <c r="D813" s="648" t="s">
        <v>53</v>
      </c>
      <c r="E813" s="648" t="s">
        <v>128</v>
      </c>
      <c r="F813" s="648" t="s">
        <v>307</v>
      </c>
      <c r="G813" s="648">
        <v>7</v>
      </c>
      <c r="H813" s="648">
        <v>13</v>
      </c>
      <c r="I813" s="648">
        <v>43000</v>
      </c>
      <c r="J813" s="648" t="s">
        <v>255</v>
      </c>
    </row>
    <row r="814" spans="2:10" x14ac:dyDescent="0.3">
      <c r="B814" s="648" t="s">
        <v>278</v>
      </c>
      <c r="C814" s="648">
        <v>2015</v>
      </c>
      <c r="D814" s="648" t="s">
        <v>53</v>
      </c>
      <c r="E814" s="648" t="s">
        <v>128</v>
      </c>
      <c r="F814" s="648" t="s">
        <v>307</v>
      </c>
      <c r="G814" s="648">
        <v>7</v>
      </c>
      <c r="H814" s="648">
        <v>14</v>
      </c>
      <c r="I814" s="648">
        <v>44000</v>
      </c>
      <c r="J814" s="648" t="s">
        <v>255</v>
      </c>
    </row>
    <row r="815" spans="2:10" x14ac:dyDescent="0.3">
      <c r="B815" s="648" t="s">
        <v>278</v>
      </c>
      <c r="C815" s="648">
        <v>2015</v>
      </c>
      <c r="D815" s="648" t="s">
        <v>53</v>
      </c>
      <c r="E815" s="648" t="s">
        <v>128</v>
      </c>
      <c r="F815" s="648" t="s">
        <v>307</v>
      </c>
      <c r="G815" s="648">
        <v>7</v>
      </c>
      <c r="H815" s="648">
        <v>15</v>
      </c>
      <c r="I815" s="648">
        <v>44000</v>
      </c>
      <c r="J815" s="648" t="s">
        <v>255</v>
      </c>
    </row>
    <row r="816" spans="2:10" x14ac:dyDescent="0.3">
      <c r="B816" s="648" t="s">
        <v>278</v>
      </c>
      <c r="C816" s="648">
        <v>2015</v>
      </c>
      <c r="D816" s="648" t="s">
        <v>53</v>
      </c>
      <c r="E816" s="648" t="s">
        <v>128</v>
      </c>
      <c r="F816" s="648" t="s">
        <v>307</v>
      </c>
      <c r="G816" s="648">
        <v>7</v>
      </c>
      <c r="H816" s="648">
        <v>16</v>
      </c>
      <c r="I816" s="648">
        <v>44000</v>
      </c>
      <c r="J816" s="648" t="s">
        <v>255</v>
      </c>
    </row>
    <row r="817" spans="2:10" x14ac:dyDescent="0.3">
      <c r="B817" s="648" t="s">
        <v>278</v>
      </c>
      <c r="C817" s="648">
        <v>2015</v>
      </c>
      <c r="D817" s="648" t="s">
        <v>53</v>
      </c>
      <c r="E817" s="648" t="s">
        <v>128</v>
      </c>
      <c r="F817" s="648" t="s">
        <v>307</v>
      </c>
      <c r="G817" s="648">
        <v>7</v>
      </c>
      <c r="H817" s="648">
        <v>18</v>
      </c>
      <c r="I817" s="648">
        <v>46000</v>
      </c>
      <c r="J817" s="648" t="s">
        <v>255</v>
      </c>
    </row>
    <row r="818" spans="2:10" x14ac:dyDescent="0.3">
      <c r="B818" s="648" t="s">
        <v>278</v>
      </c>
      <c r="C818" s="648">
        <v>2015</v>
      </c>
      <c r="D818" s="648" t="s">
        <v>53</v>
      </c>
      <c r="E818" s="648" t="s">
        <v>128</v>
      </c>
      <c r="F818" s="648" t="s">
        <v>307</v>
      </c>
      <c r="G818" s="648">
        <v>7</v>
      </c>
      <c r="H818" s="648">
        <v>19</v>
      </c>
      <c r="I818" s="648">
        <v>46000</v>
      </c>
      <c r="J818" s="648" t="s">
        <v>255</v>
      </c>
    </row>
    <row r="819" spans="2:10" x14ac:dyDescent="0.3">
      <c r="B819" s="648" t="s">
        <v>278</v>
      </c>
      <c r="C819" s="648">
        <v>2015</v>
      </c>
      <c r="D819" s="648" t="s">
        <v>53</v>
      </c>
      <c r="E819" s="648" t="s">
        <v>128</v>
      </c>
      <c r="F819" s="648" t="s">
        <v>307</v>
      </c>
      <c r="G819" s="648">
        <v>7</v>
      </c>
      <c r="H819" s="648">
        <v>20</v>
      </c>
      <c r="I819" s="648">
        <v>46000</v>
      </c>
      <c r="J819" s="648" t="s">
        <v>255</v>
      </c>
    </row>
    <row r="820" spans="2:10" x14ac:dyDescent="0.3">
      <c r="B820" s="648" t="s">
        <v>318</v>
      </c>
      <c r="C820" s="648">
        <v>2015</v>
      </c>
      <c r="D820" s="648" t="s">
        <v>53</v>
      </c>
      <c r="E820" s="648" t="s">
        <v>128</v>
      </c>
      <c r="F820" s="648" t="s">
        <v>307</v>
      </c>
      <c r="G820" s="648">
        <v>1</v>
      </c>
      <c r="H820" s="648">
        <v>15</v>
      </c>
      <c r="I820" s="648">
        <v>53000</v>
      </c>
      <c r="J820" s="648" t="s">
        <v>280</v>
      </c>
    </row>
    <row r="821" spans="2:10" x14ac:dyDescent="0.3">
      <c r="B821" s="648" t="s">
        <v>318</v>
      </c>
      <c r="C821" s="648">
        <v>2015</v>
      </c>
      <c r="D821" s="648" t="s">
        <v>53</v>
      </c>
      <c r="E821" s="648" t="s">
        <v>128</v>
      </c>
      <c r="F821" s="648" t="s">
        <v>307</v>
      </c>
      <c r="G821" s="648">
        <v>1</v>
      </c>
      <c r="H821" s="648">
        <v>16</v>
      </c>
      <c r="I821" s="648">
        <v>53000</v>
      </c>
      <c r="J821" s="648" t="s">
        <v>280</v>
      </c>
    </row>
    <row r="822" spans="2:10" x14ac:dyDescent="0.3">
      <c r="B822" s="648" t="s">
        <v>318</v>
      </c>
      <c r="C822" s="648">
        <v>2015</v>
      </c>
      <c r="D822" s="648" t="s">
        <v>53</v>
      </c>
      <c r="E822" s="648" t="s">
        <v>128</v>
      </c>
      <c r="F822" s="648" t="s">
        <v>307</v>
      </c>
      <c r="G822" s="648">
        <v>1</v>
      </c>
      <c r="H822" s="648">
        <v>17</v>
      </c>
      <c r="I822" s="648">
        <v>53000</v>
      </c>
      <c r="J822" s="648" t="s">
        <v>280</v>
      </c>
    </row>
    <row r="823" spans="2:10" x14ac:dyDescent="0.3">
      <c r="B823" s="648" t="s">
        <v>318</v>
      </c>
      <c r="C823" s="648">
        <v>2015</v>
      </c>
      <c r="D823" s="648" t="s">
        <v>53</v>
      </c>
      <c r="E823" s="648" t="s">
        <v>128</v>
      </c>
      <c r="F823" s="648" t="s">
        <v>307</v>
      </c>
      <c r="G823" s="648">
        <v>1</v>
      </c>
      <c r="H823" s="648">
        <v>18</v>
      </c>
      <c r="I823" s="648">
        <v>53000</v>
      </c>
      <c r="J823" s="648" t="s">
        <v>280</v>
      </c>
    </row>
    <row r="824" spans="2:10" x14ac:dyDescent="0.3">
      <c r="B824" s="648" t="s">
        <v>318</v>
      </c>
      <c r="C824" s="648">
        <v>2015</v>
      </c>
      <c r="D824" s="648" t="s">
        <v>53</v>
      </c>
      <c r="E824" s="648" t="s">
        <v>128</v>
      </c>
      <c r="F824" s="648" t="s">
        <v>307</v>
      </c>
      <c r="G824" s="648">
        <v>1</v>
      </c>
      <c r="H824" s="648">
        <v>19</v>
      </c>
      <c r="I824" s="648">
        <v>53000</v>
      </c>
      <c r="J824" s="648" t="s">
        <v>280</v>
      </c>
    </row>
    <row r="825" spans="2:10" x14ac:dyDescent="0.3">
      <c r="B825" s="648" t="s">
        <v>318</v>
      </c>
      <c r="C825" s="648">
        <v>2015</v>
      </c>
      <c r="D825" s="648" t="s">
        <v>53</v>
      </c>
      <c r="E825" s="648" t="s">
        <v>128</v>
      </c>
      <c r="F825" s="648" t="s">
        <v>307</v>
      </c>
      <c r="G825" s="648">
        <v>1</v>
      </c>
      <c r="H825" s="648">
        <v>20</v>
      </c>
      <c r="I825" s="648">
        <v>53000</v>
      </c>
      <c r="J825" s="648" t="s">
        <v>280</v>
      </c>
    </row>
    <row r="826" spans="2:10" x14ac:dyDescent="0.3">
      <c r="B826" s="648" t="s">
        <v>359</v>
      </c>
      <c r="C826" s="648">
        <v>2016</v>
      </c>
      <c r="D826" s="648" t="s">
        <v>51</v>
      </c>
      <c r="E826" s="648" t="s">
        <v>127</v>
      </c>
      <c r="F826" s="648" t="s">
        <v>307</v>
      </c>
      <c r="G826" s="648">
        <v>1</v>
      </c>
      <c r="H826" s="648">
        <v>13</v>
      </c>
      <c r="I826" s="648">
        <v>41800</v>
      </c>
      <c r="J826" s="648" t="s">
        <v>280</v>
      </c>
    </row>
    <row r="827" spans="2:10" x14ac:dyDescent="0.3">
      <c r="B827" s="648" t="s">
        <v>359</v>
      </c>
      <c r="C827" s="648">
        <v>2016</v>
      </c>
      <c r="D827" s="648" t="s">
        <v>51</v>
      </c>
      <c r="E827" s="648" t="s">
        <v>127</v>
      </c>
      <c r="F827" s="648" t="s">
        <v>307</v>
      </c>
      <c r="G827" s="648">
        <v>1</v>
      </c>
      <c r="H827" s="648">
        <v>14</v>
      </c>
      <c r="I827" s="648">
        <v>41800</v>
      </c>
      <c r="J827" s="648" t="s">
        <v>280</v>
      </c>
    </row>
    <row r="828" spans="2:10" x14ac:dyDescent="0.3">
      <c r="B828" s="648" t="s">
        <v>359</v>
      </c>
      <c r="C828" s="648">
        <v>2016</v>
      </c>
      <c r="D828" s="648" t="s">
        <v>51</v>
      </c>
      <c r="E828" s="648" t="s">
        <v>127</v>
      </c>
      <c r="F828" s="648" t="s">
        <v>307</v>
      </c>
      <c r="G828" s="648">
        <v>1</v>
      </c>
      <c r="H828" s="648">
        <v>15</v>
      </c>
      <c r="I828" s="648">
        <v>41800</v>
      </c>
      <c r="J828" s="648" t="s">
        <v>280</v>
      </c>
    </row>
    <row r="829" spans="2:10" x14ac:dyDescent="0.3">
      <c r="B829" s="648" t="s">
        <v>359</v>
      </c>
      <c r="C829" s="648">
        <v>2016</v>
      </c>
      <c r="D829" s="648" t="s">
        <v>51</v>
      </c>
      <c r="E829" s="648" t="s">
        <v>127</v>
      </c>
      <c r="F829" s="648" t="s">
        <v>307</v>
      </c>
      <c r="G829" s="648">
        <v>1</v>
      </c>
      <c r="H829" s="648">
        <v>16</v>
      </c>
      <c r="I829" s="648">
        <v>41800</v>
      </c>
      <c r="J829" s="648" t="s">
        <v>280</v>
      </c>
    </row>
    <row r="830" spans="2:10" x14ac:dyDescent="0.3">
      <c r="B830" s="648" t="s">
        <v>359</v>
      </c>
      <c r="C830" s="648">
        <v>2016</v>
      </c>
      <c r="D830" s="648" t="s">
        <v>51</v>
      </c>
      <c r="E830" s="648" t="s">
        <v>127</v>
      </c>
      <c r="F830" s="648" t="s">
        <v>307</v>
      </c>
      <c r="G830" s="648">
        <v>1</v>
      </c>
      <c r="H830" s="648">
        <v>17</v>
      </c>
      <c r="I830" s="648">
        <v>41800</v>
      </c>
      <c r="J830" s="648" t="s">
        <v>280</v>
      </c>
    </row>
    <row r="831" spans="2:10" x14ac:dyDescent="0.3">
      <c r="B831" s="648" t="s">
        <v>359</v>
      </c>
      <c r="C831" s="648">
        <v>2016</v>
      </c>
      <c r="D831" s="648" t="s">
        <v>51</v>
      </c>
      <c r="E831" s="648" t="s">
        <v>127</v>
      </c>
      <c r="F831" s="648" t="s">
        <v>307</v>
      </c>
      <c r="G831" s="648">
        <v>1</v>
      </c>
      <c r="H831" s="648">
        <v>18</v>
      </c>
      <c r="I831" s="648">
        <v>41800</v>
      </c>
      <c r="J831" s="648" t="s">
        <v>280</v>
      </c>
    </row>
    <row r="832" spans="2:10" x14ac:dyDescent="0.3">
      <c r="B832" s="648" t="s">
        <v>359</v>
      </c>
      <c r="C832" s="648">
        <v>2016</v>
      </c>
      <c r="D832" s="648" t="s">
        <v>51</v>
      </c>
      <c r="E832" s="648" t="s">
        <v>127</v>
      </c>
      <c r="F832" s="648" t="s">
        <v>307</v>
      </c>
      <c r="G832" s="648">
        <v>1</v>
      </c>
      <c r="H832" s="648">
        <v>19</v>
      </c>
      <c r="I832" s="648">
        <v>41800</v>
      </c>
      <c r="J832" s="648" t="s">
        <v>280</v>
      </c>
    </row>
    <row r="833" spans="2:10" x14ac:dyDescent="0.3">
      <c r="B833" s="648" t="s">
        <v>359</v>
      </c>
      <c r="C833" s="648">
        <v>2016</v>
      </c>
      <c r="D833" s="648" t="s">
        <v>51</v>
      </c>
      <c r="E833" s="648" t="s">
        <v>127</v>
      </c>
      <c r="F833" s="648" t="s">
        <v>307</v>
      </c>
      <c r="G833" s="648">
        <v>1</v>
      </c>
      <c r="H833" s="648">
        <v>20</v>
      </c>
      <c r="I833" s="648">
        <v>41800</v>
      </c>
      <c r="J833" s="648" t="s">
        <v>280</v>
      </c>
    </row>
    <row r="834" spans="2:10" x14ac:dyDescent="0.3">
      <c r="B834" s="648" t="s">
        <v>360</v>
      </c>
      <c r="C834" s="648">
        <v>2016</v>
      </c>
      <c r="D834" s="648" t="s">
        <v>51</v>
      </c>
      <c r="E834" s="648" t="s">
        <v>127</v>
      </c>
      <c r="F834" s="648" t="s">
        <v>307</v>
      </c>
      <c r="G834" s="648">
        <v>1</v>
      </c>
      <c r="H834" s="648">
        <v>13</v>
      </c>
      <c r="I834" s="648">
        <v>41800</v>
      </c>
      <c r="J834" s="648" t="s">
        <v>280</v>
      </c>
    </row>
    <row r="835" spans="2:10" x14ac:dyDescent="0.3">
      <c r="B835" s="648" t="s">
        <v>360</v>
      </c>
      <c r="C835" s="648">
        <v>2016</v>
      </c>
      <c r="D835" s="648" t="s">
        <v>51</v>
      </c>
      <c r="E835" s="648" t="s">
        <v>127</v>
      </c>
      <c r="F835" s="648" t="s">
        <v>307</v>
      </c>
      <c r="G835" s="648">
        <v>1</v>
      </c>
      <c r="H835" s="648">
        <v>14</v>
      </c>
      <c r="I835" s="648">
        <v>41800</v>
      </c>
      <c r="J835" s="648" t="s">
        <v>280</v>
      </c>
    </row>
    <row r="836" spans="2:10" x14ac:dyDescent="0.3">
      <c r="B836" s="648" t="s">
        <v>360</v>
      </c>
      <c r="C836" s="648">
        <v>2016</v>
      </c>
      <c r="D836" s="648" t="s">
        <v>51</v>
      </c>
      <c r="E836" s="648" t="s">
        <v>127</v>
      </c>
      <c r="F836" s="648" t="s">
        <v>307</v>
      </c>
      <c r="G836" s="648">
        <v>1</v>
      </c>
      <c r="H836" s="648">
        <v>15</v>
      </c>
      <c r="I836" s="648">
        <v>41800</v>
      </c>
      <c r="J836" s="648" t="s">
        <v>280</v>
      </c>
    </row>
    <row r="837" spans="2:10" x14ac:dyDescent="0.3">
      <c r="B837" s="648" t="s">
        <v>360</v>
      </c>
      <c r="C837" s="648">
        <v>2016</v>
      </c>
      <c r="D837" s="648" t="s">
        <v>51</v>
      </c>
      <c r="E837" s="648" t="s">
        <v>127</v>
      </c>
      <c r="F837" s="648" t="s">
        <v>307</v>
      </c>
      <c r="G837" s="648">
        <v>1</v>
      </c>
      <c r="H837" s="648">
        <v>16</v>
      </c>
      <c r="I837" s="648">
        <v>41800</v>
      </c>
      <c r="J837" s="648" t="s">
        <v>280</v>
      </c>
    </row>
    <row r="838" spans="2:10" x14ac:dyDescent="0.3">
      <c r="B838" s="648" t="s">
        <v>360</v>
      </c>
      <c r="C838" s="648">
        <v>2016</v>
      </c>
      <c r="D838" s="648" t="s">
        <v>51</v>
      </c>
      <c r="E838" s="648" t="s">
        <v>127</v>
      </c>
      <c r="F838" s="648" t="s">
        <v>307</v>
      </c>
      <c r="G838" s="648">
        <v>1</v>
      </c>
      <c r="H838" s="648">
        <v>17</v>
      </c>
      <c r="I838" s="648">
        <v>41800</v>
      </c>
      <c r="J838" s="648" t="s">
        <v>280</v>
      </c>
    </row>
    <row r="839" spans="2:10" x14ac:dyDescent="0.3">
      <c r="B839" s="648" t="s">
        <v>360</v>
      </c>
      <c r="C839" s="648">
        <v>2016</v>
      </c>
      <c r="D839" s="648" t="s">
        <v>51</v>
      </c>
      <c r="E839" s="648" t="s">
        <v>127</v>
      </c>
      <c r="F839" s="648" t="s">
        <v>307</v>
      </c>
      <c r="G839" s="648">
        <v>1</v>
      </c>
      <c r="H839" s="648">
        <v>18</v>
      </c>
      <c r="I839" s="648">
        <v>41800</v>
      </c>
      <c r="J839" s="648" t="s">
        <v>280</v>
      </c>
    </row>
    <row r="840" spans="2:10" x14ac:dyDescent="0.3">
      <c r="B840" s="648" t="s">
        <v>360</v>
      </c>
      <c r="C840" s="648">
        <v>2016</v>
      </c>
      <c r="D840" s="648" t="s">
        <v>51</v>
      </c>
      <c r="E840" s="648" t="s">
        <v>127</v>
      </c>
      <c r="F840" s="648" t="s">
        <v>307</v>
      </c>
      <c r="G840" s="648">
        <v>1</v>
      </c>
      <c r="H840" s="648">
        <v>19</v>
      </c>
      <c r="I840" s="648">
        <v>41800</v>
      </c>
      <c r="J840" s="648" t="s">
        <v>280</v>
      </c>
    </row>
    <row r="841" spans="2:10" x14ac:dyDescent="0.3">
      <c r="B841" s="648" t="s">
        <v>360</v>
      </c>
      <c r="C841" s="648">
        <v>2016</v>
      </c>
      <c r="D841" s="648" t="s">
        <v>51</v>
      </c>
      <c r="E841" s="648" t="s">
        <v>127</v>
      </c>
      <c r="F841" s="648" t="s">
        <v>307</v>
      </c>
      <c r="G841" s="648">
        <v>1</v>
      </c>
      <c r="H841" s="648">
        <v>20</v>
      </c>
      <c r="I841" s="648">
        <v>41800</v>
      </c>
      <c r="J841" s="648" t="s">
        <v>280</v>
      </c>
    </row>
    <row r="842" spans="2:10" x14ac:dyDescent="0.3">
      <c r="B842" s="648" t="s">
        <v>361</v>
      </c>
      <c r="C842" s="648">
        <v>2016</v>
      </c>
      <c r="D842" s="648" t="s">
        <v>53</v>
      </c>
      <c r="E842" s="648" t="s">
        <v>125</v>
      </c>
      <c r="F842" s="648" t="s">
        <v>307</v>
      </c>
      <c r="G842" s="648">
        <v>1</v>
      </c>
      <c r="H842" s="648">
        <v>15</v>
      </c>
      <c r="I842" s="648">
        <v>46000</v>
      </c>
      <c r="J842" s="648" t="s">
        <v>280</v>
      </c>
    </row>
    <row r="843" spans="2:10" x14ac:dyDescent="0.3">
      <c r="B843" s="648" t="s">
        <v>361</v>
      </c>
      <c r="C843" s="648">
        <v>2016</v>
      </c>
      <c r="D843" s="648" t="s">
        <v>53</v>
      </c>
      <c r="E843" s="648" t="s">
        <v>125</v>
      </c>
      <c r="F843" s="648" t="s">
        <v>307</v>
      </c>
      <c r="G843" s="648">
        <v>1</v>
      </c>
      <c r="H843" s="648">
        <v>16</v>
      </c>
      <c r="I843" s="648">
        <v>46000</v>
      </c>
      <c r="J843" s="648" t="s">
        <v>280</v>
      </c>
    </row>
    <row r="844" spans="2:10" x14ac:dyDescent="0.3">
      <c r="B844" s="648" t="s">
        <v>361</v>
      </c>
      <c r="C844" s="648">
        <v>2016</v>
      </c>
      <c r="D844" s="648" t="s">
        <v>53</v>
      </c>
      <c r="E844" s="648" t="s">
        <v>125</v>
      </c>
      <c r="F844" s="648" t="s">
        <v>307</v>
      </c>
      <c r="G844" s="648">
        <v>1</v>
      </c>
      <c r="H844" s="648">
        <v>17</v>
      </c>
      <c r="I844" s="648">
        <v>46000</v>
      </c>
      <c r="J844" s="648" t="s">
        <v>280</v>
      </c>
    </row>
    <row r="845" spans="2:10" x14ac:dyDescent="0.3">
      <c r="B845" s="648" t="s">
        <v>361</v>
      </c>
      <c r="C845" s="648">
        <v>2016</v>
      </c>
      <c r="D845" s="648" t="s">
        <v>53</v>
      </c>
      <c r="E845" s="648" t="s">
        <v>125</v>
      </c>
      <c r="F845" s="648" t="s">
        <v>307</v>
      </c>
      <c r="G845" s="648">
        <v>1</v>
      </c>
      <c r="H845" s="648">
        <v>18</v>
      </c>
      <c r="I845" s="648">
        <v>46000</v>
      </c>
      <c r="J845" s="648" t="s">
        <v>280</v>
      </c>
    </row>
    <row r="846" spans="2:10" x14ac:dyDescent="0.3">
      <c r="B846" s="648" t="s">
        <v>361</v>
      </c>
      <c r="C846" s="648">
        <v>2016</v>
      </c>
      <c r="D846" s="648" t="s">
        <v>53</v>
      </c>
      <c r="E846" s="648" t="s">
        <v>125</v>
      </c>
      <c r="F846" s="648" t="s">
        <v>307</v>
      </c>
      <c r="G846" s="648">
        <v>1</v>
      </c>
      <c r="H846" s="648">
        <v>19</v>
      </c>
      <c r="I846" s="648">
        <v>46000</v>
      </c>
      <c r="J846" s="648" t="s">
        <v>280</v>
      </c>
    </row>
    <row r="847" spans="2:10" x14ac:dyDescent="0.3">
      <c r="B847" s="648" t="s">
        <v>361</v>
      </c>
      <c r="C847" s="648">
        <v>2016</v>
      </c>
      <c r="D847" s="648" t="s">
        <v>53</v>
      </c>
      <c r="E847" s="648" t="s">
        <v>125</v>
      </c>
      <c r="F847" s="648" t="s">
        <v>307</v>
      </c>
      <c r="G847" s="648">
        <v>1</v>
      </c>
      <c r="H847" s="648">
        <v>20</v>
      </c>
      <c r="I847" s="648">
        <v>46000</v>
      </c>
      <c r="J847" s="648" t="s">
        <v>280</v>
      </c>
    </row>
    <row r="848" spans="2:10" x14ac:dyDescent="0.3">
      <c r="B848" s="648" t="s">
        <v>376</v>
      </c>
      <c r="C848" s="648">
        <v>2016</v>
      </c>
      <c r="D848" s="648" t="s">
        <v>51</v>
      </c>
      <c r="E848" s="648" t="s">
        <v>52</v>
      </c>
      <c r="F848" s="648" t="s">
        <v>306</v>
      </c>
      <c r="G848" s="648">
        <v>6</v>
      </c>
      <c r="H848" s="648">
        <v>11</v>
      </c>
      <c r="I848" s="648">
        <v>37500</v>
      </c>
      <c r="J848" s="648" t="s">
        <v>255</v>
      </c>
    </row>
    <row r="849" spans="2:10" x14ac:dyDescent="0.3">
      <c r="B849" s="648" t="s">
        <v>376</v>
      </c>
      <c r="C849" s="648">
        <v>2016</v>
      </c>
      <c r="D849" s="648" t="s">
        <v>51</v>
      </c>
      <c r="E849" s="648" t="s">
        <v>52</v>
      </c>
      <c r="F849" s="648" t="s">
        <v>306</v>
      </c>
      <c r="G849" s="648">
        <v>6</v>
      </c>
      <c r="H849" s="648">
        <v>12</v>
      </c>
      <c r="I849" s="648">
        <v>37500</v>
      </c>
      <c r="J849" s="648" t="s">
        <v>255</v>
      </c>
    </row>
    <row r="850" spans="2:10" x14ac:dyDescent="0.3">
      <c r="B850" s="648" t="s">
        <v>376</v>
      </c>
      <c r="C850" s="648">
        <v>2016</v>
      </c>
      <c r="D850" s="648" t="s">
        <v>51</v>
      </c>
      <c r="E850" s="648" t="s">
        <v>52</v>
      </c>
      <c r="F850" s="648" t="s">
        <v>306</v>
      </c>
      <c r="G850" s="648">
        <v>6</v>
      </c>
      <c r="H850" s="648">
        <v>13</v>
      </c>
      <c r="I850" s="648">
        <v>37500</v>
      </c>
      <c r="J850" s="648" t="s">
        <v>255</v>
      </c>
    </row>
    <row r="851" spans="2:10" x14ac:dyDescent="0.3">
      <c r="B851" s="648" t="s">
        <v>376</v>
      </c>
      <c r="C851" s="648">
        <v>2016</v>
      </c>
      <c r="D851" s="648" t="s">
        <v>51</v>
      </c>
      <c r="E851" s="648" t="s">
        <v>52</v>
      </c>
      <c r="F851" s="648" t="s">
        <v>306</v>
      </c>
      <c r="G851" s="648">
        <v>6</v>
      </c>
      <c r="H851" s="648">
        <v>14</v>
      </c>
      <c r="I851" s="648">
        <v>42000</v>
      </c>
      <c r="J851" s="648" t="s">
        <v>255</v>
      </c>
    </row>
    <row r="852" spans="2:10" x14ac:dyDescent="0.3">
      <c r="B852" s="648" t="s">
        <v>376</v>
      </c>
      <c r="C852" s="648">
        <v>2016</v>
      </c>
      <c r="D852" s="648" t="s">
        <v>51</v>
      </c>
      <c r="E852" s="648" t="s">
        <v>52</v>
      </c>
      <c r="F852" s="648" t="s">
        <v>306</v>
      </c>
      <c r="G852" s="648">
        <v>6</v>
      </c>
      <c r="H852" s="648">
        <v>15</v>
      </c>
      <c r="I852" s="648">
        <v>42000</v>
      </c>
      <c r="J852" s="648" t="s">
        <v>255</v>
      </c>
    </row>
    <row r="853" spans="2:10" x14ac:dyDescent="0.3">
      <c r="B853" s="648" t="s">
        <v>376</v>
      </c>
      <c r="C853" s="648">
        <v>2016</v>
      </c>
      <c r="D853" s="648" t="s">
        <v>51</v>
      </c>
      <c r="E853" s="648" t="s">
        <v>52</v>
      </c>
      <c r="F853" s="648" t="s">
        <v>306</v>
      </c>
      <c r="G853" s="648">
        <v>6</v>
      </c>
      <c r="H853" s="648">
        <v>16</v>
      </c>
      <c r="I853" s="648">
        <v>42000</v>
      </c>
      <c r="J853" s="648" t="s">
        <v>255</v>
      </c>
    </row>
    <row r="854" spans="2:10" x14ac:dyDescent="0.3">
      <c r="B854" s="648" t="s">
        <v>376</v>
      </c>
      <c r="C854" s="648">
        <v>2016</v>
      </c>
      <c r="D854" s="648" t="s">
        <v>51</v>
      </c>
      <c r="E854" s="648" t="s">
        <v>52</v>
      </c>
      <c r="F854" s="648" t="s">
        <v>306</v>
      </c>
      <c r="G854" s="648">
        <v>6</v>
      </c>
      <c r="H854" s="648">
        <v>17</v>
      </c>
      <c r="I854" s="648">
        <v>45500</v>
      </c>
      <c r="J854" s="648" t="s">
        <v>255</v>
      </c>
    </row>
    <row r="855" spans="2:10" x14ac:dyDescent="0.3">
      <c r="B855" s="648" t="s">
        <v>376</v>
      </c>
      <c r="C855" s="648">
        <v>2016</v>
      </c>
      <c r="D855" s="648" t="s">
        <v>51</v>
      </c>
      <c r="E855" s="648" t="s">
        <v>52</v>
      </c>
      <c r="F855" s="648" t="s">
        <v>306</v>
      </c>
      <c r="G855" s="648">
        <v>6</v>
      </c>
      <c r="H855" s="648">
        <v>18</v>
      </c>
      <c r="I855" s="648">
        <v>45500</v>
      </c>
      <c r="J855" s="648" t="s">
        <v>255</v>
      </c>
    </row>
    <row r="856" spans="2:10" x14ac:dyDescent="0.3">
      <c r="B856" s="648" t="s">
        <v>376</v>
      </c>
      <c r="C856" s="648">
        <v>2016</v>
      </c>
      <c r="D856" s="648" t="s">
        <v>51</v>
      </c>
      <c r="E856" s="648" t="s">
        <v>52</v>
      </c>
      <c r="F856" s="648" t="s">
        <v>306</v>
      </c>
      <c r="G856" s="648">
        <v>6</v>
      </c>
      <c r="H856" s="648">
        <v>19</v>
      </c>
      <c r="I856" s="648">
        <v>45500</v>
      </c>
      <c r="J856" s="648" t="s">
        <v>255</v>
      </c>
    </row>
    <row r="857" spans="2:10" x14ac:dyDescent="0.3">
      <c r="B857" s="648" t="s">
        <v>376</v>
      </c>
      <c r="C857" s="648">
        <v>2016</v>
      </c>
      <c r="D857" s="648" t="s">
        <v>51</v>
      </c>
      <c r="E857" s="648" t="s">
        <v>52</v>
      </c>
      <c r="F857" s="648" t="s">
        <v>306</v>
      </c>
      <c r="G857" s="648">
        <v>6</v>
      </c>
      <c r="H857" s="648">
        <v>20</v>
      </c>
      <c r="I857" s="648">
        <v>45500</v>
      </c>
      <c r="J857" s="648" t="s">
        <v>255</v>
      </c>
    </row>
    <row r="858" spans="2:10" x14ac:dyDescent="0.3">
      <c r="B858" s="648" t="s">
        <v>319</v>
      </c>
      <c r="C858" s="648">
        <v>2015</v>
      </c>
      <c r="D858" s="648" t="s">
        <v>54</v>
      </c>
      <c r="E858" s="648" t="s">
        <v>130</v>
      </c>
      <c r="F858" s="648" t="s">
        <v>307</v>
      </c>
      <c r="G858" s="648">
        <v>3</v>
      </c>
      <c r="H858" s="648">
        <v>11</v>
      </c>
      <c r="I858" s="648">
        <v>47500</v>
      </c>
      <c r="J858" s="648" t="s">
        <v>255</v>
      </c>
    </row>
    <row r="859" spans="2:10" x14ac:dyDescent="0.3">
      <c r="B859" s="648" t="s">
        <v>319</v>
      </c>
      <c r="C859" s="648">
        <v>2015</v>
      </c>
      <c r="D859" s="648" t="s">
        <v>54</v>
      </c>
      <c r="E859" s="648" t="s">
        <v>130</v>
      </c>
      <c r="F859" s="648" t="s">
        <v>307</v>
      </c>
      <c r="G859" s="648">
        <v>3</v>
      </c>
      <c r="H859" s="648">
        <v>12</v>
      </c>
      <c r="I859" s="648">
        <v>47500</v>
      </c>
      <c r="J859" s="648" t="s">
        <v>255</v>
      </c>
    </row>
    <row r="860" spans="2:10" x14ac:dyDescent="0.3">
      <c r="B860" s="648" t="s">
        <v>319</v>
      </c>
      <c r="C860" s="648">
        <v>2015</v>
      </c>
      <c r="D860" s="648" t="s">
        <v>54</v>
      </c>
      <c r="E860" s="648" t="s">
        <v>130</v>
      </c>
      <c r="F860" s="648" t="s">
        <v>307</v>
      </c>
      <c r="G860" s="648">
        <v>3</v>
      </c>
      <c r="H860" s="648">
        <v>13</v>
      </c>
      <c r="I860" s="648">
        <v>49500</v>
      </c>
      <c r="J860" s="648" t="s">
        <v>255</v>
      </c>
    </row>
    <row r="861" spans="2:10" x14ac:dyDescent="0.3">
      <c r="B861" s="648" t="s">
        <v>319</v>
      </c>
      <c r="C861" s="648">
        <v>2015</v>
      </c>
      <c r="D861" s="648" t="s">
        <v>54</v>
      </c>
      <c r="E861" s="648" t="s">
        <v>130</v>
      </c>
      <c r="F861" s="648" t="s">
        <v>307</v>
      </c>
      <c r="G861" s="648">
        <v>3</v>
      </c>
      <c r="H861" s="648">
        <v>14</v>
      </c>
      <c r="I861" s="648">
        <v>49500</v>
      </c>
      <c r="J861" s="648" t="s">
        <v>255</v>
      </c>
    </row>
    <row r="862" spans="2:10" x14ac:dyDescent="0.3">
      <c r="B862" s="648" t="s">
        <v>319</v>
      </c>
      <c r="C862" s="648">
        <v>2015</v>
      </c>
      <c r="D862" s="648" t="s">
        <v>54</v>
      </c>
      <c r="E862" s="648" t="s">
        <v>130</v>
      </c>
      <c r="F862" s="648" t="s">
        <v>307</v>
      </c>
      <c r="G862" s="648">
        <v>3</v>
      </c>
      <c r="H862" s="648">
        <v>15</v>
      </c>
      <c r="I862" s="648">
        <v>49500</v>
      </c>
      <c r="J862" s="648" t="s">
        <v>255</v>
      </c>
    </row>
    <row r="863" spans="2:10" x14ac:dyDescent="0.3">
      <c r="B863" s="648" t="s">
        <v>319</v>
      </c>
      <c r="C863" s="648">
        <v>2015</v>
      </c>
      <c r="D863" s="648" t="s">
        <v>54</v>
      </c>
      <c r="E863" s="648" t="s">
        <v>130</v>
      </c>
      <c r="F863" s="648" t="s">
        <v>307</v>
      </c>
      <c r="G863" s="648">
        <v>3</v>
      </c>
      <c r="H863" s="648">
        <v>16</v>
      </c>
      <c r="I863" s="648">
        <v>49500</v>
      </c>
      <c r="J863" s="648" t="s">
        <v>255</v>
      </c>
    </row>
    <row r="864" spans="2:10" x14ac:dyDescent="0.3">
      <c r="B864" s="648" t="s">
        <v>319</v>
      </c>
      <c r="C864" s="648">
        <v>2015</v>
      </c>
      <c r="D864" s="648" t="s">
        <v>54</v>
      </c>
      <c r="E864" s="648" t="s">
        <v>130</v>
      </c>
      <c r="F864" s="648" t="s">
        <v>307</v>
      </c>
      <c r="G864" s="648">
        <v>3</v>
      </c>
      <c r="H864" s="648">
        <v>17</v>
      </c>
      <c r="I864" s="648">
        <v>52500</v>
      </c>
      <c r="J864" s="648" t="s">
        <v>255</v>
      </c>
    </row>
    <row r="865" spans="2:10" x14ac:dyDescent="0.3">
      <c r="B865" s="648" t="s">
        <v>319</v>
      </c>
      <c r="C865" s="648">
        <v>2015</v>
      </c>
      <c r="D865" s="648" t="s">
        <v>54</v>
      </c>
      <c r="E865" s="648" t="s">
        <v>130</v>
      </c>
      <c r="F865" s="648" t="s">
        <v>307</v>
      </c>
      <c r="G865" s="648">
        <v>3</v>
      </c>
      <c r="H865" s="648">
        <v>18</v>
      </c>
      <c r="I865" s="648">
        <v>52500</v>
      </c>
      <c r="J865" s="648" t="s">
        <v>255</v>
      </c>
    </row>
    <row r="866" spans="2:10" x14ac:dyDescent="0.3">
      <c r="B866" s="648" t="s">
        <v>319</v>
      </c>
      <c r="C866" s="648">
        <v>2015</v>
      </c>
      <c r="D866" s="648" t="s">
        <v>54</v>
      </c>
      <c r="E866" s="648" t="s">
        <v>130</v>
      </c>
      <c r="F866" s="648" t="s">
        <v>307</v>
      </c>
      <c r="G866" s="648">
        <v>3</v>
      </c>
      <c r="H866" s="648">
        <v>19</v>
      </c>
      <c r="I866" s="648">
        <v>52500</v>
      </c>
      <c r="J866" s="648" t="s">
        <v>255</v>
      </c>
    </row>
    <row r="867" spans="2:10" x14ac:dyDescent="0.3">
      <c r="B867" s="648" t="s">
        <v>319</v>
      </c>
      <c r="C867" s="648">
        <v>2015</v>
      </c>
      <c r="D867" s="648" t="s">
        <v>54</v>
      </c>
      <c r="E867" s="648" t="s">
        <v>130</v>
      </c>
      <c r="F867" s="648" t="s">
        <v>307</v>
      </c>
      <c r="G867" s="648">
        <v>3</v>
      </c>
      <c r="H867" s="648">
        <v>20</v>
      </c>
      <c r="I867" s="648">
        <v>52500</v>
      </c>
      <c r="J867" s="648" t="s">
        <v>255</v>
      </c>
    </row>
    <row r="868" spans="2:10" x14ac:dyDescent="0.3">
      <c r="B868" s="648" t="s">
        <v>362</v>
      </c>
      <c r="C868" s="648">
        <v>2017</v>
      </c>
      <c r="D868" s="648" t="s">
        <v>51</v>
      </c>
      <c r="E868" s="648" t="s">
        <v>127</v>
      </c>
      <c r="F868" s="648" t="s">
        <v>307</v>
      </c>
      <c r="G868" s="648">
        <v>1</v>
      </c>
      <c r="H868" s="648">
        <v>13</v>
      </c>
      <c r="I868" s="648">
        <v>40200</v>
      </c>
      <c r="J868" s="648" t="s">
        <v>280</v>
      </c>
    </row>
    <row r="869" spans="2:10" x14ac:dyDescent="0.3">
      <c r="B869" s="648" t="s">
        <v>362</v>
      </c>
      <c r="C869" s="648">
        <v>2017</v>
      </c>
      <c r="D869" s="648" t="s">
        <v>51</v>
      </c>
      <c r="E869" s="648" t="s">
        <v>127</v>
      </c>
      <c r="F869" s="648" t="s">
        <v>307</v>
      </c>
      <c r="G869" s="648">
        <v>1</v>
      </c>
      <c r="H869" s="648">
        <v>14</v>
      </c>
      <c r="I869" s="648">
        <v>40200</v>
      </c>
      <c r="J869" s="648" t="s">
        <v>280</v>
      </c>
    </row>
    <row r="870" spans="2:10" x14ac:dyDescent="0.3">
      <c r="B870" s="648" t="s">
        <v>362</v>
      </c>
      <c r="C870" s="648">
        <v>2017</v>
      </c>
      <c r="D870" s="648" t="s">
        <v>51</v>
      </c>
      <c r="E870" s="648" t="s">
        <v>127</v>
      </c>
      <c r="F870" s="648" t="s">
        <v>307</v>
      </c>
      <c r="G870" s="648">
        <v>1</v>
      </c>
      <c r="H870" s="648">
        <v>15</v>
      </c>
      <c r="I870" s="648">
        <v>43700</v>
      </c>
      <c r="J870" s="648" t="s">
        <v>280</v>
      </c>
    </row>
    <row r="871" spans="2:10" x14ac:dyDescent="0.3">
      <c r="B871" s="648" t="s">
        <v>362</v>
      </c>
      <c r="C871" s="648">
        <v>2017</v>
      </c>
      <c r="D871" s="648" t="s">
        <v>51</v>
      </c>
      <c r="E871" s="648" t="s">
        <v>127</v>
      </c>
      <c r="F871" s="648" t="s">
        <v>307</v>
      </c>
      <c r="G871" s="648">
        <v>1</v>
      </c>
      <c r="H871" s="648">
        <v>16</v>
      </c>
      <c r="I871" s="648">
        <v>43700</v>
      </c>
      <c r="J871" s="648" t="s">
        <v>280</v>
      </c>
    </row>
    <row r="872" spans="2:10" x14ac:dyDescent="0.3">
      <c r="B872" s="648" t="s">
        <v>362</v>
      </c>
      <c r="C872" s="648">
        <v>2017</v>
      </c>
      <c r="D872" s="648" t="s">
        <v>51</v>
      </c>
      <c r="E872" s="648" t="s">
        <v>127</v>
      </c>
      <c r="F872" s="648" t="s">
        <v>307</v>
      </c>
      <c r="G872" s="648">
        <v>1</v>
      </c>
      <c r="H872" s="648">
        <v>17</v>
      </c>
      <c r="I872" s="648">
        <v>47000</v>
      </c>
      <c r="J872" s="648" t="s">
        <v>280</v>
      </c>
    </row>
    <row r="873" spans="2:10" x14ac:dyDescent="0.3">
      <c r="B873" s="648" t="s">
        <v>362</v>
      </c>
      <c r="C873" s="648">
        <v>2017</v>
      </c>
      <c r="D873" s="648" t="s">
        <v>51</v>
      </c>
      <c r="E873" s="648" t="s">
        <v>127</v>
      </c>
      <c r="F873" s="648" t="s">
        <v>307</v>
      </c>
      <c r="G873" s="648">
        <v>1</v>
      </c>
      <c r="H873" s="648">
        <v>18</v>
      </c>
      <c r="I873" s="648">
        <v>47000</v>
      </c>
      <c r="J873" s="648" t="s">
        <v>280</v>
      </c>
    </row>
    <row r="874" spans="2:10" x14ac:dyDescent="0.3">
      <c r="B874" s="648" t="s">
        <v>362</v>
      </c>
      <c r="C874" s="648">
        <v>2017</v>
      </c>
      <c r="D874" s="648" t="s">
        <v>51</v>
      </c>
      <c r="E874" s="648" t="s">
        <v>127</v>
      </c>
      <c r="F874" s="648" t="s">
        <v>307</v>
      </c>
      <c r="G874" s="648">
        <v>1</v>
      </c>
      <c r="H874" s="648">
        <v>19</v>
      </c>
      <c r="I874" s="648">
        <v>47000</v>
      </c>
      <c r="J874" s="648" t="s">
        <v>280</v>
      </c>
    </row>
    <row r="875" spans="2:10" x14ac:dyDescent="0.3">
      <c r="B875" s="648" t="s">
        <v>362</v>
      </c>
      <c r="C875" s="648">
        <v>2017</v>
      </c>
      <c r="D875" s="648" t="s">
        <v>51</v>
      </c>
      <c r="E875" s="648" t="s">
        <v>127</v>
      </c>
      <c r="F875" s="648" t="s">
        <v>307</v>
      </c>
      <c r="G875" s="648">
        <v>1</v>
      </c>
      <c r="H875" s="648">
        <v>20</v>
      </c>
      <c r="I875" s="648">
        <v>47000</v>
      </c>
      <c r="J875" s="648" t="s">
        <v>280</v>
      </c>
    </row>
    <row r="876" spans="2:10" x14ac:dyDescent="0.3">
      <c r="B876" s="648" t="s">
        <v>320</v>
      </c>
      <c r="C876" s="648">
        <v>2014</v>
      </c>
      <c r="D876" s="648" t="s">
        <v>51</v>
      </c>
      <c r="E876" s="648" t="s">
        <v>56</v>
      </c>
      <c r="F876" s="648" t="s">
        <v>306</v>
      </c>
      <c r="G876" s="648">
        <v>11</v>
      </c>
      <c r="H876" s="648">
        <v>1</v>
      </c>
      <c r="I876" s="648">
        <v>17000</v>
      </c>
      <c r="J876" s="648" t="s">
        <v>255</v>
      </c>
    </row>
    <row r="877" spans="2:10" x14ac:dyDescent="0.3">
      <c r="B877" s="648" t="s">
        <v>320</v>
      </c>
      <c r="C877" s="648">
        <v>2014</v>
      </c>
      <c r="D877" s="648" t="s">
        <v>51</v>
      </c>
      <c r="E877" s="648" t="s">
        <v>56</v>
      </c>
      <c r="F877" s="648" t="s">
        <v>306</v>
      </c>
      <c r="G877" s="648">
        <v>11</v>
      </c>
      <c r="H877" s="648">
        <v>2</v>
      </c>
      <c r="I877" s="648">
        <v>38500</v>
      </c>
      <c r="J877" s="648" t="s">
        <v>255</v>
      </c>
    </row>
    <row r="878" spans="2:10" x14ac:dyDescent="0.3">
      <c r="B878" s="648" t="s">
        <v>320</v>
      </c>
      <c r="C878" s="648">
        <v>2014</v>
      </c>
      <c r="D878" s="648" t="s">
        <v>51</v>
      </c>
      <c r="E878" s="648" t="s">
        <v>56</v>
      </c>
      <c r="F878" s="648" t="s">
        <v>306</v>
      </c>
      <c r="G878" s="648">
        <v>11</v>
      </c>
      <c r="H878" s="648">
        <v>3</v>
      </c>
      <c r="I878" s="648">
        <v>38500</v>
      </c>
      <c r="J878" s="648" t="s">
        <v>255</v>
      </c>
    </row>
    <row r="879" spans="2:10" x14ac:dyDescent="0.3">
      <c r="B879" s="648" t="s">
        <v>320</v>
      </c>
      <c r="C879" s="648">
        <v>2014</v>
      </c>
      <c r="D879" s="648" t="s">
        <v>51</v>
      </c>
      <c r="E879" s="648" t="s">
        <v>56</v>
      </c>
      <c r="F879" s="648" t="s">
        <v>306</v>
      </c>
      <c r="G879" s="648">
        <v>11</v>
      </c>
      <c r="H879" s="648">
        <v>4</v>
      </c>
      <c r="I879" s="648">
        <v>38500</v>
      </c>
      <c r="J879" s="648" t="s">
        <v>255</v>
      </c>
    </row>
    <row r="880" spans="2:10" x14ac:dyDescent="0.3">
      <c r="B880" s="648" t="s">
        <v>320</v>
      </c>
      <c r="C880" s="648">
        <v>2014</v>
      </c>
      <c r="D880" s="648" t="s">
        <v>51</v>
      </c>
      <c r="E880" s="648" t="s">
        <v>56</v>
      </c>
      <c r="F880" s="648" t="s">
        <v>306</v>
      </c>
      <c r="G880" s="648">
        <v>11</v>
      </c>
      <c r="H880" s="648">
        <v>5</v>
      </c>
      <c r="I880" s="648">
        <v>43500</v>
      </c>
      <c r="J880" s="648" t="s">
        <v>255</v>
      </c>
    </row>
    <row r="881" spans="2:10" x14ac:dyDescent="0.3">
      <c r="B881" s="648" t="s">
        <v>320</v>
      </c>
      <c r="C881" s="648">
        <v>2014</v>
      </c>
      <c r="D881" s="648" t="s">
        <v>51</v>
      </c>
      <c r="E881" s="648" t="s">
        <v>56</v>
      </c>
      <c r="F881" s="648" t="s">
        <v>306</v>
      </c>
      <c r="G881" s="648">
        <v>11</v>
      </c>
      <c r="H881" s="648">
        <v>6</v>
      </c>
      <c r="I881" s="648">
        <v>43500</v>
      </c>
      <c r="J881" s="648" t="s">
        <v>255</v>
      </c>
    </row>
    <row r="882" spans="2:10" x14ac:dyDescent="0.3">
      <c r="B882" s="648" t="s">
        <v>320</v>
      </c>
      <c r="C882" s="648">
        <v>2014</v>
      </c>
      <c r="D882" s="648" t="s">
        <v>51</v>
      </c>
      <c r="E882" s="648" t="s">
        <v>56</v>
      </c>
      <c r="F882" s="648" t="s">
        <v>306</v>
      </c>
      <c r="G882" s="648">
        <v>11</v>
      </c>
      <c r="H882" s="648">
        <v>7</v>
      </c>
      <c r="I882" s="648">
        <v>43500</v>
      </c>
      <c r="J882" s="648" t="s">
        <v>255</v>
      </c>
    </row>
    <row r="883" spans="2:10" x14ac:dyDescent="0.3">
      <c r="B883" s="648" t="s">
        <v>320</v>
      </c>
      <c r="C883" s="648">
        <v>2014</v>
      </c>
      <c r="D883" s="648" t="s">
        <v>51</v>
      </c>
      <c r="E883" s="648" t="s">
        <v>56</v>
      </c>
      <c r="F883" s="648" t="s">
        <v>306</v>
      </c>
      <c r="G883" s="648">
        <v>11</v>
      </c>
      <c r="H883" s="648">
        <v>8</v>
      </c>
      <c r="I883" s="648">
        <v>43500</v>
      </c>
      <c r="J883" s="648" t="s">
        <v>255</v>
      </c>
    </row>
    <row r="884" spans="2:10" x14ac:dyDescent="0.3">
      <c r="B884" s="648" t="s">
        <v>320</v>
      </c>
      <c r="C884" s="648">
        <v>2014</v>
      </c>
      <c r="D884" s="648" t="s">
        <v>51</v>
      </c>
      <c r="E884" s="648" t="s">
        <v>56</v>
      </c>
      <c r="F884" s="648" t="s">
        <v>306</v>
      </c>
      <c r="G884" s="648">
        <v>11</v>
      </c>
      <c r="H884" s="648">
        <v>9</v>
      </c>
      <c r="I884" s="648">
        <v>48000</v>
      </c>
      <c r="J884" s="648" t="s">
        <v>255</v>
      </c>
    </row>
    <row r="885" spans="2:10" x14ac:dyDescent="0.3">
      <c r="B885" s="648" t="s">
        <v>320</v>
      </c>
      <c r="C885" s="648">
        <v>2014</v>
      </c>
      <c r="D885" s="648" t="s">
        <v>51</v>
      </c>
      <c r="E885" s="648" t="s">
        <v>56</v>
      </c>
      <c r="F885" s="648" t="s">
        <v>306</v>
      </c>
      <c r="G885" s="648">
        <v>11</v>
      </c>
      <c r="H885" s="648">
        <v>10</v>
      </c>
      <c r="I885" s="648">
        <v>48000</v>
      </c>
      <c r="J885" s="648" t="s">
        <v>255</v>
      </c>
    </row>
    <row r="886" spans="2:10" x14ac:dyDescent="0.3">
      <c r="B886" s="648" t="s">
        <v>320</v>
      </c>
      <c r="C886" s="648">
        <v>2014</v>
      </c>
      <c r="D886" s="648" t="s">
        <v>51</v>
      </c>
      <c r="E886" s="648" t="s">
        <v>56</v>
      </c>
      <c r="F886" s="648" t="s">
        <v>306</v>
      </c>
      <c r="G886" s="648">
        <v>11</v>
      </c>
      <c r="H886" s="648">
        <v>11</v>
      </c>
      <c r="I886" s="648">
        <v>51000</v>
      </c>
      <c r="J886" s="648" t="s">
        <v>255</v>
      </c>
    </row>
    <row r="887" spans="2:10" x14ac:dyDescent="0.3">
      <c r="B887" s="648" t="s">
        <v>320</v>
      </c>
      <c r="C887" s="648">
        <v>2014</v>
      </c>
      <c r="D887" s="648" t="s">
        <v>51</v>
      </c>
      <c r="E887" s="648" t="s">
        <v>56</v>
      </c>
      <c r="F887" s="648" t="s">
        <v>306</v>
      </c>
      <c r="G887" s="648">
        <v>11</v>
      </c>
      <c r="H887" s="648">
        <v>12</v>
      </c>
      <c r="I887" s="648">
        <v>51000</v>
      </c>
      <c r="J887" s="648" t="s">
        <v>255</v>
      </c>
    </row>
    <row r="888" spans="2:10" x14ac:dyDescent="0.3">
      <c r="B888" s="648" t="s">
        <v>320</v>
      </c>
      <c r="C888" s="648">
        <v>2014</v>
      </c>
      <c r="D888" s="648" t="s">
        <v>51</v>
      </c>
      <c r="E888" s="648" t="s">
        <v>56</v>
      </c>
      <c r="F888" s="648" t="s">
        <v>306</v>
      </c>
      <c r="G888" s="648">
        <v>11</v>
      </c>
      <c r="H888" s="648">
        <v>13</v>
      </c>
      <c r="I888" s="648">
        <v>51000</v>
      </c>
      <c r="J888" s="648" t="s">
        <v>255</v>
      </c>
    </row>
    <row r="889" spans="2:10" x14ac:dyDescent="0.3">
      <c r="B889" s="648" t="s">
        <v>320</v>
      </c>
      <c r="C889" s="648">
        <v>2014</v>
      </c>
      <c r="D889" s="648" t="s">
        <v>51</v>
      </c>
      <c r="E889" s="648" t="s">
        <v>56</v>
      </c>
      <c r="F889" s="648" t="s">
        <v>306</v>
      </c>
      <c r="G889" s="648">
        <v>11</v>
      </c>
      <c r="H889" s="648">
        <v>14</v>
      </c>
      <c r="I889" s="648">
        <v>51000</v>
      </c>
      <c r="J889" s="648" t="s">
        <v>255</v>
      </c>
    </row>
    <row r="890" spans="2:10" x14ac:dyDescent="0.3">
      <c r="B890" s="648" t="s">
        <v>320</v>
      </c>
      <c r="C890" s="648">
        <v>2014</v>
      </c>
      <c r="D890" s="648" t="s">
        <v>51</v>
      </c>
      <c r="E890" s="648" t="s">
        <v>56</v>
      </c>
      <c r="F890" s="648" t="s">
        <v>306</v>
      </c>
      <c r="G890" s="648">
        <v>11</v>
      </c>
      <c r="H890" s="648">
        <v>15</v>
      </c>
      <c r="I890" s="648">
        <v>51000</v>
      </c>
      <c r="J890" s="648" t="s">
        <v>255</v>
      </c>
    </row>
    <row r="891" spans="2:10" x14ac:dyDescent="0.3">
      <c r="B891" s="648" t="s">
        <v>320</v>
      </c>
      <c r="C891" s="648">
        <v>2014</v>
      </c>
      <c r="D891" s="648" t="s">
        <v>51</v>
      </c>
      <c r="E891" s="648" t="s">
        <v>56</v>
      </c>
      <c r="F891" s="648" t="s">
        <v>306</v>
      </c>
      <c r="G891" s="648">
        <v>11</v>
      </c>
      <c r="H891" s="648">
        <v>16</v>
      </c>
      <c r="I891" s="648">
        <v>56500</v>
      </c>
      <c r="J891" s="648" t="s">
        <v>255</v>
      </c>
    </row>
    <row r="892" spans="2:10" x14ac:dyDescent="0.3">
      <c r="B892" s="648" t="s">
        <v>320</v>
      </c>
      <c r="C892" s="648">
        <v>2014</v>
      </c>
      <c r="D892" s="648" t="s">
        <v>51</v>
      </c>
      <c r="E892" s="648" t="s">
        <v>56</v>
      </c>
      <c r="F892" s="648" t="s">
        <v>306</v>
      </c>
      <c r="G892" s="648">
        <v>11</v>
      </c>
      <c r="H892" s="648">
        <v>17</v>
      </c>
      <c r="I892" s="648">
        <v>56500</v>
      </c>
      <c r="J892" s="648" t="s">
        <v>255</v>
      </c>
    </row>
    <row r="893" spans="2:10" x14ac:dyDescent="0.3">
      <c r="B893" s="648" t="s">
        <v>320</v>
      </c>
      <c r="C893" s="648">
        <v>2014</v>
      </c>
      <c r="D893" s="648" t="s">
        <v>51</v>
      </c>
      <c r="E893" s="648" t="s">
        <v>56</v>
      </c>
      <c r="F893" s="648" t="s">
        <v>306</v>
      </c>
      <c r="G893" s="648">
        <v>11</v>
      </c>
      <c r="H893" s="648">
        <v>18</v>
      </c>
      <c r="I893" s="648">
        <v>56500</v>
      </c>
      <c r="J893" s="648" t="s">
        <v>255</v>
      </c>
    </row>
    <row r="894" spans="2:10" x14ac:dyDescent="0.3">
      <c r="B894" s="648" t="s">
        <v>320</v>
      </c>
      <c r="C894" s="648">
        <v>2014</v>
      </c>
      <c r="D894" s="648" t="s">
        <v>51</v>
      </c>
      <c r="E894" s="648" t="s">
        <v>56</v>
      </c>
      <c r="F894" s="648" t="s">
        <v>306</v>
      </c>
      <c r="G894" s="648">
        <v>11</v>
      </c>
      <c r="H894" s="648">
        <v>19</v>
      </c>
      <c r="I894" s="648">
        <v>56500</v>
      </c>
      <c r="J894" s="648" t="s">
        <v>255</v>
      </c>
    </row>
    <row r="895" spans="2:10" x14ac:dyDescent="0.3">
      <c r="B895" s="648" t="s">
        <v>320</v>
      </c>
      <c r="C895" s="648">
        <v>2014</v>
      </c>
      <c r="D895" s="648" t="s">
        <v>51</v>
      </c>
      <c r="E895" s="648" t="s">
        <v>56</v>
      </c>
      <c r="F895" s="648" t="s">
        <v>306</v>
      </c>
      <c r="G895" s="648">
        <v>11</v>
      </c>
      <c r="H895" s="648">
        <v>20</v>
      </c>
      <c r="I895" s="648">
        <v>56500</v>
      </c>
      <c r="J895" s="648" t="s">
        <v>255</v>
      </c>
    </row>
    <row r="896" spans="2:10" x14ac:dyDescent="0.3">
      <c r="B896" s="648" t="s">
        <v>392</v>
      </c>
      <c r="C896" s="648">
        <v>2017</v>
      </c>
      <c r="D896" s="648" t="s">
        <v>51</v>
      </c>
      <c r="E896" s="648" t="s">
        <v>393</v>
      </c>
      <c r="F896" s="648" t="s">
        <v>308</v>
      </c>
      <c r="G896" s="648">
        <v>7</v>
      </c>
      <c r="H896" s="648">
        <v>1</v>
      </c>
      <c r="I896" s="648">
        <v>33500</v>
      </c>
      <c r="J896" s="648" t="s">
        <v>255</v>
      </c>
    </row>
    <row r="897" spans="2:10" x14ac:dyDescent="0.3">
      <c r="B897" s="648" t="s">
        <v>392</v>
      </c>
      <c r="C897" s="648">
        <v>2017</v>
      </c>
      <c r="D897" s="648" t="s">
        <v>51</v>
      </c>
      <c r="E897" s="648" t="s">
        <v>393</v>
      </c>
      <c r="F897" s="648" t="s">
        <v>308</v>
      </c>
      <c r="G897" s="648">
        <v>7</v>
      </c>
      <c r="H897" s="648">
        <v>2</v>
      </c>
      <c r="I897" s="648">
        <v>33500</v>
      </c>
      <c r="J897" s="648" t="s">
        <v>255</v>
      </c>
    </row>
    <row r="898" spans="2:10" x14ac:dyDescent="0.3">
      <c r="B898" s="648" t="s">
        <v>392</v>
      </c>
      <c r="C898" s="648">
        <v>2017</v>
      </c>
      <c r="D898" s="648" t="s">
        <v>51</v>
      </c>
      <c r="E898" s="648" t="s">
        <v>393</v>
      </c>
      <c r="F898" s="648" t="s">
        <v>308</v>
      </c>
      <c r="G898" s="648">
        <v>7</v>
      </c>
      <c r="H898" s="648">
        <v>3</v>
      </c>
      <c r="I898" s="648">
        <v>54500</v>
      </c>
      <c r="J898" s="648" t="s">
        <v>255</v>
      </c>
    </row>
    <row r="899" spans="2:10" x14ac:dyDescent="0.3">
      <c r="B899" s="648" t="s">
        <v>392</v>
      </c>
      <c r="C899" s="648">
        <v>2017</v>
      </c>
      <c r="D899" s="648" t="s">
        <v>51</v>
      </c>
      <c r="E899" s="648" t="s">
        <v>393</v>
      </c>
      <c r="F899" s="648" t="s">
        <v>308</v>
      </c>
      <c r="G899" s="648">
        <v>7</v>
      </c>
      <c r="H899" s="648">
        <v>4</v>
      </c>
      <c r="I899" s="648">
        <v>54500</v>
      </c>
      <c r="J899" s="648" t="s">
        <v>255</v>
      </c>
    </row>
    <row r="900" spans="2:10" x14ac:dyDescent="0.3">
      <c r="B900" s="648" t="s">
        <v>392</v>
      </c>
      <c r="C900" s="648">
        <v>2017</v>
      </c>
      <c r="D900" s="648" t="s">
        <v>51</v>
      </c>
      <c r="E900" s="648" t="s">
        <v>393</v>
      </c>
      <c r="F900" s="648" t="s">
        <v>308</v>
      </c>
      <c r="G900" s="648">
        <v>7</v>
      </c>
      <c r="H900" s="648">
        <v>5</v>
      </c>
      <c r="I900" s="648">
        <v>54500</v>
      </c>
      <c r="J900" s="648" t="s">
        <v>255</v>
      </c>
    </row>
    <row r="901" spans="2:10" x14ac:dyDescent="0.3">
      <c r="B901" s="648" t="s">
        <v>392</v>
      </c>
      <c r="C901" s="648">
        <v>2017</v>
      </c>
      <c r="D901" s="648" t="s">
        <v>51</v>
      </c>
      <c r="E901" s="648" t="s">
        <v>393</v>
      </c>
      <c r="F901" s="648" t="s">
        <v>308</v>
      </c>
      <c r="G901" s="648">
        <v>7</v>
      </c>
      <c r="H901" s="648">
        <v>6</v>
      </c>
      <c r="I901" s="648">
        <v>63500</v>
      </c>
      <c r="J901" s="648" t="s">
        <v>255</v>
      </c>
    </row>
    <row r="902" spans="2:10" x14ac:dyDescent="0.3">
      <c r="B902" s="648" t="s">
        <v>392</v>
      </c>
      <c r="C902" s="648">
        <v>2017</v>
      </c>
      <c r="D902" s="648" t="s">
        <v>51</v>
      </c>
      <c r="E902" s="648" t="s">
        <v>393</v>
      </c>
      <c r="F902" s="648" t="s">
        <v>308</v>
      </c>
      <c r="G902" s="648">
        <v>7</v>
      </c>
      <c r="H902" s="648">
        <v>7</v>
      </c>
      <c r="I902" s="648">
        <v>63500</v>
      </c>
      <c r="J902" s="648" t="s">
        <v>255</v>
      </c>
    </row>
    <row r="903" spans="2:10" x14ac:dyDescent="0.3">
      <c r="B903" s="648" t="s">
        <v>392</v>
      </c>
      <c r="C903" s="648">
        <v>2017</v>
      </c>
      <c r="D903" s="648" t="s">
        <v>51</v>
      </c>
      <c r="E903" s="648" t="s">
        <v>393</v>
      </c>
      <c r="F903" s="648" t="s">
        <v>308</v>
      </c>
      <c r="G903" s="648">
        <v>7</v>
      </c>
      <c r="H903" s="648">
        <v>8</v>
      </c>
      <c r="I903" s="648">
        <v>63500</v>
      </c>
      <c r="J903" s="648" t="s">
        <v>255</v>
      </c>
    </row>
    <row r="904" spans="2:10" x14ac:dyDescent="0.3">
      <c r="B904" s="648" t="s">
        <v>392</v>
      </c>
      <c r="C904" s="648">
        <v>2017</v>
      </c>
      <c r="D904" s="648" t="s">
        <v>51</v>
      </c>
      <c r="E904" s="648" t="s">
        <v>393</v>
      </c>
      <c r="F904" s="648" t="s">
        <v>308</v>
      </c>
      <c r="G904" s="648">
        <v>7</v>
      </c>
      <c r="H904" s="648">
        <v>9</v>
      </c>
      <c r="I904" s="648">
        <v>63500</v>
      </c>
      <c r="J904" s="648" t="s">
        <v>255</v>
      </c>
    </row>
    <row r="905" spans="2:10" x14ac:dyDescent="0.3">
      <c r="B905" s="648" t="s">
        <v>392</v>
      </c>
      <c r="C905" s="648">
        <v>2017</v>
      </c>
      <c r="D905" s="648" t="s">
        <v>51</v>
      </c>
      <c r="E905" s="648" t="s">
        <v>393</v>
      </c>
      <c r="F905" s="648" t="s">
        <v>308</v>
      </c>
      <c r="G905" s="648">
        <v>7</v>
      </c>
      <c r="H905" s="648">
        <v>10</v>
      </c>
      <c r="I905" s="648">
        <v>63500</v>
      </c>
      <c r="J905" s="648" t="s">
        <v>255</v>
      </c>
    </row>
    <row r="906" spans="2:10" x14ac:dyDescent="0.3">
      <c r="B906" s="648" t="s">
        <v>392</v>
      </c>
      <c r="C906" s="648">
        <v>2017</v>
      </c>
      <c r="D906" s="648" t="s">
        <v>51</v>
      </c>
      <c r="E906" s="648" t="s">
        <v>393</v>
      </c>
      <c r="F906" s="648" t="s">
        <v>308</v>
      </c>
      <c r="G906" s="648">
        <v>7</v>
      </c>
      <c r="H906" s="648">
        <v>11</v>
      </c>
      <c r="I906" s="648">
        <v>78500</v>
      </c>
      <c r="J906" s="648" t="s">
        <v>255</v>
      </c>
    </row>
    <row r="907" spans="2:10" x14ac:dyDescent="0.3">
      <c r="B907" s="648" t="s">
        <v>392</v>
      </c>
      <c r="C907" s="648">
        <v>2017</v>
      </c>
      <c r="D907" s="648" t="s">
        <v>51</v>
      </c>
      <c r="E907" s="648" t="s">
        <v>393</v>
      </c>
      <c r="F907" s="648" t="s">
        <v>308</v>
      </c>
      <c r="G907" s="648">
        <v>7</v>
      </c>
      <c r="H907" s="648">
        <v>12</v>
      </c>
      <c r="I907" s="648">
        <v>78500</v>
      </c>
      <c r="J907" s="648" t="s">
        <v>255</v>
      </c>
    </row>
    <row r="908" spans="2:10" x14ac:dyDescent="0.3">
      <c r="B908" s="648" t="s">
        <v>392</v>
      </c>
      <c r="C908" s="648">
        <v>2017</v>
      </c>
      <c r="D908" s="648" t="s">
        <v>51</v>
      </c>
      <c r="E908" s="648" t="s">
        <v>393</v>
      </c>
      <c r="F908" s="648" t="s">
        <v>308</v>
      </c>
      <c r="G908" s="648">
        <v>7</v>
      </c>
      <c r="H908" s="648">
        <v>13</v>
      </c>
      <c r="I908" s="648">
        <v>78500</v>
      </c>
      <c r="J908" s="648" t="s">
        <v>255</v>
      </c>
    </row>
    <row r="909" spans="2:10" x14ac:dyDescent="0.3">
      <c r="B909" s="648" t="s">
        <v>392</v>
      </c>
      <c r="C909" s="648">
        <v>2017</v>
      </c>
      <c r="D909" s="648" t="s">
        <v>51</v>
      </c>
      <c r="E909" s="648" t="s">
        <v>393</v>
      </c>
      <c r="F909" s="648" t="s">
        <v>308</v>
      </c>
      <c r="G909" s="648">
        <v>7</v>
      </c>
      <c r="H909" s="648">
        <v>14</v>
      </c>
      <c r="I909" s="648">
        <v>78500</v>
      </c>
      <c r="J909" s="648" t="s">
        <v>255</v>
      </c>
    </row>
    <row r="910" spans="2:10" x14ac:dyDescent="0.3">
      <c r="B910" s="648" t="s">
        <v>392</v>
      </c>
      <c r="C910" s="648">
        <v>2017</v>
      </c>
      <c r="D910" s="648" t="s">
        <v>51</v>
      </c>
      <c r="E910" s="648" t="s">
        <v>393</v>
      </c>
      <c r="F910" s="648" t="s">
        <v>308</v>
      </c>
      <c r="G910" s="648">
        <v>7</v>
      </c>
      <c r="H910" s="648">
        <v>15</v>
      </c>
      <c r="I910" s="648">
        <v>78500</v>
      </c>
      <c r="J910" s="648" t="s">
        <v>255</v>
      </c>
    </row>
    <row r="911" spans="2:10" x14ac:dyDescent="0.3">
      <c r="B911" s="648" t="s">
        <v>392</v>
      </c>
      <c r="C911" s="648">
        <v>2017</v>
      </c>
      <c r="D911" s="648" t="s">
        <v>51</v>
      </c>
      <c r="E911" s="648" t="s">
        <v>393</v>
      </c>
      <c r="F911" s="648" t="s">
        <v>308</v>
      </c>
      <c r="G911" s="648">
        <v>7</v>
      </c>
      <c r="H911" s="648">
        <v>16</v>
      </c>
      <c r="I911" s="648">
        <v>78500</v>
      </c>
      <c r="J911" s="648" t="s">
        <v>255</v>
      </c>
    </row>
    <row r="912" spans="2:10" x14ac:dyDescent="0.3">
      <c r="B912" s="648" t="s">
        <v>392</v>
      </c>
      <c r="C912" s="648">
        <v>2017</v>
      </c>
      <c r="D912" s="648" t="s">
        <v>51</v>
      </c>
      <c r="E912" s="648" t="s">
        <v>393</v>
      </c>
      <c r="F912" s="648" t="s">
        <v>308</v>
      </c>
      <c r="G912" s="648">
        <v>7</v>
      </c>
      <c r="H912" s="648">
        <v>17</v>
      </c>
      <c r="I912" s="648">
        <v>88500</v>
      </c>
      <c r="J912" s="648" t="s">
        <v>255</v>
      </c>
    </row>
    <row r="913" spans="2:10" x14ac:dyDescent="0.3">
      <c r="B913" s="648" t="s">
        <v>392</v>
      </c>
      <c r="C913" s="648">
        <v>2017</v>
      </c>
      <c r="D913" s="648" t="s">
        <v>51</v>
      </c>
      <c r="E913" s="648" t="s">
        <v>393</v>
      </c>
      <c r="F913" s="648" t="s">
        <v>308</v>
      </c>
      <c r="G913" s="648">
        <v>7</v>
      </c>
      <c r="H913" s="648">
        <v>18</v>
      </c>
      <c r="I913" s="648">
        <v>88500</v>
      </c>
      <c r="J913" s="648" t="s">
        <v>255</v>
      </c>
    </row>
    <row r="914" spans="2:10" x14ac:dyDescent="0.3">
      <c r="B914" s="648" t="s">
        <v>392</v>
      </c>
      <c r="C914" s="648">
        <v>2017</v>
      </c>
      <c r="D914" s="648" t="s">
        <v>51</v>
      </c>
      <c r="E914" s="648" t="s">
        <v>393</v>
      </c>
      <c r="F914" s="648" t="s">
        <v>308</v>
      </c>
      <c r="G914" s="648">
        <v>7</v>
      </c>
      <c r="H914" s="648">
        <v>19</v>
      </c>
      <c r="I914" s="648">
        <v>88500</v>
      </c>
      <c r="J914" s="648" t="s">
        <v>255</v>
      </c>
    </row>
    <row r="915" spans="2:10" x14ac:dyDescent="0.3">
      <c r="B915" s="648" t="s">
        <v>392</v>
      </c>
      <c r="C915" s="648">
        <v>2017</v>
      </c>
      <c r="D915" s="648" t="s">
        <v>51</v>
      </c>
      <c r="E915" s="648" t="s">
        <v>393</v>
      </c>
      <c r="F915" s="648" t="s">
        <v>308</v>
      </c>
      <c r="G915" s="648">
        <v>7</v>
      </c>
      <c r="H915" s="648">
        <v>20</v>
      </c>
      <c r="I915" s="648">
        <v>88500</v>
      </c>
      <c r="J915" s="648" t="s">
        <v>255</v>
      </c>
    </row>
    <row r="916" spans="2:10" x14ac:dyDescent="0.3">
      <c r="B916" s="648" t="s">
        <v>408</v>
      </c>
      <c r="C916" s="648">
        <v>2017</v>
      </c>
      <c r="D916" s="648" t="s">
        <v>51</v>
      </c>
      <c r="E916" s="648" t="s">
        <v>58</v>
      </c>
      <c r="F916" s="648" t="s">
        <v>306</v>
      </c>
      <c r="G916" s="648">
        <v>1</v>
      </c>
      <c r="H916" s="648">
        <v>2</v>
      </c>
      <c r="I916" s="648">
        <v>32000</v>
      </c>
      <c r="J916" s="648" t="s">
        <v>280</v>
      </c>
    </row>
    <row r="917" spans="2:10" x14ac:dyDescent="0.3">
      <c r="B917" s="648" t="s">
        <v>408</v>
      </c>
      <c r="C917" s="648">
        <v>2017</v>
      </c>
      <c r="D917" s="648" t="s">
        <v>51</v>
      </c>
      <c r="E917" s="648" t="s">
        <v>58</v>
      </c>
      <c r="F917" s="648" t="s">
        <v>306</v>
      </c>
      <c r="G917" s="648">
        <v>1</v>
      </c>
      <c r="H917" s="648">
        <v>3</v>
      </c>
      <c r="I917" s="648">
        <v>32480</v>
      </c>
      <c r="J917" s="648" t="s">
        <v>280</v>
      </c>
    </row>
    <row r="918" spans="2:10" x14ac:dyDescent="0.3">
      <c r="B918" s="648" t="s">
        <v>408</v>
      </c>
      <c r="C918" s="648">
        <v>2017</v>
      </c>
      <c r="D918" s="648" t="s">
        <v>51</v>
      </c>
      <c r="E918" s="648" t="s">
        <v>58</v>
      </c>
      <c r="F918" s="648" t="s">
        <v>306</v>
      </c>
      <c r="G918" s="648">
        <v>1</v>
      </c>
      <c r="H918" s="648">
        <v>4</v>
      </c>
      <c r="I918" s="648">
        <v>38487</v>
      </c>
      <c r="J918" s="648" t="s">
        <v>280</v>
      </c>
    </row>
    <row r="919" spans="2:10" x14ac:dyDescent="0.3">
      <c r="B919" s="648" t="s">
        <v>408</v>
      </c>
      <c r="C919" s="648">
        <v>2017</v>
      </c>
      <c r="D919" s="648" t="s">
        <v>51</v>
      </c>
      <c r="E919" s="648" t="s">
        <v>58</v>
      </c>
      <c r="F919" s="648" t="s">
        <v>306</v>
      </c>
      <c r="G919" s="648">
        <v>1</v>
      </c>
      <c r="H919" s="648">
        <v>5</v>
      </c>
      <c r="I919" s="648">
        <v>39065</v>
      </c>
      <c r="J919" s="648" t="s">
        <v>280</v>
      </c>
    </row>
    <row r="920" spans="2:10" x14ac:dyDescent="0.3">
      <c r="B920" s="648" t="s">
        <v>408</v>
      </c>
      <c r="C920" s="648">
        <v>2017</v>
      </c>
      <c r="D920" s="648" t="s">
        <v>51</v>
      </c>
      <c r="E920" s="648" t="s">
        <v>58</v>
      </c>
      <c r="F920" s="648" t="s">
        <v>306</v>
      </c>
      <c r="G920" s="648">
        <v>1</v>
      </c>
      <c r="H920" s="648">
        <v>6</v>
      </c>
      <c r="I920" s="648">
        <v>39650</v>
      </c>
      <c r="J920" s="648" t="s">
        <v>280</v>
      </c>
    </row>
    <row r="921" spans="2:10" x14ac:dyDescent="0.3">
      <c r="B921" s="648" t="s">
        <v>408</v>
      </c>
      <c r="C921" s="648">
        <v>2017</v>
      </c>
      <c r="D921" s="648" t="s">
        <v>51</v>
      </c>
      <c r="E921" s="648" t="s">
        <v>58</v>
      </c>
      <c r="F921" s="648" t="s">
        <v>306</v>
      </c>
      <c r="G921" s="648">
        <v>1</v>
      </c>
      <c r="H921" s="648">
        <v>7</v>
      </c>
      <c r="I921" s="648">
        <v>40245</v>
      </c>
      <c r="J921" s="648" t="s">
        <v>280</v>
      </c>
    </row>
    <row r="922" spans="2:10" x14ac:dyDescent="0.3">
      <c r="B922" s="648" t="s">
        <v>408</v>
      </c>
      <c r="C922" s="648">
        <v>2017</v>
      </c>
      <c r="D922" s="648" t="s">
        <v>51</v>
      </c>
      <c r="E922" s="648" t="s">
        <v>58</v>
      </c>
      <c r="F922" s="648" t="s">
        <v>306</v>
      </c>
      <c r="G922" s="648">
        <v>1</v>
      </c>
      <c r="H922" s="648">
        <v>8</v>
      </c>
      <c r="I922" s="648">
        <v>43000</v>
      </c>
      <c r="J922" s="648" t="s">
        <v>280</v>
      </c>
    </row>
    <row r="923" spans="2:10" x14ac:dyDescent="0.3">
      <c r="B923" s="648" t="s">
        <v>408</v>
      </c>
      <c r="C923" s="648">
        <v>2017</v>
      </c>
      <c r="D923" s="648" t="s">
        <v>51</v>
      </c>
      <c r="E923" s="648" t="s">
        <v>58</v>
      </c>
      <c r="F923" s="648" t="s">
        <v>306</v>
      </c>
      <c r="G923" s="648">
        <v>1</v>
      </c>
      <c r="H923" s="648">
        <v>9</v>
      </c>
      <c r="I923" s="648">
        <v>43645</v>
      </c>
      <c r="J923" s="648" t="s">
        <v>280</v>
      </c>
    </row>
    <row r="924" spans="2:10" x14ac:dyDescent="0.3">
      <c r="B924" s="648" t="s">
        <v>408</v>
      </c>
      <c r="C924" s="648">
        <v>2017</v>
      </c>
      <c r="D924" s="648" t="s">
        <v>51</v>
      </c>
      <c r="E924" s="648" t="s">
        <v>58</v>
      </c>
      <c r="F924" s="648" t="s">
        <v>306</v>
      </c>
      <c r="G924" s="648">
        <v>1</v>
      </c>
      <c r="H924" s="648">
        <v>10</v>
      </c>
      <c r="I924" s="648">
        <v>45655</v>
      </c>
      <c r="J924" s="648" t="s">
        <v>280</v>
      </c>
    </row>
    <row r="925" spans="2:10" x14ac:dyDescent="0.3">
      <c r="B925" s="648" t="s">
        <v>408</v>
      </c>
      <c r="C925" s="648">
        <v>2017</v>
      </c>
      <c r="D925" s="648" t="s">
        <v>51</v>
      </c>
      <c r="E925" s="648" t="s">
        <v>58</v>
      </c>
      <c r="F925" s="648" t="s">
        <v>306</v>
      </c>
      <c r="G925" s="648">
        <v>1</v>
      </c>
      <c r="H925" s="648">
        <v>11</v>
      </c>
      <c r="I925" s="648">
        <v>46339</v>
      </c>
      <c r="J925" s="648" t="s">
        <v>280</v>
      </c>
    </row>
    <row r="926" spans="2:10" x14ac:dyDescent="0.3">
      <c r="B926" s="648" t="s">
        <v>408</v>
      </c>
      <c r="C926" s="648">
        <v>2017</v>
      </c>
      <c r="D926" s="648" t="s">
        <v>51</v>
      </c>
      <c r="E926" s="648" t="s">
        <v>58</v>
      </c>
      <c r="F926" s="648" t="s">
        <v>306</v>
      </c>
      <c r="G926" s="648">
        <v>1</v>
      </c>
      <c r="H926" s="648">
        <v>12</v>
      </c>
      <c r="I926" s="648">
        <v>47035</v>
      </c>
      <c r="J926" s="648" t="s">
        <v>280</v>
      </c>
    </row>
    <row r="927" spans="2:10" x14ac:dyDescent="0.3">
      <c r="B927" s="648" t="s">
        <v>408</v>
      </c>
      <c r="C927" s="648">
        <v>2017</v>
      </c>
      <c r="D927" s="648" t="s">
        <v>51</v>
      </c>
      <c r="E927" s="648" t="s">
        <v>58</v>
      </c>
      <c r="F927" s="648" t="s">
        <v>306</v>
      </c>
      <c r="G927" s="648">
        <v>1</v>
      </c>
      <c r="H927" s="648">
        <v>13</v>
      </c>
      <c r="I927" s="648">
        <v>47740</v>
      </c>
      <c r="J927" s="648" t="s">
        <v>280</v>
      </c>
    </row>
    <row r="928" spans="2:10" x14ac:dyDescent="0.3">
      <c r="B928" s="648" t="s">
        <v>408</v>
      </c>
      <c r="C928" s="648">
        <v>2017</v>
      </c>
      <c r="D928" s="648" t="s">
        <v>51</v>
      </c>
      <c r="E928" s="648" t="s">
        <v>58</v>
      </c>
      <c r="F928" s="648" t="s">
        <v>306</v>
      </c>
      <c r="G928" s="648">
        <v>1</v>
      </c>
      <c r="H928" s="648">
        <v>14</v>
      </c>
      <c r="I928" s="648">
        <v>48456</v>
      </c>
      <c r="J928" s="648" t="s">
        <v>280</v>
      </c>
    </row>
    <row r="929" spans="2:10" x14ac:dyDescent="0.3">
      <c r="B929" s="648" t="s">
        <v>408</v>
      </c>
      <c r="C929" s="648">
        <v>2017</v>
      </c>
      <c r="D929" s="648" t="s">
        <v>51</v>
      </c>
      <c r="E929" s="648" t="s">
        <v>58</v>
      </c>
      <c r="F929" s="648" t="s">
        <v>306</v>
      </c>
      <c r="G929" s="648">
        <v>1</v>
      </c>
      <c r="H929" s="648">
        <v>15</v>
      </c>
      <c r="I929" s="648">
        <v>54000</v>
      </c>
      <c r="J929" s="648" t="s">
        <v>280</v>
      </c>
    </row>
    <row r="930" spans="2:10" x14ac:dyDescent="0.3">
      <c r="B930" s="648" t="s">
        <v>408</v>
      </c>
      <c r="C930" s="648">
        <v>2017</v>
      </c>
      <c r="D930" s="648" t="s">
        <v>51</v>
      </c>
      <c r="E930" s="648" t="s">
        <v>58</v>
      </c>
      <c r="F930" s="648" t="s">
        <v>306</v>
      </c>
      <c r="G930" s="648">
        <v>1</v>
      </c>
      <c r="H930" s="648">
        <v>16</v>
      </c>
      <c r="I930" s="648">
        <v>54810</v>
      </c>
      <c r="J930" s="648" t="s">
        <v>280</v>
      </c>
    </row>
    <row r="931" spans="2:10" x14ac:dyDescent="0.3">
      <c r="B931" s="648" t="s">
        <v>408</v>
      </c>
      <c r="C931" s="648">
        <v>2017</v>
      </c>
      <c r="D931" s="648" t="s">
        <v>51</v>
      </c>
      <c r="E931" s="648" t="s">
        <v>58</v>
      </c>
      <c r="F931" s="648" t="s">
        <v>306</v>
      </c>
      <c r="G931" s="648">
        <v>1</v>
      </c>
      <c r="H931" s="648">
        <v>17</v>
      </c>
      <c r="I931" s="648">
        <v>55632</v>
      </c>
      <c r="J931" s="648" t="s">
        <v>280</v>
      </c>
    </row>
    <row r="932" spans="2:10" x14ac:dyDescent="0.3">
      <c r="B932" s="648" t="s">
        <v>408</v>
      </c>
      <c r="C932" s="648">
        <v>2017</v>
      </c>
      <c r="D932" s="648" t="s">
        <v>51</v>
      </c>
      <c r="E932" s="648" t="s">
        <v>58</v>
      </c>
      <c r="F932" s="648" t="s">
        <v>306</v>
      </c>
      <c r="G932" s="648">
        <v>1</v>
      </c>
      <c r="H932" s="648">
        <v>18</v>
      </c>
      <c r="I932" s="648">
        <v>56467</v>
      </c>
      <c r="J932" s="648" t="s">
        <v>280</v>
      </c>
    </row>
    <row r="933" spans="2:10" x14ac:dyDescent="0.3">
      <c r="B933" s="648" t="s">
        <v>408</v>
      </c>
      <c r="C933" s="648">
        <v>2017</v>
      </c>
      <c r="D933" s="648" t="s">
        <v>51</v>
      </c>
      <c r="E933" s="648" t="s">
        <v>58</v>
      </c>
      <c r="F933" s="648" t="s">
        <v>306</v>
      </c>
      <c r="G933" s="648">
        <v>1</v>
      </c>
      <c r="H933" s="648">
        <v>19</v>
      </c>
      <c r="I933" s="648">
        <v>57314</v>
      </c>
      <c r="J933" s="648" t="s">
        <v>280</v>
      </c>
    </row>
    <row r="934" spans="2:10" x14ac:dyDescent="0.3">
      <c r="B934" s="648" t="s">
        <v>408</v>
      </c>
      <c r="C934" s="648">
        <v>2017</v>
      </c>
      <c r="D934" s="648" t="s">
        <v>51</v>
      </c>
      <c r="E934" s="648" t="s">
        <v>58</v>
      </c>
      <c r="F934" s="648" t="s">
        <v>306</v>
      </c>
      <c r="G934" s="648">
        <v>1</v>
      </c>
      <c r="H934" s="648">
        <v>20</v>
      </c>
      <c r="I934" s="648">
        <v>58173</v>
      </c>
      <c r="J934" s="648" t="s">
        <v>280</v>
      </c>
    </row>
    <row r="935" spans="2:10" x14ac:dyDescent="0.3">
      <c r="B935" s="648" t="s">
        <v>411</v>
      </c>
      <c r="C935" s="648">
        <v>2017</v>
      </c>
      <c r="D935" s="648" t="s">
        <v>51</v>
      </c>
      <c r="E935" s="648" t="s">
        <v>52</v>
      </c>
      <c r="F935" s="648" t="s">
        <v>306</v>
      </c>
      <c r="G935" s="648">
        <v>1</v>
      </c>
      <c r="H935" s="648">
        <v>13</v>
      </c>
      <c r="I935" s="648">
        <v>42000</v>
      </c>
      <c r="J935" s="648" t="s">
        <v>255</v>
      </c>
    </row>
    <row r="936" spans="2:10" x14ac:dyDescent="0.3">
      <c r="B936" s="648" t="s">
        <v>411</v>
      </c>
      <c r="C936" s="648">
        <v>2017</v>
      </c>
      <c r="D936" s="648" t="s">
        <v>51</v>
      </c>
      <c r="E936" s="648" t="s">
        <v>52</v>
      </c>
      <c r="F936" s="648" t="s">
        <v>306</v>
      </c>
      <c r="G936" s="648">
        <v>1</v>
      </c>
      <c r="H936" s="648">
        <v>14</v>
      </c>
      <c r="I936" s="648">
        <v>42000</v>
      </c>
      <c r="J936" s="648" t="s">
        <v>255</v>
      </c>
    </row>
    <row r="937" spans="2:10" x14ac:dyDescent="0.3">
      <c r="B937" s="648" t="s">
        <v>411</v>
      </c>
      <c r="C937" s="648">
        <v>2017</v>
      </c>
      <c r="D937" s="648" t="s">
        <v>51</v>
      </c>
      <c r="E937" s="648" t="s">
        <v>52</v>
      </c>
      <c r="F937" s="648" t="s">
        <v>306</v>
      </c>
      <c r="G937" s="648">
        <v>1</v>
      </c>
      <c r="H937" s="648">
        <v>15</v>
      </c>
      <c r="I937" s="648">
        <v>45000</v>
      </c>
      <c r="J937" s="648" t="s">
        <v>255</v>
      </c>
    </row>
    <row r="938" spans="2:10" x14ac:dyDescent="0.3">
      <c r="B938" s="648" t="s">
        <v>411</v>
      </c>
      <c r="C938" s="648">
        <v>2017</v>
      </c>
      <c r="D938" s="648" t="s">
        <v>51</v>
      </c>
      <c r="E938" s="648" t="s">
        <v>52</v>
      </c>
      <c r="F938" s="648" t="s">
        <v>306</v>
      </c>
      <c r="G938" s="648">
        <v>1</v>
      </c>
      <c r="H938" s="648">
        <v>16</v>
      </c>
      <c r="I938" s="648">
        <v>45000</v>
      </c>
      <c r="J938" s="648" t="s">
        <v>255</v>
      </c>
    </row>
    <row r="939" spans="2:10" x14ac:dyDescent="0.3">
      <c r="B939" s="648" t="s">
        <v>411</v>
      </c>
      <c r="C939" s="648">
        <v>2017</v>
      </c>
      <c r="D939" s="648" t="s">
        <v>51</v>
      </c>
      <c r="E939" s="648" t="s">
        <v>52</v>
      </c>
      <c r="F939" s="648" t="s">
        <v>306</v>
      </c>
      <c r="G939" s="648">
        <v>1</v>
      </c>
      <c r="H939" s="648">
        <v>17</v>
      </c>
      <c r="I939" s="648">
        <v>45000</v>
      </c>
      <c r="J939" s="648" t="s">
        <v>255</v>
      </c>
    </row>
    <row r="940" spans="2:10" x14ac:dyDescent="0.3">
      <c r="B940" s="648" t="s">
        <v>411</v>
      </c>
      <c r="C940" s="648">
        <v>2017</v>
      </c>
      <c r="D940" s="648" t="s">
        <v>51</v>
      </c>
      <c r="E940" s="648" t="s">
        <v>52</v>
      </c>
      <c r="F940" s="648" t="s">
        <v>306</v>
      </c>
      <c r="G940" s="648">
        <v>1</v>
      </c>
      <c r="H940" s="648">
        <v>18</v>
      </c>
      <c r="I940" s="648">
        <v>51000</v>
      </c>
      <c r="J940" s="648" t="s">
        <v>255</v>
      </c>
    </row>
    <row r="941" spans="2:10" x14ac:dyDescent="0.3">
      <c r="B941" s="648" t="s">
        <v>411</v>
      </c>
      <c r="C941" s="648">
        <v>2017</v>
      </c>
      <c r="D941" s="648" t="s">
        <v>51</v>
      </c>
      <c r="E941" s="648" t="s">
        <v>52</v>
      </c>
      <c r="F941" s="648" t="s">
        <v>306</v>
      </c>
      <c r="G941" s="648">
        <v>1</v>
      </c>
      <c r="H941" s="648">
        <v>19</v>
      </c>
      <c r="I941" s="648">
        <v>51000</v>
      </c>
      <c r="J941" s="648" t="s">
        <v>255</v>
      </c>
    </row>
    <row r="942" spans="2:10" x14ac:dyDescent="0.3">
      <c r="B942" s="648" t="s">
        <v>411</v>
      </c>
      <c r="C942" s="648">
        <v>2017</v>
      </c>
      <c r="D942" s="648" t="s">
        <v>51</v>
      </c>
      <c r="E942" s="648" t="s">
        <v>52</v>
      </c>
      <c r="F942" s="648" t="s">
        <v>306</v>
      </c>
      <c r="G942" s="648">
        <v>1</v>
      </c>
      <c r="H942" s="648">
        <v>20</v>
      </c>
      <c r="I942" s="648">
        <v>51000</v>
      </c>
      <c r="J942" s="648" t="s">
        <v>255</v>
      </c>
    </row>
    <row r="943" spans="2:10" x14ac:dyDescent="0.3">
      <c r="B943" s="648" t="s">
        <v>418</v>
      </c>
      <c r="C943" s="648">
        <v>2017</v>
      </c>
      <c r="D943" s="648" t="s">
        <v>51</v>
      </c>
      <c r="E943" s="648" t="s">
        <v>52</v>
      </c>
      <c r="F943" s="648" t="s">
        <v>306</v>
      </c>
      <c r="G943" s="648">
        <v>1</v>
      </c>
      <c r="H943" s="648">
        <v>8</v>
      </c>
      <c r="I943" s="648">
        <v>41000</v>
      </c>
      <c r="J943" s="648" t="s">
        <v>255</v>
      </c>
    </row>
    <row r="944" spans="2:10" x14ac:dyDescent="0.3">
      <c r="B944" s="648" t="s">
        <v>418</v>
      </c>
      <c r="C944" s="648">
        <v>2017</v>
      </c>
      <c r="D944" s="648" t="s">
        <v>51</v>
      </c>
      <c r="E944" s="648" t="s">
        <v>52</v>
      </c>
      <c r="F944" s="648" t="s">
        <v>306</v>
      </c>
      <c r="G944" s="648">
        <v>1</v>
      </c>
      <c r="H944" s="648">
        <v>9</v>
      </c>
      <c r="I944" s="648">
        <v>41000</v>
      </c>
      <c r="J944" s="648" t="s">
        <v>255</v>
      </c>
    </row>
    <row r="945" spans="2:10" x14ac:dyDescent="0.3">
      <c r="B945" s="648" t="s">
        <v>418</v>
      </c>
      <c r="C945" s="648">
        <v>2017</v>
      </c>
      <c r="D945" s="648" t="s">
        <v>51</v>
      </c>
      <c r="E945" s="648" t="s">
        <v>52</v>
      </c>
      <c r="F945" s="648" t="s">
        <v>306</v>
      </c>
      <c r="G945" s="648">
        <v>1</v>
      </c>
      <c r="H945" s="648">
        <v>10</v>
      </c>
      <c r="I945" s="648">
        <v>41000</v>
      </c>
      <c r="J945" s="648" t="s">
        <v>255</v>
      </c>
    </row>
    <row r="946" spans="2:10" x14ac:dyDescent="0.3">
      <c r="B946" s="648" t="s">
        <v>418</v>
      </c>
      <c r="C946" s="648">
        <v>2017</v>
      </c>
      <c r="D946" s="648" t="s">
        <v>51</v>
      </c>
      <c r="E946" s="648" t="s">
        <v>52</v>
      </c>
      <c r="F946" s="648" t="s">
        <v>306</v>
      </c>
      <c r="G946" s="648">
        <v>1</v>
      </c>
      <c r="H946" s="648">
        <v>11</v>
      </c>
      <c r="I946" s="648">
        <v>45500</v>
      </c>
      <c r="J946" s="648" t="s">
        <v>255</v>
      </c>
    </row>
    <row r="947" spans="2:10" x14ac:dyDescent="0.3">
      <c r="B947" s="648" t="s">
        <v>418</v>
      </c>
      <c r="C947" s="648">
        <v>2017</v>
      </c>
      <c r="D947" s="648" t="s">
        <v>51</v>
      </c>
      <c r="E947" s="648" t="s">
        <v>52</v>
      </c>
      <c r="F947" s="648" t="s">
        <v>306</v>
      </c>
      <c r="G947" s="648">
        <v>1</v>
      </c>
      <c r="H947" s="648">
        <v>12</v>
      </c>
      <c r="I947" s="648">
        <v>45500</v>
      </c>
      <c r="J947" s="648" t="s">
        <v>255</v>
      </c>
    </row>
    <row r="948" spans="2:10" x14ac:dyDescent="0.3">
      <c r="B948" s="648" t="s">
        <v>418</v>
      </c>
      <c r="C948" s="648">
        <v>2017</v>
      </c>
      <c r="D948" s="648" t="s">
        <v>51</v>
      </c>
      <c r="E948" s="648" t="s">
        <v>52</v>
      </c>
      <c r="F948" s="648" t="s">
        <v>306</v>
      </c>
      <c r="G948" s="648">
        <v>1</v>
      </c>
      <c r="H948" s="648">
        <v>13</v>
      </c>
      <c r="I948" s="648">
        <v>45500</v>
      </c>
      <c r="J948" s="648" t="s">
        <v>255</v>
      </c>
    </row>
    <row r="949" spans="2:10" x14ac:dyDescent="0.3">
      <c r="B949" s="648" t="s">
        <v>418</v>
      </c>
      <c r="C949" s="648">
        <v>2017</v>
      </c>
      <c r="D949" s="648" t="s">
        <v>51</v>
      </c>
      <c r="E949" s="648" t="s">
        <v>52</v>
      </c>
      <c r="F949" s="648" t="s">
        <v>306</v>
      </c>
      <c r="G949" s="648">
        <v>1</v>
      </c>
      <c r="H949" s="648">
        <v>14</v>
      </c>
      <c r="I949" s="648">
        <v>45500</v>
      </c>
      <c r="J949" s="648" t="s">
        <v>255</v>
      </c>
    </row>
    <row r="950" spans="2:10" x14ac:dyDescent="0.3">
      <c r="B950" s="648" t="s">
        <v>418</v>
      </c>
      <c r="C950" s="648">
        <v>2017</v>
      </c>
      <c r="D950" s="648" t="s">
        <v>51</v>
      </c>
      <c r="E950" s="648" t="s">
        <v>52</v>
      </c>
      <c r="F950" s="648" t="s">
        <v>306</v>
      </c>
      <c r="G950" s="648">
        <v>1</v>
      </c>
      <c r="H950" s="648">
        <v>15</v>
      </c>
      <c r="I950" s="648">
        <v>45500</v>
      </c>
      <c r="J950" s="648" t="s">
        <v>255</v>
      </c>
    </row>
    <row r="951" spans="2:10" x14ac:dyDescent="0.3">
      <c r="B951" s="648" t="s">
        <v>418</v>
      </c>
      <c r="C951" s="648">
        <v>2017</v>
      </c>
      <c r="D951" s="648" t="s">
        <v>51</v>
      </c>
      <c r="E951" s="648" t="s">
        <v>52</v>
      </c>
      <c r="F951" s="648" t="s">
        <v>306</v>
      </c>
      <c r="G951" s="648">
        <v>1</v>
      </c>
      <c r="H951" s="648">
        <v>16</v>
      </c>
      <c r="I951" s="648">
        <v>48500</v>
      </c>
      <c r="J951" s="648" t="s">
        <v>255</v>
      </c>
    </row>
    <row r="952" spans="2:10" x14ac:dyDescent="0.3">
      <c r="B952" s="648" t="s">
        <v>418</v>
      </c>
      <c r="C952" s="648">
        <v>2017</v>
      </c>
      <c r="D952" s="648" t="s">
        <v>51</v>
      </c>
      <c r="E952" s="648" t="s">
        <v>52</v>
      </c>
      <c r="F952" s="648" t="s">
        <v>306</v>
      </c>
      <c r="G952" s="648">
        <v>1</v>
      </c>
      <c r="H952" s="648">
        <v>17</v>
      </c>
      <c r="I952" s="648">
        <v>48500</v>
      </c>
      <c r="J952" s="648" t="s">
        <v>255</v>
      </c>
    </row>
    <row r="953" spans="2:10" x14ac:dyDescent="0.3">
      <c r="B953" s="648" t="s">
        <v>418</v>
      </c>
      <c r="C953" s="648">
        <v>2017</v>
      </c>
      <c r="D953" s="648" t="s">
        <v>51</v>
      </c>
      <c r="E953" s="648" t="s">
        <v>52</v>
      </c>
      <c r="F953" s="648" t="s">
        <v>306</v>
      </c>
      <c r="G953" s="648">
        <v>1</v>
      </c>
      <c r="H953" s="648">
        <v>18</v>
      </c>
      <c r="I953" s="648">
        <v>48500</v>
      </c>
      <c r="J953" s="648" t="s">
        <v>255</v>
      </c>
    </row>
    <row r="954" spans="2:10" x14ac:dyDescent="0.3">
      <c r="B954" s="648" t="s">
        <v>418</v>
      </c>
      <c r="C954" s="648">
        <v>2017</v>
      </c>
      <c r="D954" s="648" t="s">
        <v>51</v>
      </c>
      <c r="E954" s="648" t="s">
        <v>52</v>
      </c>
      <c r="F954" s="648" t="s">
        <v>306</v>
      </c>
      <c r="G954" s="648">
        <v>1</v>
      </c>
      <c r="H954" s="648">
        <v>19</v>
      </c>
      <c r="I954" s="648">
        <v>48500</v>
      </c>
      <c r="J954" s="648" t="s">
        <v>255</v>
      </c>
    </row>
    <row r="955" spans="2:10" x14ac:dyDescent="0.3">
      <c r="B955" s="648" t="s">
        <v>418</v>
      </c>
      <c r="C955" s="648">
        <v>2017</v>
      </c>
      <c r="D955" s="648" t="s">
        <v>51</v>
      </c>
      <c r="E955" s="648" t="s">
        <v>52</v>
      </c>
      <c r="F955" s="648" t="s">
        <v>306</v>
      </c>
      <c r="G955" s="648">
        <v>1</v>
      </c>
      <c r="H955" s="648">
        <v>20</v>
      </c>
      <c r="I955" s="648">
        <v>48500</v>
      </c>
      <c r="J955" s="648" t="s">
        <v>255</v>
      </c>
    </row>
    <row r="956" spans="2:10" x14ac:dyDescent="0.3">
      <c r="B956" s="648" t="s">
        <v>421</v>
      </c>
      <c r="C956" s="648">
        <v>2017</v>
      </c>
      <c r="D956" s="648" t="s">
        <v>53</v>
      </c>
      <c r="E956" s="648" t="s">
        <v>259</v>
      </c>
      <c r="F956" s="648" t="s">
        <v>259</v>
      </c>
      <c r="G956" s="648">
        <v>9</v>
      </c>
      <c r="H956" s="648">
        <v>1</v>
      </c>
      <c r="I956" s="648">
        <v>20000</v>
      </c>
      <c r="J956" s="648" t="s">
        <v>255</v>
      </c>
    </row>
    <row r="957" spans="2:10" x14ac:dyDescent="0.3">
      <c r="B957" s="648" t="s">
        <v>421</v>
      </c>
      <c r="C957" s="648">
        <v>2017</v>
      </c>
      <c r="D957" s="648" t="s">
        <v>53</v>
      </c>
      <c r="E957" s="648" t="s">
        <v>259</v>
      </c>
      <c r="F957" s="648" t="s">
        <v>259</v>
      </c>
      <c r="G957" s="648">
        <v>9</v>
      </c>
      <c r="H957" s="648">
        <v>2</v>
      </c>
      <c r="I957" s="648">
        <v>20000</v>
      </c>
      <c r="J957" s="648" t="s">
        <v>255</v>
      </c>
    </row>
    <row r="958" spans="2:10" x14ac:dyDescent="0.3">
      <c r="B958" s="648" t="s">
        <v>421</v>
      </c>
      <c r="C958" s="648">
        <v>2017</v>
      </c>
      <c r="D958" s="648" t="s">
        <v>53</v>
      </c>
      <c r="E958" s="648" t="s">
        <v>259</v>
      </c>
      <c r="F958" s="648" t="s">
        <v>259</v>
      </c>
      <c r="G958" s="648">
        <v>9</v>
      </c>
      <c r="H958" s="648">
        <v>3</v>
      </c>
      <c r="I958" s="648">
        <v>47000</v>
      </c>
      <c r="J958" s="648" t="s">
        <v>255</v>
      </c>
    </row>
    <row r="959" spans="2:10" x14ac:dyDescent="0.3">
      <c r="B959" s="648" t="s">
        <v>421</v>
      </c>
      <c r="C959" s="648">
        <v>2017</v>
      </c>
      <c r="D959" s="648" t="s">
        <v>53</v>
      </c>
      <c r="E959" s="648" t="s">
        <v>259</v>
      </c>
      <c r="F959" s="648" t="s">
        <v>259</v>
      </c>
      <c r="G959" s="648">
        <v>9</v>
      </c>
      <c r="H959" s="648">
        <v>4</v>
      </c>
      <c r="I959" s="648">
        <v>47000</v>
      </c>
      <c r="J959" s="648" t="s">
        <v>255</v>
      </c>
    </row>
    <row r="960" spans="2:10" x14ac:dyDescent="0.3">
      <c r="B960" s="648" t="s">
        <v>421</v>
      </c>
      <c r="C960" s="648">
        <v>2017</v>
      </c>
      <c r="D960" s="648" t="s">
        <v>53</v>
      </c>
      <c r="E960" s="648" t="s">
        <v>259</v>
      </c>
      <c r="F960" s="648" t="s">
        <v>259</v>
      </c>
      <c r="G960" s="648">
        <v>9</v>
      </c>
      <c r="H960" s="648">
        <v>5</v>
      </c>
      <c r="I960" s="648">
        <v>47000</v>
      </c>
      <c r="J960" s="648" t="s">
        <v>255</v>
      </c>
    </row>
    <row r="961" spans="2:10" x14ac:dyDescent="0.3">
      <c r="B961" s="648" t="s">
        <v>421</v>
      </c>
      <c r="C961" s="648">
        <v>2017</v>
      </c>
      <c r="D961" s="648" t="s">
        <v>53</v>
      </c>
      <c r="E961" s="648" t="s">
        <v>259</v>
      </c>
      <c r="F961" s="648" t="s">
        <v>259</v>
      </c>
      <c r="G961" s="648">
        <v>9</v>
      </c>
      <c r="H961" s="648">
        <v>6</v>
      </c>
      <c r="I961" s="648">
        <v>52500</v>
      </c>
      <c r="J961" s="648" t="s">
        <v>255</v>
      </c>
    </row>
    <row r="962" spans="2:10" x14ac:dyDescent="0.3">
      <c r="B962" s="648" t="s">
        <v>421</v>
      </c>
      <c r="C962" s="648">
        <v>2017</v>
      </c>
      <c r="D962" s="648" t="s">
        <v>53</v>
      </c>
      <c r="E962" s="648" t="s">
        <v>259</v>
      </c>
      <c r="F962" s="648" t="s">
        <v>259</v>
      </c>
      <c r="G962" s="648">
        <v>9</v>
      </c>
      <c r="H962" s="648">
        <v>7</v>
      </c>
      <c r="I962" s="648">
        <v>52500</v>
      </c>
      <c r="J962" s="648" t="s">
        <v>255</v>
      </c>
    </row>
    <row r="963" spans="2:10" x14ac:dyDescent="0.3">
      <c r="B963" s="648" t="s">
        <v>421</v>
      </c>
      <c r="C963" s="648">
        <v>2017</v>
      </c>
      <c r="D963" s="648" t="s">
        <v>53</v>
      </c>
      <c r="E963" s="648" t="s">
        <v>259</v>
      </c>
      <c r="F963" s="648" t="s">
        <v>259</v>
      </c>
      <c r="G963" s="648">
        <v>9</v>
      </c>
      <c r="H963" s="648">
        <v>8</v>
      </c>
      <c r="I963" s="648">
        <v>52500</v>
      </c>
      <c r="J963" s="648" t="s">
        <v>255</v>
      </c>
    </row>
    <row r="964" spans="2:10" x14ac:dyDescent="0.3">
      <c r="B964" s="648" t="s">
        <v>421</v>
      </c>
      <c r="C964" s="648">
        <v>2017</v>
      </c>
      <c r="D964" s="648" t="s">
        <v>53</v>
      </c>
      <c r="E964" s="648" t="s">
        <v>259</v>
      </c>
      <c r="F964" s="648" t="s">
        <v>259</v>
      </c>
      <c r="G964" s="648">
        <v>9</v>
      </c>
      <c r="H964" s="648">
        <v>9</v>
      </c>
      <c r="I964" s="648">
        <v>52500</v>
      </c>
      <c r="J964" s="648" t="s">
        <v>255</v>
      </c>
    </row>
    <row r="965" spans="2:10" x14ac:dyDescent="0.3">
      <c r="B965" s="648" t="s">
        <v>421</v>
      </c>
      <c r="C965" s="648">
        <v>2017</v>
      </c>
      <c r="D965" s="648" t="s">
        <v>53</v>
      </c>
      <c r="E965" s="648" t="s">
        <v>259</v>
      </c>
      <c r="F965" s="648" t="s">
        <v>259</v>
      </c>
      <c r="G965" s="648">
        <v>9</v>
      </c>
      <c r="H965" s="648">
        <v>10</v>
      </c>
      <c r="I965" s="648">
        <v>52500</v>
      </c>
      <c r="J965" s="648" t="s">
        <v>255</v>
      </c>
    </row>
    <row r="966" spans="2:10" x14ac:dyDescent="0.3">
      <c r="B966" s="648" t="s">
        <v>421</v>
      </c>
      <c r="C966" s="648">
        <v>2017</v>
      </c>
      <c r="D966" s="648" t="s">
        <v>53</v>
      </c>
      <c r="E966" s="648" t="s">
        <v>259</v>
      </c>
      <c r="F966" s="648" t="s">
        <v>259</v>
      </c>
      <c r="G966" s="648">
        <v>9</v>
      </c>
      <c r="H966" s="648">
        <v>11</v>
      </c>
      <c r="I966" s="648">
        <v>57500</v>
      </c>
      <c r="J966" s="648" t="s">
        <v>255</v>
      </c>
    </row>
    <row r="967" spans="2:10" x14ac:dyDescent="0.3">
      <c r="B967" s="648" t="s">
        <v>421</v>
      </c>
      <c r="C967" s="648">
        <v>2017</v>
      </c>
      <c r="D967" s="648" t="s">
        <v>53</v>
      </c>
      <c r="E967" s="648" t="s">
        <v>259</v>
      </c>
      <c r="F967" s="648" t="s">
        <v>259</v>
      </c>
      <c r="G967" s="648">
        <v>9</v>
      </c>
      <c r="H967" s="648">
        <v>12</v>
      </c>
      <c r="I967" s="648">
        <v>57500</v>
      </c>
      <c r="J967" s="648" t="s">
        <v>255</v>
      </c>
    </row>
    <row r="968" spans="2:10" x14ac:dyDescent="0.3">
      <c r="B968" s="648" t="s">
        <v>421</v>
      </c>
      <c r="C968" s="648">
        <v>2017</v>
      </c>
      <c r="D968" s="648" t="s">
        <v>53</v>
      </c>
      <c r="E968" s="648" t="s">
        <v>259</v>
      </c>
      <c r="F968" s="648" t="s">
        <v>259</v>
      </c>
      <c r="G968" s="648">
        <v>9</v>
      </c>
      <c r="H968" s="648">
        <v>13</v>
      </c>
      <c r="I968" s="648">
        <v>57500</v>
      </c>
      <c r="J968" s="648" t="s">
        <v>255</v>
      </c>
    </row>
    <row r="969" spans="2:10" x14ac:dyDescent="0.3">
      <c r="B969" s="648" t="s">
        <v>421</v>
      </c>
      <c r="C969" s="648">
        <v>2017</v>
      </c>
      <c r="D969" s="648" t="s">
        <v>53</v>
      </c>
      <c r="E969" s="648" t="s">
        <v>259</v>
      </c>
      <c r="F969" s="648" t="s">
        <v>259</v>
      </c>
      <c r="G969" s="648">
        <v>9</v>
      </c>
      <c r="H969" s="648">
        <v>14</v>
      </c>
      <c r="I969" s="648">
        <v>57500</v>
      </c>
      <c r="J969" s="648" t="s">
        <v>255</v>
      </c>
    </row>
    <row r="970" spans="2:10" x14ac:dyDescent="0.3">
      <c r="B970" s="648" t="s">
        <v>421</v>
      </c>
      <c r="C970" s="648">
        <v>2017</v>
      </c>
      <c r="D970" s="648" t="s">
        <v>53</v>
      </c>
      <c r="E970" s="648" t="s">
        <v>259</v>
      </c>
      <c r="F970" s="648" t="s">
        <v>259</v>
      </c>
      <c r="G970" s="648">
        <v>9</v>
      </c>
      <c r="H970" s="648">
        <v>15</v>
      </c>
      <c r="I970" s="648">
        <v>57500</v>
      </c>
      <c r="J970" s="648" t="s">
        <v>255</v>
      </c>
    </row>
    <row r="971" spans="2:10" x14ac:dyDescent="0.3">
      <c r="B971" s="648" t="s">
        <v>421</v>
      </c>
      <c r="C971" s="648">
        <v>2017</v>
      </c>
      <c r="D971" s="648" t="s">
        <v>53</v>
      </c>
      <c r="E971" s="648" t="s">
        <v>259</v>
      </c>
      <c r="F971" s="648" t="s">
        <v>259</v>
      </c>
      <c r="G971" s="648">
        <v>9</v>
      </c>
      <c r="H971" s="648">
        <v>16</v>
      </c>
      <c r="I971" s="648">
        <v>63500</v>
      </c>
      <c r="J971" s="648" t="s">
        <v>255</v>
      </c>
    </row>
    <row r="972" spans="2:10" x14ac:dyDescent="0.3">
      <c r="B972" s="648" t="s">
        <v>421</v>
      </c>
      <c r="C972" s="648">
        <v>2017</v>
      </c>
      <c r="D972" s="648" t="s">
        <v>53</v>
      </c>
      <c r="E972" s="648" t="s">
        <v>259</v>
      </c>
      <c r="F972" s="648" t="s">
        <v>259</v>
      </c>
      <c r="G972" s="648">
        <v>9</v>
      </c>
      <c r="H972" s="648">
        <v>17</v>
      </c>
      <c r="I972" s="648">
        <v>63500</v>
      </c>
      <c r="J972" s="648" t="s">
        <v>255</v>
      </c>
    </row>
    <row r="973" spans="2:10" x14ac:dyDescent="0.3">
      <c r="B973" s="648" t="s">
        <v>421</v>
      </c>
      <c r="C973" s="648">
        <v>2017</v>
      </c>
      <c r="D973" s="648" t="s">
        <v>53</v>
      </c>
      <c r="E973" s="648" t="s">
        <v>259</v>
      </c>
      <c r="F973" s="648" t="s">
        <v>259</v>
      </c>
      <c r="G973" s="648">
        <v>9</v>
      </c>
      <c r="H973" s="648">
        <v>18</v>
      </c>
      <c r="I973" s="648">
        <v>63500</v>
      </c>
      <c r="J973" s="648" t="s">
        <v>255</v>
      </c>
    </row>
    <row r="974" spans="2:10" x14ac:dyDescent="0.3">
      <c r="B974" s="648" t="s">
        <v>421</v>
      </c>
      <c r="C974" s="648">
        <v>2017</v>
      </c>
      <c r="D974" s="648" t="s">
        <v>53</v>
      </c>
      <c r="E974" s="648" t="s">
        <v>259</v>
      </c>
      <c r="F974" s="648" t="s">
        <v>259</v>
      </c>
      <c r="G974" s="648">
        <v>9</v>
      </c>
      <c r="H974" s="648">
        <v>19</v>
      </c>
      <c r="I974" s="648">
        <v>63500</v>
      </c>
      <c r="J974" s="648" t="s">
        <v>255</v>
      </c>
    </row>
    <row r="975" spans="2:10" x14ac:dyDescent="0.3">
      <c r="B975" s="648" t="s">
        <v>421</v>
      </c>
      <c r="C975" s="648">
        <v>2017</v>
      </c>
      <c r="D975" s="648" t="s">
        <v>53</v>
      </c>
      <c r="E975" s="648" t="s">
        <v>259</v>
      </c>
      <c r="F975" s="648" t="s">
        <v>259</v>
      </c>
      <c r="G975" s="648">
        <v>9</v>
      </c>
      <c r="H975" s="648">
        <v>20</v>
      </c>
      <c r="I975" s="648">
        <v>63500</v>
      </c>
      <c r="J975" s="648" t="s">
        <v>255</v>
      </c>
    </row>
    <row r="976" spans="2:10" x14ac:dyDescent="0.3">
      <c r="B976" s="648" t="s">
        <v>421</v>
      </c>
      <c r="C976" s="648">
        <v>2017</v>
      </c>
      <c r="D976" s="648" t="s">
        <v>53</v>
      </c>
      <c r="E976" s="648" t="s">
        <v>259</v>
      </c>
      <c r="F976" s="648" t="s">
        <v>259</v>
      </c>
      <c r="G976" s="648">
        <v>9</v>
      </c>
      <c r="H976" s="648">
        <v>21</v>
      </c>
      <c r="I976" s="648">
        <v>76500</v>
      </c>
      <c r="J976" s="648" t="s">
        <v>255</v>
      </c>
    </row>
    <row r="977" spans="2:10" x14ac:dyDescent="0.3">
      <c r="B977" s="648" t="s">
        <v>421</v>
      </c>
      <c r="C977" s="648">
        <v>2017</v>
      </c>
      <c r="D977" s="648" t="s">
        <v>53</v>
      </c>
      <c r="E977" s="648" t="s">
        <v>259</v>
      </c>
      <c r="F977" s="648" t="s">
        <v>259</v>
      </c>
      <c r="G977" s="648">
        <v>9</v>
      </c>
      <c r="H977" s="648">
        <v>22</v>
      </c>
      <c r="I977" s="648">
        <v>76500</v>
      </c>
      <c r="J977" s="648" t="s">
        <v>255</v>
      </c>
    </row>
    <row r="978" spans="2:10" x14ac:dyDescent="0.3">
      <c r="B978" s="648" t="s">
        <v>421</v>
      </c>
      <c r="C978" s="648">
        <v>2017</v>
      </c>
      <c r="D978" s="648" t="s">
        <v>53</v>
      </c>
      <c r="E978" s="648" t="s">
        <v>259</v>
      </c>
      <c r="F978" s="648" t="s">
        <v>259</v>
      </c>
      <c r="G978" s="648">
        <v>9</v>
      </c>
      <c r="H978" s="648">
        <v>23</v>
      </c>
      <c r="I978" s="648">
        <v>76500</v>
      </c>
      <c r="J978" s="648" t="s">
        <v>255</v>
      </c>
    </row>
    <row r="979" spans="2:10" x14ac:dyDescent="0.3">
      <c r="B979" s="648" t="s">
        <v>421</v>
      </c>
      <c r="C979" s="648">
        <v>2017</v>
      </c>
      <c r="D979" s="648" t="s">
        <v>53</v>
      </c>
      <c r="E979" s="648" t="s">
        <v>259</v>
      </c>
      <c r="F979" s="648" t="s">
        <v>259</v>
      </c>
      <c r="G979" s="648">
        <v>9</v>
      </c>
      <c r="H979" s="648">
        <v>24</v>
      </c>
      <c r="I979" s="648">
        <v>76500</v>
      </c>
      <c r="J979" s="648" t="s">
        <v>255</v>
      </c>
    </row>
    <row r="980" spans="2:10" x14ac:dyDescent="0.3">
      <c r="B980" s="648" t="s">
        <v>421</v>
      </c>
      <c r="C980" s="648">
        <v>2017</v>
      </c>
      <c r="D980" s="648" t="s">
        <v>53</v>
      </c>
      <c r="E980" s="648" t="s">
        <v>259</v>
      </c>
      <c r="F980" s="648" t="s">
        <v>259</v>
      </c>
      <c r="G980" s="648">
        <v>9</v>
      </c>
      <c r="H980" s="648">
        <v>25</v>
      </c>
      <c r="I980" s="648">
        <v>76500</v>
      </c>
      <c r="J980" s="648" t="s">
        <v>255</v>
      </c>
    </row>
    <row r="981" spans="2:10" x14ac:dyDescent="0.3">
      <c r="B981" s="648" t="s">
        <v>448</v>
      </c>
      <c r="C981" s="648">
        <v>2017</v>
      </c>
      <c r="D981" s="648" t="s">
        <v>51</v>
      </c>
      <c r="E981" s="648" t="s">
        <v>58</v>
      </c>
      <c r="F981" s="648" t="s">
        <v>306</v>
      </c>
      <c r="G981" s="648">
        <v>1</v>
      </c>
      <c r="H981" s="648">
        <v>1</v>
      </c>
      <c r="I981" s="648">
        <v>18000</v>
      </c>
      <c r="J981" s="648" t="s">
        <v>255</v>
      </c>
    </row>
    <row r="982" spans="2:10" x14ac:dyDescent="0.3">
      <c r="B982" s="648" t="s">
        <v>448</v>
      </c>
      <c r="C982" s="648">
        <v>2017</v>
      </c>
      <c r="D982" s="648" t="s">
        <v>51</v>
      </c>
      <c r="E982" s="648" t="s">
        <v>58</v>
      </c>
      <c r="F982" s="648" t="s">
        <v>306</v>
      </c>
      <c r="G982" s="648">
        <v>1</v>
      </c>
      <c r="H982" s="648">
        <v>2</v>
      </c>
      <c r="I982" s="648">
        <v>18000</v>
      </c>
      <c r="J982" s="648" t="s">
        <v>255</v>
      </c>
    </row>
    <row r="983" spans="2:10" x14ac:dyDescent="0.3">
      <c r="B983" s="648" t="s">
        <v>448</v>
      </c>
      <c r="C983" s="648">
        <v>2017</v>
      </c>
      <c r="D983" s="648" t="s">
        <v>51</v>
      </c>
      <c r="E983" s="648" t="s">
        <v>58</v>
      </c>
      <c r="F983" s="648" t="s">
        <v>306</v>
      </c>
      <c r="G983" s="648">
        <v>1</v>
      </c>
      <c r="H983" s="648">
        <v>3</v>
      </c>
      <c r="I983" s="648">
        <v>37000</v>
      </c>
      <c r="J983" s="648" t="s">
        <v>255</v>
      </c>
    </row>
    <row r="984" spans="2:10" x14ac:dyDescent="0.3">
      <c r="B984" s="648" t="s">
        <v>448</v>
      </c>
      <c r="C984" s="648">
        <v>2017</v>
      </c>
      <c r="D984" s="648" t="s">
        <v>51</v>
      </c>
      <c r="E984" s="648" t="s">
        <v>58</v>
      </c>
      <c r="F984" s="648" t="s">
        <v>306</v>
      </c>
      <c r="G984" s="648">
        <v>1</v>
      </c>
      <c r="H984" s="648">
        <v>4</v>
      </c>
      <c r="I984" s="648">
        <v>37000</v>
      </c>
      <c r="J984" s="648" t="s">
        <v>255</v>
      </c>
    </row>
    <row r="985" spans="2:10" x14ac:dyDescent="0.3">
      <c r="B985" s="648" t="s">
        <v>448</v>
      </c>
      <c r="C985" s="648">
        <v>2017</v>
      </c>
      <c r="D985" s="648" t="s">
        <v>51</v>
      </c>
      <c r="E985" s="648" t="s">
        <v>58</v>
      </c>
      <c r="F985" s="648" t="s">
        <v>306</v>
      </c>
      <c r="G985" s="648">
        <v>1</v>
      </c>
      <c r="H985" s="648">
        <v>5</v>
      </c>
      <c r="I985" s="648">
        <v>42000</v>
      </c>
      <c r="J985" s="648" t="s">
        <v>255</v>
      </c>
    </row>
    <row r="986" spans="2:10" x14ac:dyDescent="0.3">
      <c r="B986" s="648" t="s">
        <v>448</v>
      </c>
      <c r="C986" s="648">
        <v>2017</v>
      </c>
      <c r="D986" s="648" t="s">
        <v>51</v>
      </c>
      <c r="E986" s="648" t="s">
        <v>58</v>
      </c>
      <c r="F986" s="648" t="s">
        <v>306</v>
      </c>
      <c r="G986" s="648">
        <v>1</v>
      </c>
      <c r="H986" s="648">
        <v>6</v>
      </c>
      <c r="I986" s="648">
        <v>42000</v>
      </c>
      <c r="J986" s="648" t="s">
        <v>255</v>
      </c>
    </row>
    <row r="987" spans="2:10" x14ac:dyDescent="0.3">
      <c r="B987" s="648" t="s">
        <v>448</v>
      </c>
      <c r="C987" s="648">
        <v>2017</v>
      </c>
      <c r="D987" s="648" t="s">
        <v>51</v>
      </c>
      <c r="E987" s="648" t="s">
        <v>58</v>
      </c>
      <c r="F987" s="648" t="s">
        <v>306</v>
      </c>
      <c r="G987" s="648">
        <v>1</v>
      </c>
      <c r="H987" s="648">
        <v>7</v>
      </c>
      <c r="I987" s="648">
        <v>42000</v>
      </c>
      <c r="J987" s="648" t="s">
        <v>255</v>
      </c>
    </row>
    <row r="988" spans="2:10" x14ac:dyDescent="0.3">
      <c r="B988" s="648" t="s">
        <v>448</v>
      </c>
      <c r="C988" s="648">
        <v>2017</v>
      </c>
      <c r="D988" s="648" t="s">
        <v>51</v>
      </c>
      <c r="E988" s="648" t="s">
        <v>58</v>
      </c>
      <c r="F988" s="648" t="s">
        <v>306</v>
      </c>
      <c r="G988" s="648">
        <v>1</v>
      </c>
      <c r="H988" s="648">
        <v>8</v>
      </c>
      <c r="I988" s="648">
        <v>42000</v>
      </c>
      <c r="J988" s="648" t="s">
        <v>255</v>
      </c>
    </row>
    <row r="989" spans="2:10" x14ac:dyDescent="0.3">
      <c r="B989" s="648" t="s">
        <v>448</v>
      </c>
      <c r="C989" s="648">
        <v>2017</v>
      </c>
      <c r="D989" s="648" t="s">
        <v>51</v>
      </c>
      <c r="E989" s="648" t="s">
        <v>58</v>
      </c>
      <c r="F989" s="648" t="s">
        <v>306</v>
      </c>
      <c r="G989" s="648">
        <v>1</v>
      </c>
      <c r="H989" s="648">
        <v>9</v>
      </c>
      <c r="I989" s="648">
        <v>46500</v>
      </c>
      <c r="J989" s="648" t="s">
        <v>255</v>
      </c>
    </row>
    <row r="990" spans="2:10" x14ac:dyDescent="0.3">
      <c r="B990" s="648" t="s">
        <v>448</v>
      </c>
      <c r="C990" s="648">
        <v>2017</v>
      </c>
      <c r="D990" s="648" t="s">
        <v>51</v>
      </c>
      <c r="E990" s="648" t="s">
        <v>58</v>
      </c>
      <c r="F990" s="648" t="s">
        <v>306</v>
      </c>
      <c r="G990" s="648">
        <v>1</v>
      </c>
      <c r="H990" s="648">
        <v>10</v>
      </c>
      <c r="I990" s="648">
        <v>46500</v>
      </c>
      <c r="J990" s="648" t="s">
        <v>255</v>
      </c>
    </row>
    <row r="991" spans="2:10" x14ac:dyDescent="0.3">
      <c r="B991" s="648" t="s">
        <v>448</v>
      </c>
      <c r="C991" s="648">
        <v>2017</v>
      </c>
      <c r="D991" s="648" t="s">
        <v>51</v>
      </c>
      <c r="E991" s="648" t="s">
        <v>58</v>
      </c>
      <c r="F991" s="648" t="s">
        <v>306</v>
      </c>
      <c r="G991" s="648">
        <v>1</v>
      </c>
      <c r="H991" s="648">
        <v>11</v>
      </c>
      <c r="I991" s="648">
        <v>49000</v>
      </c>
      <c r="J991" s="648" t="s">
        <v>255</v>
      </c>
    </row>
    <row r="992" spans="2:10" x14ac:dyDescent="0.3">
      <c r="B992" s="648" t="s">
        <v>448</v>
      </c>
      <c r="C992" s="648">
        <v>2017</v>
      </c>
      <c r="D992" s="648" t="s">
        <v>51</v>
      </c>
      <c r="E992" s="648" t="s">
        <v>58</v>
      </c>
      <c r="F992" s="648" t="s">
        <v>306</v>
      </c>
      <c r="G992" s="648">
        <v>1</v>
      </c>
      <c r="H992" s="648">
        <v>12</v>
      </c>
      <c r="I992" s="648">
        <v>49000</v>
      </c>
      <c r="J992" s="648" t="s">
        <v>255</v>
      </c>
    </row>
    <row r="993" spans="2:10" x14ac:dyDescent="0.3">
      <c r="B993" s="648" t="s">
        <v>448</v>
      </c>
      <c r="C993" s="648">
        <v>2017</v>
      </c>
      <c r="D993" s="648" t="s">
        <v>51</v>
      </c>
      <c r="E993" s="648" t="s">
        <v>58</v>
      </c>
      <c r="F993" s="648" t="s">
        <v>306</v>
      </c>
      <c r="G993" s="648">
        <v>1</v>
      </c>
      <c r="H993" s="648">
        <v>13</v>
      </c>
      <c r="I993" s="648">
        <v>49000</v>
      </c>
      <c r="J993" s="648" t="s">
        <v>255</v>
      </c>
    </row>
    <row r="994" spans="2:10" x14ac:dyDescent="0.3">
      <c r="B994" s="648" t="s">
        <v>448</v>
      </c>
      <c r="C994" s="648">
        <v>2017</v>
      </c>
      <c r="D994" s="648" t="s">
        <v>51</v>
      </c>
      <c r="E994" s="648" t="s">
        <v>58</v>
      </c>
      <c r="F994" s="648" t="s">
        <v>306</v>
      </c>
      <c r="G994" s="648">
        <v>1</v>
      </c>
      <c r="H994" s="648">
        <v>14</v>
      </c>
      <c r="I994" s="648">
        <v>49000</v>
      </c>
      <c r="J994" s="648" t="s">
        <v>255</v>
      </c>
    </row>
    <row r="995" spans="2:10" x14ac:dyDescent="0.3">
      <c r="B995" s="648" t="s">
        <v>448</v>
      </c>
      <c r="C995" s="648">
        <v>2017</v>
      </c>
      <c r="D995" s="648" t="s">
        <v>51</v>
      </c>
      <c r="E995" s="648" t="s">
        <v>58</v>
      </c>
      <c r="F995" s="648" t="s">
        <v>306</v>
      </c>
      <c r="G995" s="648">
        <v>1</v>
      </c>
      <c r="H995" s="648">
        <v>15</v>
      </c>
      <c r="I995" s="648">
        <v>49000</v>
      </c>
      <c r="J995" s="648" t="s">
        <v>255</v>
      </c>
    </row>
    <row r="996" spans="2:10" x14ac:dyDescent="0.3">
      <c r="B996" s="648" t="s">
        <v>448</v>
      </c>
      <c r="C996" s="648">
        <v>2017</v>
      </c>
      <c r="D996" s="648" t="s">
        <v>51</v>
      </c>
      <c r="E996" s="648" t="s">
        <v>58</v>
      </c>
      <c r="F996" s="648" t="s">
        <v>306</v>
      </c>
      <c r="G996" s="648">
        <v>1</v>
      </c>
      <c r="H996" s="648">
        <v>16</v>
      </c>
      <c r="I996" s="648">
        <v>54500</v>
      </c>
      <c r="J996" s="648" t="s">
        <v>255</v>
      </c>
    </row>
    <row r="997" spans="2:10" x14ac:dyDescent="0.3">
      <c r="B997" s="648" t="s">
        <v>448</v>
      </c>
      <c r="C997" s="648">
        <v>2017</v>
      </c>
      <c r="D997" s="648" t="s">
        <v>51</v>
      </c>
      <c r="E997" s="648" t="s">
        <v>58</v>
      </c>
      <c r="F997" s="648" t="s">
        <v>306</v>
      </c>
      <c r="G997" s="648">
        <v>1</v>
      </c>
      <c r="H997" s="648">
        <v>17</v>
      </c>
      <c r="I997" s="648">
        <v>54500</v>
      </c>
      <c r="J997" s="648" t="s">
        <v>255</v>
      </c>
    </row>
    <row r="998" spans="2:10" x14ac:dyDescent="0.3">
      <c r="B998" s="648" t="s">
        <v>448</v>
      </c>
      <c r="C998" s="648">
        <v>2017</v>
      </c>
      <c r="D998" s="648" t="s">
        <v>51</v>
      </c>
      <c r="E998" s="648" t="s">
        <v>58</v>
      </c>
      <c r="F998" s="648" t="s">
        <v>306</v>
      </c>
      <c r="G998" s="648">
        <v>1</v>
      </c>
      <c r="H998" s="648">
        <v>18</v>
      </c>
      <c r="I998" s="648">
        <v>54500</v>
      </c>
      <c r="J998" s="648" t="s">
        <v>255</v>
      </c>
    </row>
    <row r="999" spans="2:10" x14ac:dyDescent="0.3">
      <c r="B999" s="648" t="s">
        <v>448</v>
      </c>
      <c r="C999" s="648">
        <v>2017</v>
      </c>
      <c r="D999" s="648" t="s">
        <v>51</v>
      </c>
      <c r="E999" s="648" t="s">
        <v>58</v>
      </c>
      <c r="F999" s="648" t="s">
        <v>306</v>
      </c>
      <c r="G999" s="648">
        <v>1</v>
      </c>
      <c r="H999" s="648">
        <v>19</v>
      </c>
      <c r="I999" s="648">
        <v>54500</v>
      </c>
      <c r="J999" s="648" t="s">
        <v>255</v>
      </c>
    </row>
    <row r="1000" spans="2:10" x14ac:dyDescent="0.3">
      <c r="B1000" s="648" t="s">
        <v>448</v>
      </c>
      <c r="C1000" s="648">
        <v>2017</v>
      </c>
      <c r="D1000" s="648" t="s">
        <v>51</v>
      </c>
      <c r="E1000" s="648" t="s">
        <v>58</v>
      </c>
      <c r="F1000" s="648" t="s">
        <v>306</v>
      </c>
      <c r="G1000" s="648">
        <v>1</v>
      </c>
      <c r="H1000" s="648">
        <v>20</v>
      </c>
      <c r="I1000" s="648">
        <v>54500</v>
      </c>
      <c r="J1000" s="648" t="s">
        <v>255</v>
      </c>
    </row>
    <row r="1001" spans="2:10" x14ac:dyDescent="0.3">
      <c r="B1001" s="648" t="s">
        <v>449</v>
      </c>
      <c r="C1001" s="648">
        <v>2017</v>
      </c>
      <c r="D1001" s="648" t="s">
        <v>53</v>
      </c>
      <c r="E1001" s="648" t="s">
        <v>259</v>
      </c>
      <c r="F1001" s="648" t="s">
        <v>259</v>
      </c>
      <c r="G1001" s="648">
        <v>3</v>
      </c>
      <c r="H1001" s="648">
        <v>4</v>
      </c>
      <c r="I1001" s="648">
        <v>43000</v>
      </c>
      <c r="J1001" s="648" t="s">
        <v>255</v>
      </c>
    </row>
    <row r="1002" spans="2:10" x14ac:dyDescent="0.3">
      <c r="B1002" s="648" t="s">
        <v>449</v>
      </c>
      <c r="C1002" s="648">
        <v>2017</v>
      </c>
      <c r="D1002" s="648" t="s">
        <v>53</v>
      </c>
      <c r="E1002" s="648" t="s">
        <v>259</v>
      </c>
      <c r="F1002" s="648" t="s">
        <v>259</v>
      </c>
      <c r="G1002" s="648">
        <v>3</v>
      </c>
      <c r="H1002" s="648">
        <v>5</v>
      </c>
      <c r="I1002" s="648">
        <v>43000</v>
      </c>
      <c r="J1002" s="648" t="s">
        <v>255</v>
      </c>
    </row>
    <row r="1003" spans="2:10" x14ac:dyDescent="0.3">
      <c r="B1003" s="648" t="s">
        <v>449</v>
      </c>
      <c r="C1003" s="648">
        <v>2017</v>
      </c>
      <c r="D1003" s="648" t="s">
        <v>53</v>
      </c>
      <c r="E1003" s="648" t="s">
        <v>259</v>
      </c>
      <c r="F1003" s="648" t="s">
        <v>259</v>
      </c>
      <c r="G1003" s="648">
        <v>3</v>
      </c>
      <c r="H1003" s="648">
        <v>6</v>
      </c>
      <c r="I1003" s="648">
        <v>49000</v>
      </c>
      <c r="J1003" s="648" t="s">
        <v>255</v>
      </c>
    </row>
    <row r="1004" spans="2:10" x14ac:dyDescent="0.3">
      <c r="B1004" s="648" t="s">
        <v>449</v>
      </c>
      <c r="C1004" s="648">
        <v>2017</v>
      </c>
      <c r="D1004" s="648" t="s">
        <v>53</v>
      </c>
      <c r="E1004" s="648" t="s">
        <v>259</v>
      </c>
      <c r="F1004" s="648" t="s">
        <v>259</v>
      </c>
      <c r="G1004" s="648">
        <v>3</v>
      </c>
      <c r="H1004" s="648">
        <v>7</v>
      </c>
      <c r="I1004" s="648">
        <v>49000</v>
      </c>
      <c r="J1004" s="648" t="s">
        <v>255</v>
      </c>
    </row>
    <row r="1005" spans="2:10" x14ac:dyDescent="0.3">
      <c r="B1005" s="648" t="s">
        <v>449</v>
      </c>
      <c r="C1005" s="648">
        <v>2017</v>
      </c>
      <c r="D1005" s="648" t="s">
        <v>53</v>
      </c>
      <c r="E1005" s="648" t="s">
        <v>259</v>
      </c>
      <c r="F1005" s="648" t="s">
        <v>259</v>
      </c>
      <c r="G1005" s="648">
        <v>3</v>
      </c>
      <c r="H1005" s="648">
        <v>8</v>
      </c>
      <c r="I1005" s="648">
        <v>49000</v>
      </c>
      <c r="J1005" s="648" t="s">
        <v>255</v>
      </c>
    </row>
    <row r="1006" spans="2:10" x14ac:dyDescent="0.3">
      <c r="B1006" s="648" t="s">
        <v>449</v>
      </c>
      <c r="C1006" s="648">
        <v>2017</v>
      </c>
      <c r="D1006" s="648" t="s">
        <v>53</v>
      </c>
      <c r="E1006" s="648" t="s">
        <v>259</v>
      </c>
      <c r="F1006" s="648" t="s">
        <v>259</v>
      </c>
      <c r="G1006" s="648">
        <v>3</v>
      </c>
      <c r="H1006" s="648">
        <v>9</v>
      </c>
      <c r="I1006" s="648">
        <v>49000</v>
      </c>
      <c r="J1006" s="648" t="s">
        <v>255</v>
      </c>
    </row>
    <row r="1007" spans="2:10" x14ac:dyDescent="0.3">
      <c r="B1007" s="648" t="s">
        <v>449</v>
      </c>
      <c r="C1007" s="648">
        <v>2017</v>
      </c>
      <c r="D1007" s="648" t="s">
        <v>53</v>
      </c>
      <c r="E1007" s="648" t="s">
        <v>259</v>
      </c>
      <c r="F1007" s="648" t="s">
        <v>259</v>
      </c>
      <c r="G1007" s="648">
        <v>3</v>
      </c>
      <c r="H1007" s="648">
        <v>10</v>
      </c>
      <c r="I1007" s="648">
        <v>49000</v>
      </c>
      <c r="J1007" s="648" t="s">
        <v>255</v>
      </c>
    </row>
    <row r="1008" spans="2:10" x14ac:dyDescent="0.3">
      <c r="B1008" s="648" t="s">
        <v>449</v>
      </c>
      <c r="C1008" s="648">
        <v>2017</v>
      </c>
      <c r="D1008" s="648" t="s">
        <v>53</v>
      </c>
      <c r="E1008" s="648" t="s">
        <v>259</v>
      </c>
      <c r="F1008" s="648" t="s">
        <v>259</v>
      </c>
      <c r="G1008" s="648">
        <v>3</v>
      </c>
      <c r="H1008" s="648">
        <v>11</v>
      </c>
      <c r="I1008" s="648">
        <v>54000</v>
      </c>
      <c r="J1008" s="648" t="s">
        <v>255</v>
      </c>
    </row>
    <row r="1009" spans="2:10" x14ac:dyDescent="0.3">
      <c r="B1009" s="648" t="s">
        <v>449</v>
      </c>
      <c r="C1009" s="648">
        <v>2017</v>
      </c>
      <c r="D1009" s="648" t="s">
        <v>53</v>
      </c>
      <c r="E1009" s="648" t="s">
        <v>259</v>
      </c>
      <c r="F1009" s="648" t="s">
        <v>259</v>
      </c>
      <c r="G1009" s="648">
        <v>3</v>
      </c>
      <c r="H1009" s="648">
        <v>12</v>
      </c>
      <c r="I1009" s="648">
        <v>54000</v>
      </c>
      <c r="J1009" s="648" t="s">
        <v>255</v>
      </c>
    </row>
    <row r="1010" spans="2:10" x14ac:dyDescent="0.3">
      <c r="B1010" s="648" t="s">
        <v>449</v>
      </c>
      <c r="C1010" s="648">
        <v>2017</v>
      </c>
      <c r="D1010" s="648" t="s">
        <v>53</v>
      </c>
      <c r="E1010" s="648" t="s">
        <v>259</v>
      </c>
      <c r="F1010" s="648" t="s">
        <v>259</v>
      </c>
      <c r="G1010" s="648">
        <v>3</v>
      </c>
      <c r="H1010" s="648">
        <v>13</v>
      </c>
      <c r="I1010" s="648">
        <v>54000</v>
      </c>
      <c r="J1010" s="648" t="s">
        <v>255</v>
      </c>
    </row>
    <row r="1011" spans="2:10" x14ac:dyDescent="0.3">
      <c r="B1011" s="648" t="s">
        <v>449</v>
      </c>
      <c r="C1011" s="648">
        <v>2017</v>
      </c>
      <c r="D1011" s="648" t="s">
        <v>53</v>
      </c>
      <c r="E1011" s="648" t="s">
        <v>259</v>
      </c>
      <c r="F1011" s="648" t="s">
        <v>259</v>
      </c>
      <c r="G1011" s="648">
        <v>3</v>
      </c>
      <c r="H1011" s="648">
        <v>14</v>
      </c>
      <c r="I1011" s="648">
        <v>54000</v>
      </c>
      <c r="J1011" s="648" t="s">
        <v>255</v>
      </c>
    </row>
    <row r="1012" spans="2:10" x14ac:dyDescent="0.3">
      <c r="B1012" s="648" t="s">
        <v>449</v>
      </c>
      <c r="C1012" s="648">
        <v>2017</v>
      </c>
      <c r="D1012" s="648" t="s">
        <v>53</v>
      </c>
      <c r="E1012" s="648" t="s">
        <v>259</v>
      </c>
      <c r="F1012" s="648" t="s">
        <v>259</v>
      </c>
      <c r="G1012" s="648">
        <v>3</v>
      </c>
      <c r="H1012" s="648">
        <v>15</v>
      </c>
      <c r="I1012" s="648">
        <v>54000</v>
      </c>
      <c r="J1012" s="648" t="s">
        <v>255</v>
      </c>
    </row>
    <row r="1013" spans="2:10" x14ac:dyDescent="0.3">
      <c r="B1013" s="648" t="s">
        <v>449</v>
      </c>
      <c r="C1013" s="648">
        <v>2017</v>
      </c>
      <c r="D1013" s="648" t="s">
        <v>53</v>
      </c>
      <c r="E1013" s="648" t="s">
        <v>259</v>
      </c>
      <c r="F1013" s="648" t="s">
        <v>259</v>
      </c>
      <c r="G1013" s="648">
        <v>3</v>
      </c>
      <c r="H1013" s="648">
        <v>16</v>
      </c>
      <c r="I1013" s="648">
        <v>60000</v>
      </c>
      <c r="J1013" s="648" t="s">
        <v>255</v>
      </c>
    </row>
    <row r="1014" spans="2:10" x14ac:dyDescent="0.3">
      <c r="B1014" s="648" t="s">
        <v>449</v>
      </c>
      <c r="C1014" s="648">
        <v>2017</v>
      </c>
      <c r="D1014" s="648" t="s">
        <v>53</v>
      </c>
      <c r="E1014" s="648" t="s">
        <v>259</v>
      </c>
      <c r="F1014" s="648" t="s">
        <v>259</v>
      </c>
      <c r="G1014" s="648">
        <v>3</v>
      </c>
      <c r="H1014" s="648">
        <v>17</v>
      </c>
      <c r="I1014" s="648">
        <v>60000</v>
      </c>
      <c r="J1014" s="648" t="s">
        <v>255</v>
      </c>
    </row>
    <row r="1015" spans="2:10" x14ac:dyDescent="0.3">
      <c r="B1015" s="648" t="s">
        <v>449</v>
      </c>
      <c r="C1015" s="648">
        <v>2017</v>
      </c>
      <c r="D1015" s="648" t="s">
        <v>53</v>
      </c>
      <c r="E1015" s="648" t="s">
        <v>259</v>
      </c>
      <c r="F1015" s="648" t="s">
        <v>259</v>
      </c>
      <c r="G1015" s="648">
        <v>3</v>
      </c>
      <c r="H1015" s="648">
        <v>18</v>
      </c>
      <c r="I1015" s="648">
        <v>60000</v>
      </c>
      <c r="J1015" s="648" t="s">
        <v>255</v>
      </c>
    </row>
    <row r="1016" spans="2:10" x14ac:dyDescent="0.3">
      <c r="B1016" s="648" t="s">
        <v>449</v>
      </c>
      <c r="C1016" s="648">
        <v>2017</v>
      </c>
      <c r="D1016" s="648" t="s">
        <v>53</v>
      </c>
      <c r="E1016" s="648" t="s">
        <v>259</v>
      </c>
      <c r="F1016" s="648" t="s">
        <v>259</v>
      </c>
      <c r="G1016" s="648">
        <v>3</v>
      </c>
      <c r="H1016" s="648">
        <v>19</v>
      </c>
      <c r="I1016" s="648">
        <v>60000</v>
      </c>
      <c r="J1016" s="648" t="s">
        <v>255</v>
      </c>
    </row>
    <row r="1017" spans="2:10" x14ac:dyDescent="0.3">
      <c r="B1017" s="648" t="s">
        <v>449</v>
      </c>
      <c r="C1017" s="648">
        <v>2017</v>
      </c>
      <c r="D1017" s="648" t="s">
        <v>53</v>
      </c>
      <c r="E1017" s="648" t="s">
        <v>259</v>
      </c>
      <c r="F1017" s="648" t="s">
        <v>259</v>
      </c>
      <c r="G1017" s="648">
        <v>3</v>
      </c>
      <c r="H1017" s="648">
        <v>20</v>
      </c>
      <c r="I1017" s="648">
        <v>60000</v>
      </c>
      <c r="J1017" s="648" t="s">
        <v>255</v>
      </c>
    </row>
    <row r="1018" spans="2:10" x14ac:dyDescent="0.3">
      <c r="B1018" s="648" t="s">
        <v>472</v>
      </c>
      <c r="C1018" s="648">
        <v>2017</v>
      </c>
      <c r="D1018" s="648" t="s">
        <v>51</v>
      </c>
      <c r="E1018" s="648" t="s">
        <v>273</v>
      </c>
      <c r="F1018" s="648" t="s">
        <v>308</v>
      </c>
      <c r="G1018" s="648">
        <v>1</v>
      </c>
      <c r="H1018" s="648">
        <v>1</v>
      </c>
      <c r="I1018" s="648">
        <v>33500</v>
      </c>
      <c r="J1018" s="648" t="s">
        <v>255</v>
      </c>
    </row>
    <row r="1019" spans="2:10" x14ac:dyDescent="0.3">
      <c r="B1019" s="648" t="s">
        <v>472</v>
      </c>
      <c r="C1019" s="648">
        <v>2017</v>
      </c>
      <c r="D1019" s="648" t="s">
        <v>51</v>
      </c>
      <c r="E1019" s="648" t="s">
        <v>273</v>
      </c>
      <c r="F1019" s="648" t="s">
        <v>308</v>
      </c>
      <c r="G1019" s="648">
        <v>1</v>
      </c>
      <c r="H1019" s="648">
        <v>2</v>
      </c>
      <c r="I1019" s="648">
        <v>33500</v>
      </c>
      <c r="J1019" s="648" t="s">
        <v>255</v>
      </c>
    </row>
    <row r="1020" spans="2:10" x14ac:dyDescent="0.3">
      <c r="B1020" s="648" t="s">
        <v>472</v>
      </c>
      <c r="C1020" s="648">
        <v>2017</v>
      </c>
      <c r="D1020" s="648" t="s">
        <v>51</v>
      </c>
      <c r="E1020" s="648" t="s">
        <v>273</v>
      </c>
      <c r="F1020" s="648" t="s">
        <v>308</v>
      </c>
      <c r="G1020" s="648">
        <v>1</v>
      </c>
      <c r="H1020" s="648">
        <v>3</v>
      </c>
      <c r="I1020" s="648">
        <v>54500</v>
      </c>
      <c r="J1020" s="648" t="s">
        <v>255</v>
      </c>
    </row>
    <row r="1021" spans="2:10" x14ac:dyDescent="0.3">
      <c r="B1021" s="648" t="s">
        <v>472</v>
      </c>
      <c r="C1021" s="648">
        <v>2017</v>
      </c>
      <c r="D1021" s="648" t="s">
        <v>51</v>
      </c>
      <c r="E1021" s="648" t="s">
        <v>273</v>
      </c>
      <c r="F1021" s="648" t="s">
        <v>308</v>
      </c>
      <c r="G1021" s="648">
        <v>1</v>
      </c>
      <c r="H1021" s="648">
        <v>4</v>
      </c>
      <c r="I1021" s="648">
        <v>54500</v>
      </c>
      <c r="J1021" s="648" t="s">
        <v>255</v>
      </c>
    </row>
    <row r="1022" spans="2:10" x14ac:dyDescent="0.3">
      <c r="B1022" s="648" t="s">
        <v>472</v>
      </c>
      <c r="C1022" s="648">
        <v>2017</v>
      </c>
      <c r="D1022" s="648" t="s">
        <v>51</v>
      </c>
      <c r="E1022" s="648" t="s">
        <v>273</v>
      </c>
      <c r="F1022" s="648" t="s">
        <v>308</v>
      </c>
      <c r="G1022" s="648">
        <v>1</v>
      </c>
      <c r="H1022" s="648">
        <v>5</v>
      </c>
      <c r="I1022" s="648">
        <v>54500</v>
      </c>
      <c r="J1022" s="648" t="s">
        <v>255</v>
      </c>
    </row>
    <row r="1023" spans="2:10" x14ac:dyDescent="0.3">
      <c r="B1023" s="648" t="s">
        <v>472</v>
      </c>
      <c r="C1023" s="648">
        <v>2017</v>
      </c>
      <c r="D1023" s="648" t="s">
        <v>51</v>
      </c>
      <c r="E1023" s="648" t="s">
        <v>273</v>
      </c>
      <c r="F1023" s="648" t="s">
        <v>308</v>
      </c>
      <c r="G1023" s="648">
        <v>1</v>
      </c>
      <c r="H1023" s="648">
        <v>6</v>
      </c>
      <c r="I1023" s="648">
        <v>63500</v>
      </c>
      <c r="J1023" s="648" t="s">
        <v>255</v>
      </c>
    </row>
    <row r="1024" spans="2:10" x14ac:dyDescent="0.3">
      <c r="B1024" s="648" t="s">
        <v>472</v>
      </c>
      <c r="C1024" s="648">
        <v>2017</v>
      </c>
      <c r="D1024" s="648" t="s">
        <v>51</v>
      </c>
      <c r="E1024" s="648" t="s">
        <v>273</v>
      </c>
      <c r="F1024" s="648" t="s">
        <v>308</v>
      </c>
      <c r="G1024" s="648">
        <v>1</v>
      </c>
      <c r="H1024" s="648">
        <v>7</v>
      </c>
      <c r="I1024" s="648">
        <v>63500</v>
      </c>
      <c r="J1024" s="648" t="s">
        <v>255</v>
      </c>
    </row>
    <row r="1025" spans="2:10" x14ac:dyDescent="0.3">
      <c r="B1025" s="648" t="s">
        <v>472</v>
      </c>
      <c r="C1025" s="648">
        <v>2017</v>
      </c>
      <c r="D1025" s="648" t="s">
        <v>51</v>
      </c>
      <c r="E1025" s="648" t="s">
        <v>273</v>
      </c>
      <c r="F1025" s="648" t="s">
        <v>308</v>
      </c>
      <c r="G1025" s="648">
        <v>1</v>
      </c>
      <c r="H1025" s="648">
        <v>8</v>
      </c>
      <c r="I1025" s="648">
        <v>63500</v>
      </c>
      <c r="J1025" s="648" t="s">
        <v>255</v>
      </c>
    </row>
    <row r="1026" spans="2:10" x14ac:dyDescent="0.3">
      <c r="B1026" s="648" t="s">
        <v>472</v>
      </c>
      <c r="C1026" s="648">
        <v>2017</v>
      </c>
      <c r="D1026" s="648" t="s">
        <v>51</v>
      </c>
      <c r="E1026" s="648" t="s">
        <v>273</v>
      </c>
      <c r="F1026" s="648" t="s">
        <v>308</v>
      </c>
      <c r="G1026" s="648">
        <v>1</v>
      </c>
      <c r="H1026" s="648">
        <v>9</v>
      </c>
      <c r="I1026" s="648">
        <v>63500</v>
      </c>
      <c r="J1026" s="648" t="s">
        <v>255</v>
      </c>
    </row>
    <row r="1027" spans="2:10" x14ac:dyDescent="0.3">
      <c r="B1027" s="648" t="s">
        <v>472</v>
      </c>
      <c r="C1027" s="648">
        <v>2017</v>
      </c>
      <c r="D1027" s="648" t="s">
        <v>51</v>
      </c>
      <c r="E1027" s="648" t="s">
        <v>273</v>
      </c>
      <c r="F1027" s="648" t="s">
        <v>308</v>
      </c>
      <c r="G1027" s="648">
        <v>1</v>
      </c>
      <c r="H1027" s="648">
        <v>10</v>
      </c>
      <c r="I1027" s="648">
        <v>63500</v>
      </c>
      <c r="J1027" s="648" t="s">
        <v>255</v>
      </c>
    </row>
    <row r="1028" spans="2:10" x14ac:dyDescent="0.3">
      <c r="B1028" s="648" t="s">
        <v>472</v>
      </c>
      <c r="C1028" s="648">
        <v>2017</v>
      </c>
      <c r="D1028" s="648" t="s">
        <v>51</v>
      </c>
      <c r="E1028" s="648" t="s">
        <v>273</v>
      </c>
      <c r="F1028" s="648" t="s">
        <v>308</v>
      </c>
      <c r="G1028" s="648">
        <v>1</v>
      </c>
      <c r="H1028" s="648">
        <v>11</v>
      </c>
      <c r="I1028" s="648">
        <v>78500</v>
      </c>
      <c r="J1028" s="648" t="s">
        <v>255</v>
      </c>
    </row>
    <row r="1029" spans="2:10" x14ac:dyDescent="0.3">
      <c r="B1029" s="648" t="s">
        <v>472</v>
      </c>
      <c r="C1029" s="648">
        <v>2017</v>
      </c>
      <c r="D1029" s="648" t="s">
        <v>51</v>
      </c>
      <c r="E1029" s="648" t="s">
        <v>273</v>
      </c>
      <c r="F1029" s="648" t="s">
        <v>308</v>
      </c>
      <c r="G1029" s="648">
        <v>1</v>
      </c>
      <c r="H1029" s="648">
        <v>12</v>
      </c>
      <c r="I1029" s="648">
        <v>78500</v>
      </c>
      <c r="J1029" s="648" t="s">
        <v>255</v>
      </c>
    </row>
    <row r="1030" spans="2:10" x14ac:dyDescent="0.3">
      <c r="B1030" s="648" t="s">
        <v>472</v>
      </c>
      <c r="C1030" s="648">
        <v>2017</v>
      </c>
      <c r="D1030" s="648" t="s">
        <v>51</v>
      </c>
      <c r="E1030" s="648" t="s">
        <v>273</v>
      </c>
      <c r="F1030" s="648" t="s">
        <v>308</v>
      </c>
      <c r="G1030" s="648">
        <v>1</v>
      </c>
      <c r="H1030" s="648">
        <v>13</v>
      </c>
      <c r="I1030" s="648">
        <v>78500</v>
      </c>
      <c r="J1030" s="648" t="s">
        <v>255</v>
      </c>
    </row>
    <row r="1031" spans="2:10" x14ac:dyDescent="0.3">
      <c r="B1031" s="648" t="s">
        <v>472</v>
      </c>
      <c r="C1031" s="648">
        <v>2017</v>
      </c>
      <c r="D1031" s="648" t="s">
        <v>51</v>
      </c>
      <c r="E1031" s="648" t="s">
        <v>273</v>
      </c>
      <c r="F1031" s="648" t="s">
        <v>308</v>
      </c>
      <c r="G1031" s="648">
        <v>1</v>
      </c>
      <c r="H1031" s="648">
        <v>14</v>
      </c>
      <c r="I1031" s="648">
        <v>78500</v>
      </c>
      <c r="J1031" s="648" t="s">
        <v>255</v>
      </c>
    </row>
    <row r="1032" spans="2:10" x14ac:dyDescent="0.3">
      <c r="B1032" s="648" t="s">
        <v>472</v>
      </c>
      <c r="C1032" s="648">
        <v>2017</v>
      </c>
      <c r="D1032" s="648" t="s">
        <v>51</v>
      </c>
      <c r="E1032" s="648" t="s">
        <v>273</v>
      </c>
      <c r="F1032" s="648" t="s">
        <v>308</v>
      </c>
      <c r="G1032" s="648">
        <v>1</v>
      </c>
      <c r="H1032" s="648">
        <v>15</v>
      </c>
      <c r="I1032" s="648">
        <v>78500</v>
      </c>
      <c r="J1032" s="648" t="s">
        <v>255</v>
      </c>
    </row>
    <row r="1033" spans="2:10" x14ac:dyDescent="0.3">
      <c r="B1033" s="648" t="s">
        <v>472</v>
      </c>
      <c r="C1033" s="648">
        <v>2017</v>
      </c>
      <c r="D1033" s="648" t="s">
        <v>51</v>
      </c>
      <c r="E1033" s="648" t="s">
        <v>273</v>
      </c>
      <c r="F1033" s="648" t="s">
        <v>308</v>
      </c>
      <c r="G1033" s="648">
        <v>1</v>
      </c>
      <c r="H1033" s="648">
        <v>16</v>
      </c>
      <c r="I1033" s="648">
        <v>78500</v>
      </c>
      <c r="J1033" s="648" t="s">
        <v>255</v>
      </c>
    </row>
    <row r="1034" spans="2:10" x14ac:dyDescent="0.3">
      <c r="B1034" s="648" t="s">
        <v>472</v>
      </c>
      <c r="C1034" s="648">
        <v>2017</v>
      </c>
      <c r="D1034" s="648" t="s">
        <v>51</v>
      </c>
      <c r="E1034" s="648" t="s">
        <v>273</v>
      </c>
      <c r="F1034" s="648" t="s">
        <v>308</v>
      </c>
      <c r="G1034" s="648">
        <v>1</v>
      </c>
      <c r="H1034" s="648">
        <v>17</v>
      </c>
      <c r="I1034" s="648">
        <v>88500</v>
      </c>
      <c r="J1034" s="648" t="s">
        <v>255</v>
      </c>
    </row>
    <row r="1035" spans="2:10" x14ac:dyDescent="0.3">
      <c r="B1035" s="648" t="s">
        <v>472</v>
      </c>
      <c r="C1035" s="648">
        <v>2017</v>
      </c>
      <c r="D1035" s="648" t="s">
        <v>51</v>
      </c>
      <c r="E1035" s="648" t="s">
        <v>273</v>
      </c>
      <c r="F1035" s="648" t="s">
        <v>308</v>
      </c>
      <c r="G1035" s="648">
        <v>1</v>
      </c>
      <c r="H1035" s="648">
        <v>18</v>
      </c>
      <c r="I1035" s="648">
        <v>88500</v>
      </c>
      <c r="J1035" s="648" t="s">
        <v>255</v>
      </c>
    </row>
    <row r="1036" spans="2:10" x14ac:dyDescent="0.3">
      <c r="B1036" s="648" t="s">
        <v>472</v>
      </c>
      <c r="C1036" s="648">
        <v>2017</v>
      </c>
      <c r="D1036" s="648" t="s">
        <v>51</v>
      </c>
      <c r="E1036" s="648" t="s">
        <v>273</v>
      </c>
      <c r="F1036" s="648" t="s">
        <v>308</v>
      </c>
      <c r="G1036" s="648">
        <v>1</v>
      </c>
      <c r="H1036" s="648">
        <v>19</v>
      </c>
      <c r="I1036" s="648">
        <v>88500</v>
      </c>
      <c r="J1036" s="648" t="s">
        <v>255</v>
      </c>
    </row>
    <row r="1037" spans="2:10" x14ac:dyDescent="0.3">
      <c r="B1037" s="648" t="s">
        <v>472</v>
      </c>
      <c r="C1037" s="648">
        <v>2017</v>
      </c>
      <c r="D1037" s="648" t="s">
        <v>51</v>
      </c>
      <c r="E1037" s="648" t="s">
        <v>273</v>
      </c>
      <c r="F1037" s="648" t="s">
        <v>308</v>
      </c>
      <c r="G1037" s="648">
        <v>1</v>
      </c>
      <c r="H1037" s="648">
        <v>20</v>
      </c>
      <c r="I1037" s="648">
        <v>88500</v>
      </c>
      <c r="J1037" s="648" t="s">
        <v>255</v>
      </c>
    </row>
    <row r="1038" spans="2:10" x14ac:dyDescent="0.3">
      <c r="B1038" s="648" t="s">
        <v>473</v>
      </c>
      <c r="C1038" s="648">
        <v>2017</v>
      </c>
      <c r="D1038" s="648" t="s">
        <v>51</v>
      </c>
      <c r="E1038" s="648" t="s">
        <v>127</v>
      </c>
      <c r="F1038" s="648" t="s">
        <v>307</v>
      </c>
      <c r="G1038" s="648">
        <v>2</v>
      </c>
      <c r="H1038" s="648">
        <v>13</v>
      </c>
      <c r="I1038" s="648">
        <v>37000</v>
      </c>
      <c r="J1038" s="648" t="s">
        <v>255</v>
      </c>
    </row>
    <row r="1039" spans="2:10" x14ac:dyDescent="0.3">
      <c r="B1039" s="648" t="s">
        <v>473</v>
      </c>
      <c r="C1039" s="648">
        <v>2017</v>
      </c>
      <c r="D1039" s="648" t="s">
        <v>51</v>
      </c>
      <c r="E1039" s="648" t="s">
        <v>127</v>
      </c>
      <c r="F1039" s="648" t="s">
        <v>307</v>
      </c>
      <c r="G1039" s="648">
        <v>2</v>
      </c>
      <c r="H1039" s="648">
        <v>14</v>
      </c>
      <c r="I1039" s="648">
        <v>37000</v>
      </c>
      <c r="J1039" s="648" t="s">
        <v>255</v>
      </c>
    </row>
    <row r="1040" spans="2:10" x14ac:dyDescent="0.3">
      <c r="B1040" s="648" t="s">
        <v>473</v>
      </c>
      <c r="C1040" s="648">
        <v>2017</v>
      </c>
      <c r="D1040" s="648" t="s">
        <v>51</v>
      </c>
      <c r="E1040" s="648" t="s">
        <v>127</v>
      </c>
      <c r="F1040" s="648" t="s">
        <v>307</v>
      </c>
      <c r="G1040" s="648">
        <v>2</v>
      </c>
      <c r="H1040" s="648">
        <v>15</v>
      </c>
      <c r="I1040" s="648">
        <v>37000</v>
      </c>
      <c r="J1040" s="648" t="s">
        <v>255</v>
      </c>
    </row>
    <row r="1041" spans="2:10" x14ac:dyDescent="0.3">
      <c r="B1041" s="648" t="s">
        <v>473</v>
      </c>
      <c r="C1041" s="648">
        <v>2017</v>
      </c>
      <c r="D1041" s="648" t="s">
        <v>51</v>
      </c>
      <c r="E1041" s="648" t="s">
        <v>127</v>
      </c>
      <c r="F1041" s="648" t="s">
        <v>307</v>
      </c>
      <c r="G1041" s="648">
        <v>2</v>
      </c>
      <c r="H1041" s="648">
        <v>16</v>
      </c>
      <c r="I1041" s="648">
        <v>40000</v>
      </c>
      <c r="J1041" s="648" t="s">
        <v>255</v>
      </c>
    </row>
    <row r="1042" spans="2:10" x14ac:dyDescent="0.3">
      <c r="B1042" s="648" t="s">
        <v>473</v>
      </c>
      <c r="C1042" s="648">
        <v>2017</v>
      </c>
      <c r="D1042" s="648" t="s">
        <v>51</v>
      </c>
      <c r="E1042" s="648" t="s">
        <v>127</v>
      </c>
      <c r="F1042" s="648" t="s">
        <v>307</v>
      </c>
      <c r="G1042" s="648">
        <v>2</v>
      </c>
      <c r="H1042" s="648">
        <v>17</v>
      </c>
      <c r="I1042" s="648">
        <v>40000</v>
      </c>
      <c r="J1042" s="648" t="s">
        <v>255</v>
      </c>
    </row>
    <row r="1043" spans="2:10" x14ac:dyDescent="0.3">
      <c r="B1043" s="648" t="s">
        <v>473</v>
      </c>
      <c r="C1043" s="648">
        <v>2017</v>
      </c>
      <c r="D1043" s="648" t="s">
        <v>51</v>
      </c>
      <c r="E1043" s="648" t="s">
        <v>127</v>
      </c>
      <c r="F1043" s="648" t="s">
        <v>307</v>
      </c>
      <c r="G1043" s="648">
        <v>2</v>
      </c>
      <c r="H1043" s="648">
        <v>18</v>
      </c>
      <c r="I1043" s="648">
        <v>40000</v>
      </c>
      <c r="J1043" s="648" t="s">
        <v>255</v>
      </c>
    </row>
    <row r="1044" spans="2:10" x14ac:dyDescent="0.3">
      <c r="B1044" s="648" t="s">
        <v>473</v>
      </c>
      <c r="C1044" s="648">
        <v>2017</v>
      </c>
      <c r="D1044" s="648" t="s">
        <v>51</v>
      </c>
      <c r="E1044" s="648" t="s">
        <v>127</v>
      </c>
      <c r="F1044" s="648" t="s">
        <v>307</v>
      </c>
      <c r="G1044" s="648">
        <v>2</v>
      </c>
      <c r="H1044" s="648">
        <v>19</v>
      </c>
      <c r="I1044" s="648">
        <v>42000</v>
      </c>
      <c r="J1044" s="648" t="s">
        <v>255</v>
      </c>
    </row>
    <row r="1045" spans="2:10" x14ac:dyDescent="0.3">
      <c r="B1045" s="648" t="s">
        <v>473</v>
      </c>
      <c r="C1045" s="648">
        <v>2017</v>
      </c>
      <c r="D1045" s="648" t="s">
        <v>51</v>
      </c>
      <c r="E1045" s="648" t="s">
        <v>127</v>
      </c>
      <c r="F1045" s="648" t="s">
        <v>307</v>
      </c>
      <c r="G1045" s="648">
        <v>2</v>
      </c>
      <c r="H1045" s="648">
        <v>20</v>
      </c>
      <c r="I1045" s="648">
        <v>42000</v>
      </c>
      <c r="J1045" s="648" t="s">
        <v>255</v>
      </c>
    </row>
    <row r="1046" spans="2:10" x14ac:dyDescent="0.3">
      <c r="B1046" s="648" t="s">
        <v>476</v>
      </c>
      <c r="C1046" s="648">
        <v>2017</v>
      </c>
      <c r="D1046" s="648" t="s">
        <v>53</v>
      </c>
      <c r="E1046" s="648" t="s">
        <v>71</v>
      </c>
      <c r="F1046" s="648" t="s">
        <v>73</v>
      </c>
      <c r="G1046" s="648">
        <v>5</v>
      </c>
      <c r="H1046" s="648">
        <v>10</v>
      </c>
      <c r="I1046" s="648">
        <v>50000</v>
      </c>
      <c r="J1046" s="648" t="s">
        <v>280</v>
      </c>
    </row>
    <row r="1047" spans="2:10" x14ac:dyDescent="0.3">
      <c r="B1047" s="648" t="s">
        <v>476</v>
      </c>
      <c r="C1047" s="648">
        <v>2017</v>
      </c>
      <c r="D1047" s="648" t="s">
        <v>53</v>
      </c>
      <c r="E1047" s="648" t="s">
        <v>71</v>
      </c>
      <c r="F1047" s="648" t="s">
        <v>73</v>
      </c>
      <c r="G1047" s="648">
        <v>5</v>
      </c>
      <c r="H1047" s="648">
        <v>11</v>
      </c>
      <c r="I1047" s="648">
        <v>50000</v>
      </c>
      <c r="J1047" s="648" t="s">
        <v>280</v>
      </c>
    </row>
    <row r="1048" spans="2:10" x14ac:dyDescent="0.3">
      <c r="B1048" s="648" t="s">
        <v>476</v>
      </c>
      <c r="C1048" s="648">
        <v>2017</v>
      </c>
      <c r="D1048" s="648" t="s">
        <v>53</v>
      </c>
      <c r="E1048" s="648" t="s">
        <v>71</v>
      </c>
      <c r="F1048" s="648" t="s">
        <v>73</v>
      </c>
      <c r="G1048" s="648">
        <v>5</v>
      </c>
      <c r="H1048" s="648">
        <v>12</v>
      </c>
      <c r="I1048" s="648">
        <v>50000</v>
      </c>
      <c r="J1048" s="648" t="s">
        <v>280</v>
      </c>
    </row>
    <row r="1049" spans="2:10" x14ac:dyDescent="0.3">
      <c r="B1049" s="648" t="s">
        <v>476</v>
      </c>
      <c r="C1049" s="648">
        <v>2017</v>
      </c>
      <c r="D1049" s="648" t="s">
        <v>53</v>
      </c>
      <c r="E1049" s="648" t="s">
        <v>71</v>
      </c>
      <c r="F1049" s="648" t="s">
        <v>73</v>
      </c>
      <c r="G1049" s="648">
        <v>5</v>
      </c>
      <c r="H1049" s="648">
        <v>13</v>
      </c>
      <c r="I1049" s="648">
        <v>56500</v>
      </c>
      <c r="J1049" s="648" t="s">
        <v>280</v>
      </c>
    </row>
    <row r="1050" spans="2:10" x14ac:dyDescent="0.3">
      <c r="B1050" s="648" t="s">
        <v>476</v>
      </c>
      <c r="C1050" s="648">
        <v>2017</v>
      </c>
      <c r="D1050" s="648" t="s">
        <v>53</v>
      </c>
      <c r="E1050" s="648" t="s">
        <v>71</v>
      </c>
      <c r="F1050" s="648" t="s">
        <v>73</v>
      </c>
      <c r="G1050" s="648">
        <v>5</v>
      </c>
      <c r="H1050" s="648">
        <v>14</v>
      </c>
      <c r="I1050" s="648">
        <v>56500</v>
      </c>
      <c r="J1050" s="648" t="s">
        <v>280</v>
      </c>
    </row>
    <row r="1051" spans="2:10" x14ac:dyDescent="0.3">
      <c r="B1051" s="648" t="s">
        <v>476</v>
      </c>
      <c r="C1051" s="648">
        <v>2017</v>
      </c>
      <c r="D1051" s="648" t="s">
        <v>53</v>
      </c>
      <c r="E1051" s="648" t="s">
        <v>71</v>
      </c>
      <c r="F1051" s="648" t="s">
        <v>73</v>
      </c>
      <c r="G1051" s="648">
        <v>5</v>
      </c>
      <c r="H1051" s="648">
        <v>15</v>
      </c>
      <c r="I1051" s="648">
        <v>56500</v>
      </c>
      <c r="J1051" s="648" t="s">
        <v>280</v>
      </c>
    </row>
    <row r="1052" spans="2:10" x14ac:dyDescent="0.3">
      <c r="B1052" s="648" t="s">
        <v>476</v>
      </c>
      <c r="C1052" s="648">
        <v>2017</v>
      </c>
      <c r="D1052" s="648" t="s">
        <v>53</v>
      </c>
      <c r="E1052" s="648" t="s">
        <v>71</v>
      </c>
      <c r="F1052" s="648" t="s">
        <v>73</v>
      </c>
      <c r="G1052" s="648">
        <v>5</v>
      </c>
      <c r="H1052" s="648">
        <v>16</v>
      </c>
      <c r="I1052" s="648">
        <v>59000</v>
      </c>
      <c r="J1052" s="648" t="s">
        <v>280</v>
      </c>
    </row>
    <row r="1053" spans="2:10" x14ac:dyDescent="0.3">
      <c r="B1053" s="648" t="s">
        <v>476</v>
      </c>
      <c r="C1053" s="648">
        <v>2017</v>
      </c>
      <c r="D1053" s="648" t="s">
        <v>53</v>
      </c>
      <c r="E1053" s="648" t="s">
        <v>71</v>
      </c>
      <c r="F1053" s="648" t="s">
        <v>73</v>
      </c>
      <c r="G1053" s="648">
        <v>5</v>
      </c>
      <c r="H1053" s="648">
        <v>17</v>
      </c>
      <c r="I1053" s="648">
        <v>59000</v>
      </c>
      <c r="J1053" s="648" t="s">
        <v>280</v>
      </c>
    </row>
    <row r="1054" spans="2:10" x14ac:dyDescent="0.3">
      <c r="B1054" s="648" t="s">
        <v>476</v>
      </c>
      <c r="C1054" s="648">
        <v>2017</v>
      </c>
      <c r="D1054" s="648" t="s">
        <v>53</v>
      </c>
      <c r="E1054" s="648" t="s">
        <v>71</v>
      </c>
      <c r="F1054" s="648" t="s">
        <v>73</v>
      </c>
      <c r="G1054" s="648">
        <v>5</v>
      </c>
      <c r="H1054" s="648">
        <v>18</v>
      </c>
      <c r="I1054" s="648">
        <v>59000</v>
      </c>
      <c r="J1054" s="648" t="s">
        <v>280</v>
      </c>
    </row>
    <row r="1055" spans="2:10" x14ac:dyDescent="0.3">
      <c r="B1055" s="648" t="s">
        <v>476</v>
      </c>
      <c r="C1055" s="648">
        <v>2017</v>
      </c>
      <c r="D1055" s="648" t="s">
        <v>53</v>
      </c>
      <c r="E1055" s="648" t="s">
        <v>71</v>
      </c>
      <c r="F1055" s="648" t="s">
        <v>73</v>
      </c>
      <c r="G1055" s="648">
        <v>5</v>
      </c>
      <c r="H1055" s="648">
        <v>19</v>
      </c>
      <c r="I1055" s="648">
        <v>59000</v>
      </c>
      <c r="J1055" s="648" t="s">
        <v>280</v>
      </c>
    </row>
    <row r="1056" spans="2:10" x14ac:dyDescent="0.3">
      <c r="B1056" s="648" t="s">
        <v>476</v>
      </c>
      <c r="C1056" s="648">
        <v>2017</v>
      </c>
      <c r="D1056" s="648" t="s">
        <v>53</v>
      </c>
      <c r="E1056" s="648" t="s">
        <v>71</v>
      </c>
      <c r="F1056" s="648" t="s">
        <v>73</v>
      </c>
      <c r="G1056" s="648">
        <v>5</v>
      </c>
      <c r="H1056" s="648">
        <v>20</v>
      </c>
      <c r="I1056" s="648">
        <v>59000</v>
      </c>
      <c r="J1056" s="648" t="s">
        <v>280</v>
      </c>
    </row>
    <row r="1057" spans="2:10" x14ac:dyDescent="0.3">
      <c r="B1057" s="648" t="s">
        <v>477</v>
      </c>
      <c r="C1057" s="648">
        <v>2017</v>
      </c>
      <c r="D1057" s="648" t="s">
        <v>53</v>
      </c>
      <c r="E1057" s="648" t="s">
        <v>72</v>
      </c>
      <c r="F1057" s="648" t="s">
        <v>73</v>
      </c>
      <c r="G1057" s="648">
        <v>1</v>
      </c>
      <c r="H1057" s="648">
        <v>4</v>
      </c>
      <c r="I1057" s="648">
        <v>36250</v>
      </c>
      <c r="J1057" s="648" t="s">
        <v>280</v>
      </c>
    </row>
    <row r="1058" spans="2:10" x14ac:dyDescent="0.3">
      <c r="B1058" s="648" t="s">
        <v>477</v>
      </c>
      <c r="C1058" s="648">
        <v>2017</v>
      </c>
      <c r="D1058" s="648" t="s">
        <v>53</v>
      </c>
      <c r="E1058" s="648" t="s">
        <v>72</v>
      </c>
      <c r="F1058" s="648" t="s">
        <v>73</v>
      </c>
      <c r="G1058" s="648">
        <v>1</v>
      </c>
      <c r="H1058" s="648">
        <v>5</v>
      </c>
      <c r="I1058" s="648">
        <v>36250</v>
      </c>
      <c r="J1058" s="648" t="s">
        <v>280</v>
      </c>
    </row>
    <row r="1059" spans="2:10" x14ac:dyDescent="0.3">
      <c r="B1059" s="648" t="s">
        <v>477</v>
      </c>
      <c r="C1059" s="648">
        <v>2017</v>
      </c>
      <c r="D1059" s="648" t="s">
        <v>53</v>
      </c>
      <c r="E1059" s="648" t="s">
        <v>72</v>
      </c>
      <c r="F1059" s="648" t="s">
        <v>73</v>
      </c>
      <c r="G1059" s="648">
        <v>1</v>
      </c>
      <c r="H1059" s="648">
        <v>6</v>
      </c>
      <c r="I1059" s="648">
        <v>43250</v>
      </c>
      <c r="J1059" s="648" t="s">
        <v>280</v>
      </c>
    </row>
    <row r="1060" spans="2:10" x14ac:dyDescent="0.3">
      <c r="B1060" s="648" t="s">
        <v>477</v>
      </c>
      <c r="C1060" s="648">
        <v>2017</v>
      </c>
      <c r="D1060" s="648" t="s">
        <v>53</v>
      </c>
      <c r="E1060" s="648" t="s">
        <v>72</v>
      </c>
      <c r="F1060" s="648" t="s">
        <v>73</v>
      </c>
      <c r="G1060" s="648">
        <v>1</v>
      </c>
      <c r="H1060" s="648">
        <v>7</v>
      </c>
      <c r="I1060" s="648">
        <v>43250</v>
      </c>
      <c r="J1060" s="648" t="s">
        <v>280</v>
      </c>
    </row>
    <row r="1061" spans="2:10" x14ac:dyDescent="0.3">
      <c r="B1061" s="648" t="s">
        <v>477</v>
      </c>
      <c r="C1061" s="648">
        <v>2017</v>
      </c>
      <c r="D1061" s="648" t="s">
        <v>53</v>
      </c>
      <c r="E1061" s="648" t="s">
        <v>72</v>
      </c>
      <c r="F1061" s="648" t="s">
        <v>73</v>
      </c>
      <c r="G1061" s="648">
        <v>1</v>
      </c>
      <c r="H1061" s="648">
        <v>8</v>
      </c>
      <c r="I1061" s="648">
        <v>43250</v>
      </c>
      <c r="J1061" s="648" t="s">
        <v>280</v>
      </c>
    </row>
    <row r="1062" spans="2:10" x14ac:dyDescent="0.3">
      <c r="B1062" s="648" t="s">
        <v>477</v>
      </c>
      <c r="C1062" s="648">
        <v>2017</v>
      </c>
      <c r="D1062" s="648" t="s">
        <v>53</v>
      </c>
      <c r="E1062" s="648" t="s">
        <v>72</v>
      </c>
      <c r="F1062" s="648" t="s">
        <v>73</v>
      </c>
      <c r="G1062" s="648">
        <v>1</v>
      </c>
      <c r="H1062" s="648">
        <v>9</v>
      </c>
      <c r="I1062" s="648">
        <v>43250</v>
      </c>
      <c r="J1062" s="648" t="s">
        <v>280</v>
      </c>
    </row>
    <row r="1063" spans="2:10" x14ac:dyDescent="0.3">
      <c r="B1063" s="648" t="s">
        <v>477</v>
      </c>
      <c r="C1063" s="648">
        <v>2017</v>
      </c>
      <c r="D1063" s="648" t="s">
        <v>53</v>
      </c>
      <c r="E1063" s="648" t="s">
        <v>72</v>
      </c>
      <c r="F1063" s="648" t="s">
        <v>73</v>
      </c>
      <c r="G1063" s="648">
        <v>1</v>
      </c>
      <c r="H1063" s="648">
        <v>10</v>
      </c>
      <c r="I1063" s="648">
        <v>43250</v>
      </c>
      <c r="J1063" s="648" t="s">
        <v>280</v>
      </c>
    </row>
    <row r="1064" spans="2:10" x14ac:dyDescent="0.3">
      <c r="B1064" s="648" t="s">
        <v>477</v>
      </c>
      <c r="C1064" s="648">
        <v>2017</v>
      </c>
      <c r="D1064" s="648" t="s">
        <v>53</v>
      </c>
      <c r="E1064" s="648" t="s">
        <v>72</v>
      </c>
      <c r="F1064" s="648" t="s">
        <v>73</v>
      </c>
      <c r="G1064" s="648">
        <v>1</v>
      </c>
      <c r="H1064" s="648">
        <v>11</v>
      </c>
      <c r="I1064" s="648">
        <v>50250</v>
      </c>
      <c r="J1064" s="648" t="s">
        <v>280</v>
      </c>
    </row>
    <row r="1065" spans="2:10" x14ac:dyDescent="0.3">
      <c r="B1065" s="648" t="s">
        <v>477</v>
      </c>
      <c r="C1065" s="648">
        <v>2017</v>
      </c>
      <c r="D1065" s="648" t="s">
        <v>53</v>
      </c>
      <c r="E1065" s="648" t="s">
        <v>72</v>
      </c>
      <c r="F1065" s="648" t="s">
        <v>73</v>
      </c>
      <c r="G1065" s="648">
        <v>1</v>
      </c>
      <c r="H1065" s="648">
        <v>12</v>
      </c>
      <c r="I1065" s="648">
        <v>50250</v>
      </c>
      <c r="J1065" s="648" t="s">
        <v>280</v>
      </c>
    </row>
    <row r="1066" spans="2:10" x14ac:dyDescent="0.3">
      <c r="B1066" s="648" t="s">
        <v>477</v>
      </c>
      <c r="C1066" s="648">
        <v>2017</v>
      </c>
      <c r="D1066" s="648" t="s">
        <v>53</v>
      </c>
      <c r="E1066" s="648" t="s">
        <v>72</v>
      </c>
      <c r="F1066" s="648" t="s">
        <v>73</v>
      </c>
      <c r="G1066" s="648">
        <v>1</v>
      </c>
      <c r="H1066" s="648">
        <v>13</v>
      </c>
      <c r="I1066" s="648">
        <v>50250</v>
      </c>
      <c r="J1066" s="648" t="s">
        <v>280</v>
      </c>
    </row>
    <row r="1067" spans="2:10" x14ac:dyDescent="0.3">
      <c r="B1067" s="648" t="s">
        <v>477</v>
      </c>
      <c r="C1067" s="648">
        <v>2017</v>
      </c>
      <c r="D1067" s="648" t="s">
        <v>53</v>
      </c>
      <c r="E1067" s="648" t="s">
        <v>72</v>
      </c>
      <c r="F1067" s="648" t="s">
        <v>73</v>
      </c>
      <c r="G1067" s="648">
        <v>1</v>
      </c>
      <c r="H1067" s="648">
        <v>14</v>
      </c>
      <c r="I1067" s="648">
        <v>50250</v>
      </c>
      <c r="J1067" s="648" t="s">
        <v>280</v>
      </c>
    </row>
    <row r="1068" spans="2:10" x14ac:dyDescent="0.3">
      <c r="B1068" s="648" t="s">
        <v>477</v>
      </c>
      <c r="C1068" s="648">
        <v>2017</v>
      </c>
      <c r="D1068" s="648" t="s">
        <v>53</v>
      </c>
      <c r="E1068" s="648" t="s">
        <v>72</v>
      </c>
      <c r="F1068" s="648" t="s">
        <v>73</v>
      </c>
      <c r="G1068" s="648">
        <v>1</v>
      </c>
      <c r="H1068" s="648">
        <v>15</v>
      </c>
      <c r="I1068" s="648">
        <v>50250</v>
      </c>
      <c r="J1068" s="648" t="s">
        <v>280</v>
      </c>
    </row>
    <row r="1069" spans="2:10" x14ac:dyDescent="0.3">
      <c r="B1069" s="648" t="s">
        <v>477</v>
      </c>
      <c r="C1069" s="648">
        <v>2017</v>
      </c>
      <c r="D1069" s="648" t="s">
        <v>53</v>
      </c>
      <c r="E1069" s="648" t="s">
        <v>72</v>
      </c>
      <c r="F1069" s="648" t="s">
        <v>73</v>
      </c>
      <c r="G1069" s="648">
        <v>1</v>
      </c>
      <c r="H1069" s="648">
        <v>16</v>
      </c>
      <c r="I1069" s="648">
        <v>50250</v>
      </c>
      <c r="J1069" s="648" t="s">
        <v>280</v>
      </c>
    </row>
    <row r="1070" spans="2:10" x14ac:dyDescent="0.3">
      <c r="B1070" s="648" t="s">
        <v>477</v>
      </c>
      <c r="C1070" s="648">
        <v>2017</v>
      </c>
      <c r="D1070" s="648" t="s">
        <v>53</v>
      </c>
      <c r="E1070" s="648" t="s">
        <v>72</v>
      </c>
      <c r="F1070" s="648" t="s">
        <v>73</v>
      </c>
      <c r="G1070" s="648">
        <v>1</v>
      </c>
      <c r="H1070" s="648">
        <v>17</v>
      </c>
      <c r="I1070" s="648">
        <v>57250</v>
      </c>
      <c r="J1070" s="648" t="s">
        <v>280</v>
      </c>
    </row>
    <row r="1071" spans="2:10" x14ac:dyDescent="0.3">
      <c r="B1071" s="648" t="s">
        <v>477</v>
      </c>
      <c r="C1071" s="648">
        <v>2017</v>
      </c>
      <c r="D1071" s="648" t="s">
        <v>53</v>
      </c>
      <c r="E1071" s="648" t="s">
        <v>72</v>
      </c>
      <c r="F1071" s="648" t="s">
        <v>73</v>
      </c>
      <c r="G1071" s="648">
        <v>1</v>
      </c>
      <c r="H1071" s="648">
        <v>18</v>
      </c>
      <c r="I1071" s="648">
        <v>57250</v>
      </c>
      <c r="J1071" s="648" t="s">
        <v>280</v>
      </c>
    </row>
    <row r="1072" spans="2:10" x14ac:dyDescent="0.3">
      <c r="B1072" s="648" t="s">
        <v>477</v>
      </c>
      <c r="C1072" s="648">
        <v>2017</v>
      </c>
      <c r="D1072" s="648" t="s">
        <v>53</v>
      </c>
      <c r="E1072" s="648" t="s">
        <v>72</v>
      </c>
      <c r="F1072" s="648" t="s">
        <v>73</v>
      </c>
      <c r="G1072" s="648">
        <v>1</v>
      </c>
      <c r="H1072" s="648">
        <v>19</v>
      </c>
      <c r="I1072" s="648">
        <v>57250</v>
      </c>
      <c r="J1072" s="648" t="s">
        <v>280</v>
      </c>
    </row>
    <row r="1073" spans="2:10" x14ac:dyDescent="0.3">
      <c r="B1073" s="648" t="s">
        <v>477</v>
      </c>
      <c r="C1073" s="648">
        <v>2017</v>
      </c>
      <c r="D1073" s="648" t="s">
        <v>53</v>
      </c>
      <c r="E1073" s="648" t="s">
        <v>72</v>
      </c>
      <c r="F1073" s="648" t="s">
        <v>73</v>
      </c>
      <c r="G1073" s="648">
        <v>1</v>
      </c>
      <c r="H1073" s="648">
        <v>20</v>
      </c>
      <c r="I1073" s="648">
        <v>57250</v>
      </c>
      <c r="J1073" s="648" t="s">
        <v>280</v>
      </c>
    </row>
    <row r="1074" spans="2:10" x14ac:dyDescent="0.3">
      <c r="B1074" s="648" t="s">
        <v>478</v>
      </c>
      <c r="C1074" s="648">
        <v>2017</v>
      </c>
      <c r="D1074" s="648" t="s">
        <v>53</v>
      </c>
      <c r="E1074" s="648" t="s">
        <v>128</v>
      </c>
      <c r="F1074" s="648" t="s">
        <v>307</v>
      </c>
      <c r="G1074" s="648">
        <v>1</v>
      </c>
      <c r="H1074" s="648">
        <v>16</v>
      </c>
      <c r="I1074" s="648">
        <v>55750</v>
      </c>
      <c r="J1074" s="648" t="s">
        <v>280</v>
      </c>
    </row>
    <row r="1075" spans="2:10" x14ac:dyDescent="0.3">
      <c r="B1075" s="648" t="s">
        <v>478</v>
      </c>
      <c r="C1075" s="648">
        <v>2017</v>
      </c>
      <c r="D1075" s="648" t="s">
        <v>53</v>
      </c>
      <c r="E1075" s="648" t="s">
        <v>128</v>
      </c>
      <c r="F1075" s="648" t="s">
        <v>307</v>
      </c>
      <c r="G1075" s="648">
        <v>1</v>
      </c>
      <c r="H1075" s="648">
        <v>17</v>
      </c>
      <c r="I1075" s="648">
        <v>55750</v>
      </c>
      <c r="J1075" s="648" t="s">
        <v>280</v>
      </c>
    </row>
    <row r="1076" spans="2:10" x14ac:dyDescent="0.3">
      <c r="B1076" s="648" t="s">
        <v>478</v>
      </c>
      <c r="C1076" s="648">
        <v>2017</v>
      </c>
      <c r="D1076" s="648" t="s">
        <v>53</v>
      </c>
      <c r="E1076" s="648" t="s">
        <v>128</v>
      </c>
      <c r="F1076" s="648" t="s">
        <v>307</v>
      </c>
      <c r="G1076" s="648">
        <v>1</v>
      </c>
      <c r="H1076" s="648">
        <v>18</v>
      </c>
      <c r="I1076" s="648">
        <v>57250</v>
      </c>
      <c r="J1076" s="648" t="s">
        <v>280</v>
      </c>
    </row>
    <row r="1077" spans="2:10" x14ac:dyDescent="0.3">
      <c r="B1077" s="648" t="s">
        <v>478</v>
      </c>
      <c r="C1077" s="648">
        <v>2017</v>
      </c>
      <c r="D1077" s="648" t="s">
        <v>53</v>
      </c>
      <c r="E1077" s="648" t="s">
        <v>128</v>
      </c>
      <c r="F1077" s="648" t="s">
        <v>307</v>
      </c>
      <c r="G1077" s="648">
        <v>1</v>
      </c>
      <c r="H1077" s="648">
        <v>19</v>
      </c>
      <c r="I1077" s="648">
        <v>57250</v>
      </c>
      <c r="J1077" s="648" t="s">
        <v>280</v>
      </c>
    </row>
    <row r="1078" spans="2:10" x14ac:dyDescent="0.3">
      <c r="B1078" s="648" t="s">
        <v>478</v>
      </c>
      <c r="C1078" s="648">
        <v>2017</v>
      </c>
      <c r="D1078" s="648" t="s">
        <v>53</v>
      </c>
      <c r="E1078" s="648" t="s">
        <v>128</v>
      </c>
      <c r="F1078" s="648" t="s">
        <v>307</v>
      </c>
      <c r="G1078" s="648">
        <v>1</v>
      </c>
      <c r="H1078" s="648">
        <v>20</v>
      </c>
      <c r="I1078" s="648">
        <v>57250</v>
      </c>
      <c r="J1078" s="648" t="s">
        <v>280</v>
      </c>
    </row>
    <row r="1079" spans="2:10" x14ac:dyDescent="0.3">
      <c r="B1079" t="s">
        <v>482</v>
      </c>
      <c r="C1079">
        <v>2017</v>
      </c>
      <c r="D1079" t="s">
        <v>51</v>
      </c>
      <c r="E1079" t="s">
        <v>52</v>
      </c>
      <c r="F1079" t="s">
        <v>306</v>
      </c>
      <c r="G1079">
        <v>4</v>
      </c>
      <c r="H1079">
        <v>11</v>
      </c>
      <c r="I1079">
        <v>41000</v>
      </c>
      <c r="J1079" t="s">
        <v>280</v>
      </c>
    </row>
    <row r="1080" spans="2:10" x14ac:dyDescent="0.3">
      <c r="B1080" t="s">
        <v>482</v>
      </c>
      <c r="C1080">
        <v>2017</v>
      </c>
      <c r="D1080" t="s">
        <v>51</v>
      </c>
      <c r="E1080" t="s">
        <v>52</v>
      </c>
      <c r="F1080" t="s">
        <v>306</v>
      </c>
      <c r="G1080">
        <v>4</v>
      </c>
      <c r="H1080">
        <v>12</v>
      </c>
      <c r="I1080">
        <v>41000</v>
      </c>
      <c r="J1080" t="s">
        <v>280</v>
      </c>
    </row>
    <row r="1081" spans="2:10" x14ac:dyDescent="0.3">
      <c r="B1081" t="s">
        <v>482</v>
      </c>
      <c r="C1081">
        <v>2017</v>
      </c>
      <c r="D1081" t="s">
        <v>51</v>
      </c>
      <c r="E1081" t="s">
        <v>52</v>
      </c>
      <c r="F1081" t="s">
        <v>306</v>
      </c>
      <c r="G1081">
        <v>4</v>
      </c>
      <c r="H1081">
        <v>13</v>
      </c>
      <c r="I1081">
        <v>46000</v>
      </c>
      <c r="J1081" t="s">
        <v>280</v>
      </c>
    </row>
    <row r="1082" spans="2:10" x14ac:dyDescent="0.3">
      <c r="B1082" t="s">
        <v>482</v>
      </c>
      <c r="C1082">
        <v>2017</v>
      </c>
      <c r="D1082" t="s">
        <v>51</v>
      </c>
      <c r="E1082" t="s">
        <v>52</v>
      </c>
      <c r="F1082" t="s">
        <v>306</v>
      </c>
      <c r="G1082">
        <v>4</v>
      </c>
      <c r="H1082">
        <v>14</v>
      </c>
      <c r="I1082">
        <v>46000</v>
      </c>
      <c r="J1082" t="s">
        <v>280</v>
      </c>
    </row>
    <row r="1083" spans="2:10" x14ac:dyDescent="0.3">
      <c r="B1083" t="s">
        <v>482</v>
      </c>
      <c r="C1083">
        <v>2017</v>
      </c>
      <c r="D1083" t="s">
        <v>51</v>
      </c>
      <c r="E1083" t="s">
        <v>52</v>
      </c>
      <c r="F1083" t="s">
        <v>306</v>
      </c>
      <c r="G1083">
        <v>4</v>
      </c>
      <c r="H1083">
        <v>15</v>
      </c>
      <c r="I1083">
        <v>46000</v>
      </c>
      <c r="J1083" t="s">
        <v>280</v>
      </c>
    </row>
    <row r="1084" spans="2:10" x14ac:dyDescent="0.3">
      <c r="B1084" t="s">
        <v>482</v>
      </c>
      <c r="C1084">
        <v>2017</v>
      </c>
      <c r="D1084" t="s">
        <v>51</v>
      </c>
      <c r="E1084" t="s">
        <v>52</v>
      </c>
      <c r="F1084" t="s">
        <v>306</v>
      </c>
      <c r="G1084">
        <v>4</v>
      </c>
      <c r="H1084">
        <v>16</v>
      </c>
      <c r="I1084">
        <v>49500</v>
      </c>
      <c r="J1084" t="s">
        <v>280</v>
      </c>
    </row>
    <row r="1085" spans="2:10" x14ac:dyDescent="0.3">
      <c r="B1085" t="s">
        <v>482</v>
      </c>
      <c r="C1085">
        <v>2017</v>
      </c>
      <c r="D1085" t="s">
        <v>51</v>
      </c>
      <c r="E1085" t="s">
        <v>52</v>
      </c>
      <c r="F1085" t="s">
        <v>306</v>
      </c>
      <c r="G1085">
        <v>4</v>
      </c>
      <c r="H1085">
        <v>17</v>
      </c>
      <c r="I1085">
        <v>49500</v>
      </c>
      <c r="J1085" t="s">
        <v>280</v>
      </c>
    </row>
    <row r="1086" spans="2:10" x14ac:dyDescent="0.3">
      <c r="B1086" t="s">
        <v>482</v>
      </c>
      <c r="C1086">
        <v>2017</v>
      </c>
      <c r="D1086" t="s">
        <v>51</v>
      </c>
      <c r="E1086" t="s">
        <v>52</v>
      </c>
      <c r="F1086" t="s">
        <v>306</v>
      </c>
      <c r="G1086">
        <v>4</v>
      </c>
      <c r="H1086">
        <v>18</v>
      </c>
      <c r="I1086">
        <v>49500</v>
      </c>
      <c r="J1086" t="s">
        <v>280</v>
      </c>
    </row>
    <row r="1087" spans="2:10" x14ac:dyDescent="0.3">
      <c r="B1087" t="s">
        <v>482</v>
      </c>
      <c r="C1087">
        <v>2017</v>
      </c>
      <c r="D1087" t="s">
        <v>51</v>
      </c>
      <c r="E1087" t="s">
        <v>52</v>
      </c>
      <c r="F1087" t="s">
        <v>306</v>
      </c>
      <c r="G1087">
        <v>4</v>
      </c>
      <c r="H1087">
        <v>19</v>
      </c>
      <c r="I1087">
        <v>49500</v>
      </c>
      <c r="J1087" t="s">
        <v>280</v>
      </c>
    </row>
    <row r="1088" spans="2:10" x14ac:dyDescent="0.3">
      <c r="B1088" t="s">
        <v>482</v>
      </c>
      <c r="C1088">
        <v>2017</v>
      </c>
      <c r="D1088" t="s">
        <v>51</v>
      </c>
      <c r="E1088" t="s">
        <v>52</v>
      </c>
      <c r="F1088" t="s">
        <v>306</v>
      </c>
      <c r="G1088">
        <v>4</v>
      </c>
      <c r="H1088">
        <v>20</v>
      </c>
      <c r="I1088">
        <v>49500</v>
      </c>
      <c r="J1088" t="s">
        <v>280</v>
      </c>
    </row>
    <row r="1089" spans="2:10" x14ac:dyDescent="0.3">
      <c r="B1089" t="s">
        <v>483</v>
      </c>
      <c r="C1089">
        <v>2017</v>
      </c>
      <c r="D1089" t="s">
        <v>51</v>
      </c>
      <c r="E1089" t="s">
        <v>66</v>
      </c>
      <c r="F1089" t="s">
        <v>308</v>
      </c>
      <c r="G1089">
        <v>3</v>
      </c>
      <c r="H1089">
        <v>1</v>
      </c>
      <c r="I1089">
        <v>29500</v>
      </c>
      <c r="J1089" t="s">
        <v>255</v>
      </c>
    </row>
    <row r="1090" spans="2:10" x14ac:dyDescent="0.3">
      <c r="B1090" t="s">
        <v>483</v>
      </c>
      <c r="C1090">
        <v>2017</v>
      </c>
      <c r="D1090" t="s">
        <v>51</v>
      </c>
      <c r="E1090" t="s">
        <v>66</v>
      </c>
      <c r="F1090" t="s">
        <v>308</v>
      </c>
      <c r="G1090">
        <v>4</v>
      </c>
      <c r="H1090">
        <v>2</v>
      </c>
      <c r="I1090">
        <v>29500</v>
      </c>
      <c r="J1090" t="s">
        <v>255</v>
      </c>
    </row>
    <row r="1091" spans="2:10" x14ac:dyDescent="0.3">
      <c r="B1091" t="s">
        <v>483</v>
      </c>
      <c r="C1091">
        <v>2017</v>
      </c>
      <c r="D1091" t="s">
        <v>51</v>
      </c>
      <c r="E1091" t="s">
        <v>66</v>
      </c>
      <c r="F1091" t="s">
        <v>308</v>
      </c>
      <c r="G1091">
        <v>5</v>
      </c>
      <c r="H1091">
        <v>3</v>
      </c>
      <c r="I1091">
        <v>38500</v>
      </c>
      <c r="J1091" t="s">
        <v>255</v>
      </c>
    </row>
    <row r="1092" spans="2:10" x14ac:dyDescent="0.3">
      <c r="B1092" t="s">
        <v>483</v>
      </c>
      <c r="C1092">
        <v>2017</v>
      </c>
      <c r="D1092" t="s">
        <v>51</v>
      </c>
      <c r="E1092" t="s">
        <v>66</v>
      </c>
      <c r="F1092" t="s">
        <v>308</v>
      </c>
      <c r="G1092">
        <v>6</v>
      </c>
      <c r="H1092">
        <v>4</v>
      </c>
      <c r="I1092">
        <v>38500</v>
      </c>
      <c r="J1092" t="s">
        <v>255</v>
      </c>
    </row>
    <row r="1093" spans="2:10" x14ac:dyDescent="0.3">
      <c r="B1093" t="s">
        <v>483</v>
      </c>
      <c r="C1093">
        <v>2017</v>
      </c>
      <c r="D1093" t="s">
        <v>51</v>
      </c>
      <c r="E1093" t="s">
        <v>66</v>
      </c>
      <c r="F1093" t="s">
        <v>308</v>
      </c>
      <c r="G1093">
        <v>7</v>
      </c>
      <c r="H1093">
        <v>5</v>
      </c>
      <c r="I1093">
        <v>38500</v>
      </c>
      <c r="J1093" t="s">
        <v>255</v>
      </c>
    </row>
    <row r="1094" spans="2:10" x14ac:dyDescent="0.3">
      <c r="B1094" t="s">
        <v>483</v>
      </c>
      <c r="C1094">
        <v>2017</v>
      </c>
      <c r="D1094" t="s">
        <v>51</v>
      </c>
      <c r="E1094" t="s">
        <v>66</v>
      </c>
      <c r="F1094" t="s">
        <v>308</v>
      </c>
      <c r="G1094">
        <v>8</v>
      </c>
      <c r="H1094">
        <v>6</v>
      </c>
      <c r="I1094">
        <v>59000</v>
      </c>
      <c r="J1094" t="s">
        <v>255</v>
      </c>
    </row>
    <row r="1095" spans="2:10" x14ac:dyDescent="0.3">
      <c r="B1095" t="s">
        <v>483</v>
      </c>
      <c r="C1095">
        <v>2017</v>
      </c>
      <c r="D1095" t="s">
        <v>51</v>
      </c>
      <c r="E1095" t="s">
        <v>66</v>
      </c>
      <c r="F1095" t="s">
        <v>308</v>
      </c>
      <c r="G1095">
        <v>9</v>
      </c>
      <c r="H1095">
        <v>7</v>
      </c>
      <c r="I1095">
        <v>59000</v>
      </c>
      <c r="J1095" t="s">
        <v>255</v>
      </c>
    </row>
    <row r="1096" spans="2:10" x14ac:dyDescent="0.3">
      <c r="B1096" t="s">
        <v>483</v>
      </c>
      <c r="C1096">
        <v>2017</v>
      </c>
      <c r="D1096" t="s">
        <v>51</v>
      </c>
      <c r="E1096" t="s">
        <v>66</v>
      </c>
      <c r="F1096" t="s">
        <v>308</v>
      </c>
      <c r="G1096">
        <v>10</v>
      </c>
      <c r="H1096">
        <v>8</v>
      </c>
      <c r="I1096">
        <v>59000</v>
      </c>
      <c r="J1096" t="s">
        <v>255</v>
      </c>
    </row>
    <row r="1097" spans="2:10" x14ac:dyDescent="0.3">
      <c r="B1097" t="s">
        <v>483</v>
      </c>
      <c r="C1097">
        <v>2017</v>
      </c>
      <c r="D1097" t="s">
        <v>51</v>
      </c>
      <c r="E1097" t="s">
        <v>66</v>
      </c>
      <c r="F1097" t="s">
        <v>308</v>
      </c>
      <c r="G1097">
        <v>11</v>
      </c>
      <c r="H1097">
        <v>9</v>
      </c>
      <c r="I1097">
        <v>59000</v>
      </c>
      <c r="J1097" t="s">
        <v>255</v>
      </c>
    </row>
    <row r="1098" spans="2:10" x14ac:dyDescent="0.3">
      <c r="B1098" t="s">
        <v>483</v>
      </c>
      <c r="C1098">
        <v>2017</v>
      </c>
      <c r="D1098" t="s">
        <v>51</v>
      </c>
      <c r="E1098" t="s">
        <v>66</v>
      </c>
      <c r="F1098" t="s">
        <v>308</v>
      </c>
      <c r="G1098">
        <v>12</v>
      </c>
      <c r="H1098">
        <v>10</v>
      </c>
      <c r="I1098">
        <v>59000</v>
      </c>
      <c r="J1098" t="s">
        <v>255</v>
      </c>
    </row>
    <row r="1099" spans="2:10" x14ac:dyDescent="0.3">
      <c r="B1099" t="s">
        <v>483</v>
      </c>
      <c r="C1099">
        <v>2017</v>
      </c>
      <c r="D1099" t="s">
        <v>51</v>
      </c>
      <c r="E1099" t="s">
        <v>66</v>
      </c>
      <c r="F1099" t="s">
        <v>308</v>
      </c>
      <c r="G1099">
        <v>13</v>
      </c>
      <c r="H1099">
        <v>11</v>
      </c>
      <c r="I1099">
        <v>63500</v>
      </c>
      <c r="J1099" t="s">
        <v>255</v>
      </c>
    </row>
    <row r="1100" spans="2:10" x14ac:dyDescent="0.3">
      <c r="B1100" t="s">
        <v>483</v>
      </c>
      <c r="C1100">
        <v>2017</v>
      </c>
      <c r="D1100" t="s">
        <v>51</v>
      </c>
      <c r="E1100" t="s">
        <v>66</v>
      </c>
      <c r="F1100" t="s">
        <v>308</v>
      </c>
      <c r="G1100">
        <v>14</v>
      </c>
      <c r="H1100">
        <v>12</v>
      </c>
      <c r="I1100">
        <v>63500</v>
      </c>
      <c r="J1100" t="s">
        <v>255</v>
      </c>
    </row>
    <row r="1101" spans="2:10" x14ac:dyDescent="0.3">
      <c r="B1101" t="s">
        <v>483</v>
      </c>
      <c r="C1101">
        <v>2017</v>
      </c>
      <c r="D1101" t="s">
        <v>51</v>
      </c>
      <c r="E1101" t="s">
        <v>66</v>
      </c>
      <c r="F1101" t="s">
        <v>308</v>
      </c>
      <c r="G1101">
        <v>15</v>
      </c>
      <c r="H1101">
        <v>13</v>
      </c>
      <c r="I1101">
        <v>63500</v>
      </c>
      <c r="J1101" t="s">
        <v>255</v>
      </c>
    </row>
    <row r="1102" spans="2:10" x14ac:dyDescent="0.3">
      <c r="B1102" t="s">
        <v>483</v>
      </c>
      <c r="C1102">
        <v>2017</v>
      </c>
      <c r="D1102" t="s">
        <v>51</v>
      </c>
      <c r="E1102" t="s">
        <v>66</v>
      </c>
      <c r="F1102" t="s">
        <v>308</v>
      </c>
      <c r="G1102">
        <v>16</v>
      </c>
      <c r="H1102">
        <v>14</v>
      </c>
      <c r="I1102">
        <v>63500</v>
      </c>
      <c r="J1102" t="s">
        <v>255</v>
      </c>
    </row>
    <row r="1103" spans="2:10" x14ac:dyDescent="0.3">
      <c r="B1103" t="s">
        <v>483</v>
      </c>
      <c r="C1103">
        <v>2017</v>
      </c>
      <c r="D1103" t="s">
        <v>51</v>
      </c>
      <c r="E1103" t="s">
        <v>66</v>
      </c>
      <c r="F1103" t="s">
        <v>308</v>
      </c>
      <c r="G1103">
        <v>17</v>
      </c>
      <c r="H1103">
        <v>15</v>
      </c>
      <c r="I1103">
        <v>63500</v>
      </c>
      <c r="J1103" t="s">
        <v>255</v>
      </c>
    </row>
    <row r="1104" spans="2:10" x14ac:dyDescent="0.3">
      <c r="B1104" t="s">
        <v>483</v>
      </c>
      <c r="C1104">
        <v>2017</v>
      </c>
      <c r="D1104" t="s">
        <v>51</v>
      </c>
      <c r="E1104" t="s">
        <v>66</v>
      </c>
      <c r="F1104" t="s">
        <v>308</v>
      </c>
      <c r="G1104">
        <v>18</v>
      </c>
      <c r="H1104">
        <v>16</v>
      </c>
      <c r="I1104">
        <v>68000</v>
      </c>
      <c r="J1104" t="s">
        <v>255</v>
      </c>
    </row>
    <row r="1105" spans="2:10" x14ac:dyDescent="0.3">
      <c r="B1105" t="s">
        <v>483</v>
      </c>
      <c r="C1105">
        <v>2017</v>
      </c>
      <c r="D1105" t="s">
        <v>51</v>
      </c>
      <c r="E1105" t="s">
        <v>66</v>
      </c>
      <c r="F1105" t="s">
        <v>308</v>
      </c>
      <c r="G1105">
        <v>19</v>
      </c>
      <c r="H1105">
        <v>17</v>
      </c>
      <c r="I1105">
        <v>68000</v>
      </c>
      <c r="J1105" t="s">
        <v>255</v>
      </c>
    </row>
    <row r="1106" spans="2:10" x14ac:dyDescent="0.3">
      <c r="B1106" t="s">
        <v>483</v>
      </c>
      <c r="C1106">
        <v>2017</v>
      </c>
      <c r="D1106" t="s">
        <v>51</v>
      </c>
      <c r="E1106" t="s">
        <v>66</v>
      </c>
      <c r="F1106" t="s">
        <v>308</v>
      </c>
      <c r="G1106">
        <v>20</v>
      </c>
      <c r="H1106">
        <v>18</v>
      </c>
      <c r="I1106">
        <v>68000</v>
      </c>
      <c r="J1106" t="s">
        <v>255</v>
      </c>
    </row>
    <row r="1107" spans="2:10" x14ac:dyDescent="0.3">
      <c r="B1107" t="s">
        <v>483</v>
      </c>
      <c r="C1107">
        <v>2017</v>
      </c>
      <c r="D1107" t="s">
        <v>51</v>
      </c>
      <c r="E1107" t="s">
        <v>66</v>
      </c>
      <c r="F1107" t="s">
        <v>308</v>
      </c>
      <c r="G1107">
        <v>21</v>
      </c>
      <c r="H1107">
        <v>19</v>
      </c>
      <c r="I1107">
        <v>68000</v>
      </c>
      <c r="J1107" t="s">
        <v>255</v>
      </c>
    </row>
    <row r="1108" spans="2:10" x14ac:dyDescent="0.3">
      <c r="B1108" t="s">
        <v>483</v>
      </c>
      <c r="C1108">
        <v>2017</v>
      </c>
      <c r="D1108" t="s">
        <v>51</v>
      </c>
      <c r="E1108" t="s">
        <v>66</v>
      </c>
      <c r="F1108" t="s">
        <v>308</v>
      </c>
      <c r="G1108">
        <v>22</v>
      </c>
      <c r="H1108">
        <v>20</v>
      </c>
      <c r="I1108">
        <v>68000</v>
      </c>
      <c r="J1108" t="s">
        <v>255</v>
      </c>
    </row>
    <row r="1109" spans="2:10" x14ac:dyDescent="0.3">
      <c r="B1109" t="s">
        <v>484</v>
      </c>
      <c r="C1109">
        <v>2017</v>
      </c>
      <c r="D1109" t="s">
        <v>51</v>
      </c>
      <c r="E1109" t="s">
        <v>273</v>
      </c>
      <c r="F1109" t="s">
        <v>308</v>
      </c>
      <c r="G1109">
        <v>1</v>
      </c>
      <c r="H1109">
        <v>3</v>
      </c>
      <c r="I1109">
        <v>44500</v>
      </c>
      <c r="J1109" t="s">
        <v>255</v>
      </c>
    </row>
    <row r="1110" spans="2:10" x14ac:dyDescent="0.3">
      <c r="B1110" t="s">
        <v>484</v>
      </c>
      <c r="C1110">
        <v>2017</v>
      </c>
      <c r="D1110" t="s">
        <v>51</v>
      </c>
      <c r="E1110" t="s">
        <v>273</v>
      </c>
      <c r="F1110" t="s">
        <v>308</v>
      </c>
      <c r="G1110">
        <v>1</v>
      </c>
      <c r="H1110">
        <v>4</v>
      </c>
      <c r="I1110">
        <v>44500</v>
      </c>
      <c r="J1110" t="s">
        <v>255</v>
      </c>
    </row>
    <row r="1111" spans="2:10" x14ac:dyDescent="0.3">
      <c r="B1111" t="s">
        <v>484</v>
      </c>
      <c r="C1111">
        <v>2017</v>
      </c>
      <c r="D1111" t="s">
        <v>51</v>
      </c>
      <c r="E1111" t="s">
        <v>273</v>
      </c>
      <c r="F1111" t="s">
        <v>308</v>
      </c>
      <c r="G1111">
        <v>1</v>
      </c>
      <c r="H1111">
        <v>5</v>
      </c>
      <c r="I1111">
        <v>44500</v>
      </c>
      <c r="J1111" t="s">
        <v>255</v>
      </c>
    </row>
    <row r="1112" spans="2:10" x14ac:dyDescent="0.3">
      <c r="B1112" t="s">
        <v>484</v>
      </c>
      <c r="C1112">
        <v>2017</v>
      </c>
      <c r="D1112" t="s">
        <v>51</v>
      </c>
      <c r="E1112" t="s">
        <v>273</v>
      </c>
      <c r="F1112" t="s">
        <v>308</v>
      </c>
      <c r="G1112">
        <v>1</v>
      </c>
      <c r="H1112">
        <v>6</v>
      </c>
      <c r="I1112">
        <v>49000</v>
      </c>
      <c r="J1112" t="s">
        <v>255</v>
      </c>
    </row>
    <row r="1113" spans="2:10" x14ac:dyDescent="0.3">
      <c r="B1113" t="s">
        <v>484</v>
      </c>
      <c r="C1113">
        <v>2017</v>
      </c>
      <c r="D1113" t="s">
        <v>51</v>
      </c>
      <c r="E1113" t="s">
        <v>273</v>
      </c>
      <c r="F1113" t="s">
        <v>308</v>
      </c>
      <c r="G1113">
        <v>1</v>
      </c>
      <c r="H1113">
        <v>7</v>
      </c>
      <c r="I1113">
        <v>49000</v>
      </c>
      <c r="J1113" t="s">
        <v>255</v>
      </c>
    </row>
    <row r="1114" spans="2:10" x14ac:dyDescent="0.3">
      <c r="B1114" t="s">
        <v>484</v>
      </c>
      <c r="C1114">
        <v>2017</v>
      </c>
      <c r="D1114" t="s">
        <v>51</v>
      </c>
      <c r="E1114" t="s">
        <v>273</v>
      </c>
      <c r="F1114" t="s">
        <v>308</v>
      </c>
      <c r="G1114">
        <v>1</v>
      </c>
      <c r="H1114">
        <v>8</v>
      </c>
      <c r="I1114">
        <v>49000</v>
      </c>
      <c r="J1114" t="s">
        <v>255</v>
      </c>
    </row>
    <row r="1115" spans="2:10" x14ac:dyDescent="0.3">
      <c r="B1115" t="s">
        <v>484</v>
      </c>
      <c r="C1115">
        <v>2017</v>
      </c>
      <c r="D1115" t="s">
        <v>51</v>
      </c>
      <c r="E1115" t="s">
        <v>273</v>
      </c>
      <c r="F1115" t="s">
        <v>308</v>
      </c>
      <c r="G1115">
        <v>1</v>
      </c>
      <c r="H1115">
        <v>9</v>
      </c>
      <c r="I1115">
        <v>49000</v>
      </c>
      <c r="J1115" t="s">
        <v>255</v>
      </c>
    </row>
    <row r="1116" spans="2:10" x14ac:dyDescent="0.3">
      <c r="B1116" t="s">
        <v>484</v>
      </c>
      <c r="C1116">
        <v>2017</v>
      </c>
      <c r="D1116" t="s">
        <v>51</v>
      </c>
      <c r="E1116" t="s">
        <v>273</v>
      </c>
      <c r="F1116" t="s">
        <v>308</v>
      </c>
      <c r="G1116">
        <v>1</v>
      </c>
      <c r="H1116">
        <v>10</v>
      </c>
      <c r="I1116">
        <v>49000</v>
      </c>
      <c r="J1116" t="s">
        <v>255</v>
      </c>
    </row>
    <row r="1117" spans="2:10" x14ac:dyDescent="0.3">
      <c r="B1117" t="s">
        <v>484</v>
      </c>
      <c r="C1117">
        <v>2017</v>
      </c>
      <c r="D1117" t="s">
        <v>51</v>
      </c>
      <c r="E1117" t="s">
        <v>273</v>
      </c>
      <c r="F1117" t="s">
        <v>308</v>
      </c>
      <c r="G1117">
        <v>1</v>
      </c>
      <c r="H1117">
        <v>11</v>
      </c>
      <c r="I1117">
        <v>53000</v>
      </c>
      <c r="J1117" t="s">
        <v>255</v>
      </c>
    </row>
    <row r="1118" spans="2:10" x14ac:dyDescent="0.3">
      <c r="B1118" t="s">
        <v>484</v>
      </c>
      <c r="C1118">
        <v>2017</v>
      </c>
      <c r="D1118" t="s">
        <v>51</v>
      </c>
      <c r="E1118" t="s">
        <v>273</v>
      </c>
      <c r="F1118" t="s">
        <v>308</v>
      </c>
      <c r="G1118">
        <v>1</v>
      </c>
      <c r="H1118">
        <v>12</v>
      </c>
      <c r="I1118">
        <v>53000</v>
      </c>
      <c r="J1118" t="s">
        <v>255</v>
      </c>
    </row>
    <row r="1119" spans="2:10" x14ac:dyDescent="0.3">
      <c r="B1119" t="s">
        <v>484</v>
      </c>
      <c r="C1119">
        <v>2017</v>
      </c>
      <c r="D1119" t="s">
        <v>51</v>
      </c>
      <c r="E1119" t="s">
        <v>273</v>
      </c>
      <c r="F1119" t="s">
        <v>308</v>
      </c>
      <c r="G1119">
        <v>1</v>
      </c>
      <c r="H1119">
        <v>13</v>
      </c>
      <c r="I1119">
        <v>53000</v>
      </c>
      <c r="J1119" t="s">
        <v>255</v>
      </c>
    </row>
    <row r="1120" spans="2:10" x14ac:dyDescent="0.3">
      <c r="B1120" t="s">
        <v>484</v>
      </c>
      <c r="C1120">
        <v>2017</v>
      </c>
      <c r="D1120" t="s">
        <v>51</v>
      </c>
      <c r="E1120" t="s">
        <v>273</v>
      </c>
      <c r="F1120" t="s">
        <v>308</v>
      </c>
      <c r="G1120">
        <v>1</v>
      </c>
      <c r="H1120">
        <v>14</v>
      </c>
      <c r="I1120">
        <v>53000</v>
      </c>
      <c r="J1120" t="s">
        <v>255</v>
      </c>
    </row>
    <row r="1121" spans="2:10" x14ac:dyDescent="0.3">
      <c r="B1121" t="s">
        <v>484</v>
      </c>
      <c r="C1121">
        <v>2017</v>
      </c>
      <c r="D1121" t="s">
        <v>51</v>
      </c>
      <c r="E1121" t="s">
        <v>273</v>
      </c>
      <c r="F1121" t="s">
        <v>308</v>
      </c>
      <c r="G1121">
        <v>1</v>
      </c>
      <c r="H1121">
        <v>15</v>
      </c>
      <c r="I1121">
        <v>53000</v>
      </c>
      <c r="J1121" t="s">
        <v>255</v>
      </c>
    </row>
    <row r="1122" spans="2:10" x14ac:dyDescent="0.3">
      <c r="B1122" t="s">
        <v>484</v>
      </c>
      <c r="C1122">
        <v>2017</v>
      </c>
      <c r="D1122" t="s">
        <v>51</v>
      </c>
      <c r="E1122" t="s">
        <v>273</v>
      </c>
      <c r="F1122" t="s">
        <v>308</v>
      </c>
      <c r="G1122">
        <v>1</v>
      </c>
      <c r="H1122">
        <v>16</v>
      </c>
      <c r="I1122">
        <v>57000</v>
      </c>
      <c r="J1122" t="s">
        <v>255</v>
      </c>
    </row>
    <row r="1123" spans="2:10" x14ac:dyDescent="0.3">
      <c r="B1123" t="s">
        <v>484</v>
      </c>
      <c r="C1123">
        <v>2017</v>
      </c>
      <c r="D1123" t="s">
        <v>51</v>
      </c>
      <c r="E1123" t="s">
        <v>273</v>
      </c>
      <c r="F1123" t="s">
        <v>308</v>
      </c>
      <c r="G1123">
        <v>1</v>
      </c>
      <c r="H1123">
        <v>17</v>
      </c>
      <c r="I1123">
        <v>57000</v>
      </c>
      <c r="J1123" t="s">
        <v>255</v>
      </c>
    </row>
    <row r="1124" spans="2:10" x14ac:dyDescent="0.3">
      <c r="B1124" t="s">
        <v>484</v>
      </c>
      <c r="C1124">
        <v>2017</v>
      </c>
      <c r="D1124" t="s">
        <v>51</v>
      </c>
      <c r="E1124" t="s">
        <v>273</v>
      </c>
      <c r="F1124" t="s">
        <v>308</v>
      </c>
      <c r="G1124">
        <v>1</v>
      </c>
      <c r="H1124">
        <v>18</v>
      </c>
      <c r="I1124">
        <v>57000</v>
      </c>
      <c r="J1124" t="s">
        <v>255</v>
      </c>
    </row>
    <row r="1125" spans="2:10" x14ac:dyDescent="0.3">
      <c r="B1125" t="s">
        <v>484</v>
      </c>
      <c r="C1125">
        <v>2017</v>
      </c>
      <c r="D1125" t="s">
        <v>51</v>
      </c>
      <c r="E1125" t="s">
        <v>273</v>
      </c>
      <c r="F1125" t="s">
        <v>308</v>
      </c>
      <c r="G1125">
        <v>1</v>
      </c>
      <c r="H1125">
        <v>19</v>
      </c>
      <c r="I1125">
        <v>57000</v>
      </c>
      <c r="J1125" t="s">
        <v>255</v>
      </c>
    </row>
    <row r="1126" spans="2:10" x14ac:dyDescent="0.3">
      <c r="B1126" t="s">
        <v>484</v>
      </c>
      <c r="C1126">
        <v>2017</v>
      </c>
      <c r="D1126" t="s">
        <v>51</v>
      </c>
      <c r="E1126" t="s">
        <v>273</v>
      </c>
      <c r="F1126" t="s">
        <v>308</v>
      </c>
      <c r="G1126">
        <v>1</v>
      </c>
      <c r="H1126">
        <v>20</v>
      </c>
      <c r="I1126">
        <v>57000</v>
      </c>
      <c r="J1126" t="s">
        <v>255</v>
      </c>
    </row>
    <row r="1127" spans="2:10" x14ac:dyDescent="0.3">
      <c r="B1127" t="s">
        <v>485</v>
      </c>
      <c r="C1127">
        <v>2017</v>
      </c>
      <c r="D1127" t="s">
        <v>51</v>
      </c>
      <c r="E1127" t="s">
        <v>486</v>
      </c>
      <c r="F1127" t="s">
        <v>308</v>
      </c>
      <c r="G1127">
        <v>1</v>
      </c>
      <c r="H1127">
        <v>1</v>
      </c>
      <c r="I1127">
        <v>28000</v>
      </c>
      <c r="J1127" t="s">
        <v>255</v>
      </c>
    </row>
    <row r="1128" spans="2:10" x14ac:dyDescent="0.3">
      <c r="B1128" t="s">
        <v>485</v>
      </c>
      <c r="C1128">
        <v>2017</v>
      </c>
      <c r="D1128" t="s">
        <v>51</v>
      </c>
      <c r="E1128" t="s">
        <v>486</v>
      </c>
      <c r="F1128" t="s">
        <v>308</v>
      </c>
      <c r="G1128">
        <v>1</v>
      </c>
      <c r="H1128">
        <v>2</v>
      </c>
      <c r="I1128">
        <v>28000</v>
      </c>
      <c r="J1128" t="s">
        <v>255</v>
      </c>
    </row>
    <row r="1129" spans="2:10" x14ac:dyDescent="0.3">
      <c r="B1129" t="s">
        <v>485</v>
      </c>
      <c r="C1129">
        <v>2017</v>
      </c>
      <c r="D1129" t="s">
        <v>51</v>
      </c>
      <c r="E1129" t="s">
        <v>486</v>
      </c>
      <c r="F1129" t="s">
        <v>308</v>
      </c>
      <c r="G1129">
        <v>1</v>
      </c>
      <c r="H1129">
        <v>3</v>
      </c>
      <c r="I1129">
        <v>44500</v>
      </c>
      <c r="J1129" t="s">
        <v>255</v>
      </c>
    </row>
    <row r="1130" spans="2:10" x14ac:dyDescent="0.3">
      <c r="B1130" t="s">
        <v>485</v>
      </c>
      <c r="C1130">
        <v>2017</v>
      </c>
      <c r="D1130" t="s">
        <v>51</v>
      </c>
      <c r="E1130" t="s">
        <v>486</v>
      </c>
      <c r="F1130" t="s">
        <v>308</v>
      </c>
      <c r="G1130">
        <v>1</v>
      </c>
      <c r="H1130">
        <v>4</v>
      </c>
      <c r="I1130">
        <v>44500</v>
      </c>
      <c r="J1130" t="s">
        <v>255</v>
      </c>
    </row>
    <row r="1131" spans="2:10" x14ac:dyDescent="0.3">
      <c r="B1131" t="s">
        <v>485</v>
      </c>
      <c r="C1131">
        <v>2017</v>
      </c>
      <c r="D1131" t="s">
        <v>51</v>
      </c>
      <c r="E1131" t="s">
        <v>486</v>
      </c>
      <c r="F1131" t="s">
        <v>308</v>
      </c>
      <c r="G1131">
        <v>1</v>
      </c>
      <c r="H1131">
        <v>5</v>
      </c>
      <c r="I1131">
        <v>44500</v>
      </c>
      <c r="J1131" t="s">
        <v>255</v>
      </c>
    </row>
    <row r="1132" spans="2:10" x14ac:dyDescent="0.3">
      <c r="B1132" t="s">
        <v>485</v>
      </c>
      <c r="C1132">
        <v>2017</v>
      </c>
      <c r="D1132" t="s">
        <v>51</v>
      </c>
      <c r="E1132" t="s">
        <v>486</v>
      </c>
      <c r="F1132" t="s">
        <v>308</v>
      </c>
      <c r="G1132">
        <v>1</v>
      </c>
      <c r="H1132">
        <v>6</v>
      </c>
      <c r="I1132">
        <v>49000</v>
      </c>
      <c r="J1132" t="s">
        <v>255</v>
      </c>
    </row>
    <row r="1133" spans="2:10" x14ac:dyDescent="0.3">
      <c r="B1133" t="s">
        <v>485</v>
      </c>
      <c r="C1133">
        <v>2017</v>
      </c>
      <c r="D1133" t="s">
        <v>51</v>
      </c>
      <c r="E1133" t="s">
        <v>486</v>
      </c>
      <c r="F1133" t="s">
        <v>308</v>
      </c>
      <c r="G1133">
        <v>1</v>
      </c>
      <c r="H1133">
        <v>7</v>
      </c>
      <c r="I1133">
        <v>49000</v>
      </c>
      <c r="J1133" t="s">
        <v>255</v>
      </c>
    </row>
    <row r="1134" spans="2:10" x14ac:dyDescent="0.3">
      <c r="B1134" t="s">
        <v>485</v>
      </c>
      <c r="C1134">
        <v>2017</v>
      </c>
      <c r="D1134" t="s">
        <v>51</v>
      </c>
      <c r="E1134" t="s">
        <v>486</v>
      </c>
      <c r="F1134" t="s">
        <v>308</v>
      </c>
      <c r="G1134">
        <v>1</v>
      </c>
      <c r="H1134">
        <v>8</v>
      </c>
      <c r="I1134">
        <v>49000</v>
      </c>
      <c r="J1134" t="s">
        <v>255</v>
      </c>
    </row>
    <row r="1135" spans="2:10" x14ac:dyDescent="0.3">
      <c r="B1135" t="s">
        <v>485</v>
      </c>
      <c r="C1135">
        <v>2017</v>
      </c>
      <c r="D1135" t="s">
        <v>51</v>
      </c>
      <c r="E1135" t="s">
        <v>486</v>
      </c>
      <c r="F1135" t="s">
        <v>308</v>
      </c>
      <c r="G1135">
        <v>1</v>
      </c>
      <c r="H1135">
        <v>9</v>
      </c>
      <c r="I1135">
        <v>49000</v>
      </c>
      <c r="J1135" t="s">
        <v>255</v>
      </c>
    </row>
    <row r="1136" spans="2:10" x14ac:dyDescent="0.3">
      <c r="B1136" t="s">
        <v>485</v>
      </c>
      <c r="C1136">
        <v>2017</v>
      </c>
      <c r="D1136" t="s">
        <v>51</v>
      </c>
      <c r="E1136" t="s">
        <v>486</v>
      </c>
      <c r="F1136" t="s">
        <v>308</v>
      </c>
      <c r="G1136">
        <v>1</v>
      </c>
      <c r="H1136">
        <v>10</v>
      </c>
      <c r="I1136">
        <v>49000</v>
      </c>
      <c r="J1136" t="s">
        <v>255</v>
      </c>
    </row>
    <row r="1137" spans="2:10" x14ac:dyDescent="0.3">
      <c r="B1137" t="s">
        <v>485</v>
      </c>
      <c r="C1137">
        <v>2017</v>
      </c>
      <c r="D1137" t="s">
        <v>51</v>
      </c>
      <c r="E1137" t="s">
        <v>486</v>
      </c>
      <c r="F1137" t="s">
        <v>308</v>
      </c>
      <c r="G1137">
        <v>1</v>
      </c>
      <c r="H1137">
        <v>11</v>
      </c>
      <c r="I1137">
        <v>53000</v>
      </c>
      <c r="J1137" t="s">
        <v>255</v>
      </c>
    </row>
    <row r="1138" spans="2:10" x14ac:dyDescent="0.3">
      <c r="B1138" t="s">
        <v>485</v>
      </c>
      <c r="C1138">
        <v>2017</v>
      </c>
      <c r="D1138" t="s">
        <v>51</v>
      </c>
      <c r="E1138" t="s">
        <v>486</v>
      </c>
      <c r="F1138" t="s">
        <v>308</v>
      </c>
      <c r="G1138">
        <v>1</v>
      </c>
      <c r="H1138">
        <v>12</v>
      </c>
      <c r="I1138">
        <v>53000</v>
      </c>
      <c r="J1138" t="s">
        <v>255</v>
      </c>
    </row>
    <row r="1139" spans="2:10" x14ac:dyDescent="0.3">
      <c r="B1139" t="s">
        <v>485</v>
      </c>
      <c r="C1139">
        <v>2017</v>
      </c>
      <c r="D1139" t="s">
        <v>51</v>
      </c>
      <c r="E1139" t="s">
        <v>486</v>
      </c>
      <c r="F1139" t="s">
        <v>308</v>
      </c>
      <c r="G1139">
        <v>1</v>
      </c>
      <c r="H1139">
        <v>13</v>
      </c>
      <c r="I1139">
        <v>53000</v>
      </c>
      <c r="J1139" t="s">
        <v>255</v>
      </c>
    </row>
    <row r="1140" spans="2:10" x14ac:dyDescent="0.3">
      <c r="B1140" t="s">
        <v>485</v>
      </c>
      <c r="C1140">
        <v>2017</v>
      </c>
      <c r="D1140" t="s">
        <v>51</v>
      </c>
      <c r="E1140" t="s">
        <v>486</v>
      </c>
      <c r="F1140" t="s">
        <v>308</v>
      </c>
      <c r="G1140">
        <v>1</v>
      </c>
      <c r="H1140">
        <v>14</v>
      </c>
      <c r="I1140">
        <v>53000</v>
      </c>
      <c r="J1140" t="s">
        <v>255</v>
      </c>
    </row>
    <row r="1141" spans="2:10" x14ac:dyDescent="0.3">
      <c r="B1141" t="s">
        <v>485</v>
      </c>
      <c r="C1141">
        <v>2017</v>
      </c>
      <c r="D1141" t="s">
        <v>51</v>
      </c>
      <c r="E1141" t="s">
        <v>486</v>
      </c>
      <c r="F1141" t="s">
        <v>308</v>
      </c>
      <c r="G1141">
        <v>1</v>
      </c>
      <c r="H1141">
        <v>15</v>
      </c>
      <c r="I1141">
        <v>53000</v>
      </c>
      <c r="J1141" t="s">
        <v>255</v>
      </c>
    </row>
    <row r="1142" spans="2:10" x14ac:dyDescent="0.3">
      <c r="B1142" t="s">
        <v>485</v>
      </c>
      <c r="C1142">
        <v>2017</v>
      </c>
      <c r="D1142" t="s">
        <v>51</v>
      </c>
      <c r="E1142" t="s">
        <v>486</v>
      </c>
      <c r="F1142" t="s">
        <v>308</v>
      </c>
      <c r="G1142">
        <v>1</v>
      </c>
      <c r="H1142">
        <v>16</v>
      </c>
      <c r="I1142">
        <v>57000</v>
      </c>
      <c r="J1142" t="s">
        <v>255</v>
      </c>
    </row>
    <row r="1143" spans="2:10" x14ac:dyDescent="0.3">
      <c r="B1143" t="s">
        <v>485</v>
      </c>
      <c r="C1143">
        <v>2017</v>
      </c>
      <c r="D1143" t="s">
        <v>51</v>
      </c>
      <c r="E1143" t="s">
        <v>486</v>
      </c>
      <c r="F1143" t="s">
        <v>308</v>
      </c>
      <c r="G1143">
        <v>1</v>
      </c>
      <c r="H1143">
        <v>17</v>
      </c>
      <c r="I1143">
        <v>57000</v>
      </c>
      <c r="J1143" t="s">
        <v>255</v>
      </c>
    </row>
    <row r="1144" spans="2:10" x14ac:dyDescent="0.3">
      <c r="B1144" t="s">
        <v>485</v>
      </c>
      <c r="C1144">
        <v>2017</v>
      </c>
      <c r="D1144" t="s">
        <v>51</v>
      </c>
      <c r="E1144" t="s">
        <v>486</v>
      </c>
      <c r="F1144" t="s">
        <v>308</v>
      </c>
      <c r="G1144">
        <v>1</v>
      </c>
      <c r="H1144">
        <v>18</v>
      </c>
      <c r="I1144">
        <v>57000</v>
      </c>
      <c r="J1144" t="s">
        <v>255</v>
      </c>
    </row>
    <row r="1145" spans="2:10" x14ac:dyDescent="0.3">
      <c r="B1145" t="s">
        <v>485</v>
      </c>
      <c r="C1145">
        <v>2017</v>
      </c>
      <c r="D1145" t="s">
        <v>51</v>
      </c>
      <c r="E1145" t="s">
        <v>486</v>
      </c>
      <c r="F1145" t="s">
        <v>308</v>
      </c>
      <c r="G1145">
        <v>1</v>
      </c>
      <c r="H1145">
        <v>19</v>
      </c>
      <c r="I1145">
        <v>57000</v>
      </c>
      <c r="J1145" t="s">
        <v>255</v>
      </c>
    </row>
    <row r="1146" spans="2:10" x14ac:dyDescent="0.3">
      <c r="B1146" t="s">
        <v>485</v>
      </c>
      <c r="C1146">
        <v>2017</v>
      </c>
      <c r="D1146" t="s">
        <v>51</v>
      </c>
      <c r="E1146" t="s">
        <v>486</v>
      </c>
      <c r="F1146" t="s">
        <v>308</v>
      </c>
      <c r="G1146">
        <v>1</v>
      </c>
      <c r="H1146">
        <v>20</v>
      </c>
      <c r="I1146">
        <v>57000</v>
      </c>
      <c r="J1146" t="s">
        <v>255</v>
      </c>
    </row>
    <row r="1147" spans="2:10" x14ac:dyDescent="0.3">
      <c r="B1147" t="s">
        <v>487</v>
      </c>
      <c r="C1147">
        <v>2017</v>
      </c>
      <c r="D1147" t="s">
        <v>53</v>
      </c>
      <c r="E1147" t="s">
        <v>125</v>
      </c>
      <c r="F1147" t="s">
        <v>307</v>
      </c>
      <c r="G1147">
        <v>2</v>
      </c>
      <c r="H1147">
        <v>15</v>
      </c>
      <c r="I1147">
        <v>34400</v>
      </c>
      <c r="J1147" t="s">
        <v>255</v>
      </c>
    </row>
    <row r="1148" spans="2:10" x14ac:dyDescent="0.3">
      <c r="B1148" t="s">
        <v>487</v>
      </c>
      <c r="C1148">
        <v>2017</v>
      </c>
      <c r="D1148" t="s">
        <v>53</v>
      </c>
      <c r="E1148" t="s">
        <v>125</v>
      </c>
      <c r="F1148" t="s">
        <v>307</v>
      </c>
      <c r="G1148">
        <v>2</v>
      </c>
      <c r="H1148">
        <v>16</v>
      </c>
      <c r="I1148">
        <v>46400</v>
      </c>
      <c r="J1148" t="s">
        <v>255</v>
      </c>
    </row>
    <row r="1149" spans="2:10" x14ac:dyDescent="0.3">
      <c r="B1149" t="s">
        <v>487</v>
      </c>
      <c r="C1149">
        <v>2017</v>
      </c>
      <c r="D1149" t="s">
        <v>53</v>
      </c>
      <c r="E1149" t="s">
        <v>125</v>
      </c>
      <c r="F1149" t="s">
        <v>307</v>
      </c>
      <c r="G1149">
        <v>2</v>
      </c>
      <c r="H1149">
        <v>17</v>
      </c>
      <c r="I1149">
        <v>46400</v>
      </c>
      <c r="J1149" t="s">
        <v>255</v>
      </c>
    </row>
    <row r="1150" spans="2:10" x14ac:dyDescent="0.3">
      <c r="B1150" t="s">
        <v>487</v>
      </c>
      <c r="C1150">
        <v>2017</v>
      </c>
      <c r="D1150" t="s">
        <v>53</v>
      </c>
      <c r="E1150" t="s">
        <v>125</v>
      </c>
      <c r="F1150" t="s">
        <v>307</v>
      </c>
      <c r="G1150">
        <v>2</v>
      </c>
      <c r="H1150">
        <v>18</v>
      </c>
      <c r="I1150">
        <v>48400</v>
      </c>
      <c r="J1150" t="s">
        <v>255</v>
      </c>
    </row>
    <row r="1151" spans="2:10" x14ac:dyDescent="0.3">
      <c r="B1151" t="s">
        <v>487</v>
      </c>
      <c r="C1151">
        <v>2017</v>
      </c>
      <c r="D1151" t="s">
        <v>53</v>
      </c>
      <c r="E1151" t="s">
        <v>125</v>
      </c>
      <c r="F1151" t="s">
        <v>307</v>
      </c>
      <c r="G1151">
        <v>2</v>
      </c>
      <c r="H1151">
        <v>19</v>
      </c>
      <c r="I1151">
        <v>48400</v>
      </c>
      <c r="J1151" t="s">
        <v>255</v>
      </c>
    </row>
    <row r="1152" spans="2:10" x14ac:dyDescent="0.3">
      <c r="B1152" t="s">
        <v>487</v>
      </c>
      <c r="C1152">
        <v>2017</v>
      </c>
      <c r="D1152" t="s">
        <v>53</v>
      </c>
      <c r="E1152" t="s">
        <v>125</v>
      </c>
      <c r="F1152" t="s">
        <v>307</v>
      </c>
      <c r="G1152">
        <v>2</v>
      </c>
      <c r="H1152">
        <v>20</v>
      </c>
      <c r="I1152">
        <v>48400</v>
      </c>
      <c r="J1152" t="s">
        <v>255</v>
      </c>
    </row>
    <row r="1153" spans="2:10" x14ac:dyDescent="0.3">
      <c r="B1153" t="s">
        <v>488</v>
      </c>
      <c r="C1153">
        <v>2017</v>
      </c>
      <c r="D1153" t="s">
        <v>51</v>
      </c>
      <c r="E1153" t="s">
        <v>65</v>
      </c>
      <c r="F1153" t="s">
        <v>308</v>
      </c>
      <c r="G1153">
        <v>2</v>
      </c>
      <c r="H1153">
        <v>1</v>
      </c>
      <c r="I1153">
        <v>29000</v>
      </c>
      <c r="J1153" t="s">
        <v>255</v>
      </c>
    </row>
    <row r="1154" spans="2:10" x14ac:dyDescent="0.3">
      <c r="B1154" t="s">
        <v>488</v>
      </c>
      <c r="C1154">
        <v>2017</v>
      </c>
      <c r="D1154" t="s">
        <v>51</v>
      </c>
      <c r="E1154" t="s">
        <v>65</v>
      </c>
      <c r="F1154" t="s">
        <v>308</v>
      </c>
      <c r="G1154">
        <v>2</v>
      </c>
      <c r="H1154">
        <v>2</v>
      </c>
      <c r="I1154">
        <v>29000</v>
      </c>
      <c r="J1154" t="s">
        <v>255</v>
      </c>
    </row>
    <row r="1155" spans="2:10" x14ac:dyDescent="0.3">
      <c r="B1155" t="s">
        <v>488</v>
      </c>
      <c r="C1155">
        <v>2017</v>
      </c>
      <c r="D1155" t="s">
        <v>51</v>
      </c>
      <c r="E1155" t="s">
        <v>65</v>
      </c>
      <c r="F1155" t="s">
        <v>308</v>
      </c>
      <c r="G1155">
        <v>2</v>
      </c>
      <c r="H1155">
        <v>3</v>
      </c>
      <c r="I1155">
        <v>39000</v>
      </c>
      <c r="J1155" t="s">
        <v>255</v>
      </c>
    </row>
    <row r="1156" spans="2:10" x14ac:dyDescent="0.3">
      <c r="B1156" t="s">
        <v>488</v>
      </c>
      <c r="C1156">
        <v>2017</v>
      </c>
      <c r="D1156" t="s">
        <v>51</v>
      </c>
      <c r="E1156" t="s">
        <v>65</v>
      </c>
      <c r="F1156" t="s">
        <v>308</v>
      </c>
      <c r="G1156">
        <v>2</v>
      </c>
      <c r="H1156">
        <v>4</v>
      </c>
      <c r="I1156">
        <v>39000</v>
      </c>
      <c r="J1156" t="s">
        <v>255</v>
      </c>
    </row>
    <row r="1157" spans="2:10" x14ac:dyDescent="0.3">
      <c r="B1157" t="s">
        <v>488</v>
      </c>
      <c r="C1157">
        <v>2017</v>
      </c>
      <c r="D1157" t="s">
        <v>51</v>
      </c>
      <c r="E1157" t="s">
        <v>65</v>
      </c>
      <c r="F1157" t="s">
        <v>308</v>
      </c>
      <c r="G1157">
        <v>2</v>
      </c>
      <c r="H1157">
        <v>5</v>
      </c>
      <c r="I1157">
        <v>46500</v>
      </c>
      <c r="J1157" t="s">
        <v>255</v>
      </c>
    </row>
    <row r="1158" spans="2:10" x14ac:dyDescent="0.3">
      <c r="B1158" t="s">
        <v>488</v>
      </c>
      <c r="C1158">
        <v>2017</v>
      </c>
      <c r="D1158" t="s">
        <v>51</v>
      </c>
      <c r="E1158" t="s">
        <v>65</v>
      </c>
      <c r="F1158" t="s">
        <v>308</v>
      </c>
      <c r="G1158">
        <v>2</v>
      </c>
      <c r="H1158">
        <v>6</v>
      </c>
      <c r="I1158">
        <v>46500</v>
      </c>
      <c r="J1158" t="s">
        <v>255</v>
      </c>
    </row>
    <row r="1159" spans="2:10" x14ac:dyDescent="0.3">
      <c r="B1159" t="s">
        <v>488</v>
      </c>
      <c r="C1159">
        <v>2017</v>
      </c>
      <c r="D1159" t="s">
        <v>51</v>
      </c>
      <c r="E1159" t="s">
        <v>65</v>
      </c>
      <c r="F1159" t="s">
        <v>308</v>
      </c>
      <c r="G1159">
        <v>2</v>
      </c>
      <c r="H1159">
        <v>7</v>
      </c>
      <c r="I1159">
        <v>53500</v>
      </c>
      <c r="J1159" t="s">
        <v>255</v>
      </c>
    </row>
    <row r="1160" spans="2:10" x14ac:dyDescent="0.3">
      <c r="B1160" t="s">
        <v>488</v>
      </c>
      <c r="C1160">
        <v>2017</v>
      </c>
      <c r="D1160" t="s">
        <v>51</v>
      </c>
      <c r="E1160" t="s">
        <v>65</v>
      </c>
      <c r="F1160" t="s">
        <v>308</v>
      </c>
      <c r="G1160">
        <v>2</v>
      </c>
      <c r="H1160">
        <v>8</v>
      </c>
      <c r="I1160">
        <v>53500</v>
      </c>
      <c r="J1160" t="s">
        <v>255</v>
      </c>
    </row>
    <row r="1161" spans="2:10" x14ac:dyDescent="0.3">
      <c r="B1161" t="s">
        <v>488</v>
      </c>
      <c r="C1161">
        <v>2017</v>
      </c>
      <c r="D1161" t="s">
        <v>51</v>
      </c>
      <c r="E1161" t="s">
        <v>65</v>
      </c>
      <c r="F1161" t="s">
        <v>308</v>
      </c>
      <c r="G1161">
        <v>2</v>
      </c>
      <c r="H1161">
        <v>9</v>
      </c>
      <c r="I1161">
        <v>53500</v>
      </c>
      <c r="J1161" t="s">
        <v>255</v>
      </c>
    </row>
    <row r="1162" spans="2:10" x14ac:dyDescent="0.3">
      <c r="B1162" t="s">
        <v>488</v>
      </c>
      <c r="C1162">
        <v>2017</v>
      </c>
      <c r="D1162" t="s">
        <v>51</v>
      </c>
      <c r="E1162" t="s">
        <v>65</v>
      </c>
      <c r="F1162" t="s">
        <v>308</v>
      </c>
      <c r="G1162">
        <v>2</v>
      </c>
      <c r="H1162">
        <v>10</v>
      </c>
      <c r="I1162">
        <v>58500</v>
      </c>
      <c r="J1162" t="s">
        <v>255</v>
      </c>
    </row>
    <row r="1163" spans="2:10" x14ac:dyDescent="0.3">
      <c r="B1163" t="s">
        <v>488</v>
      </c>
      <c r="C1163">
        <v>2017</v>
      </c>
      <c r="D1163" t="s">
        <v>51</v>
      </c>
      <c r="E1163" t="s">
        <v>65</v>
      </c>
      <c r="F1163" t="s">
        <v>308</v>
      </c>
      <c r="G1163">
        <v>2</v>
      </c>
      <c r="H1163">
        <v>11</v>
      </c>
      <c r="I1163">
        <v>58500</v>
      </c>
      <c r="J1163" t="s">
        <v>255</v>
      </c>
    </row>
    <row r="1164" spans="2:10" x14ac:dyDescent="0.3">
      <c r="B1164" t="s">
        <v>488</v>
      </c>
      <c r="C1164">
        <v>2017</v>
      </c>
      <c r="D1164" t="s">
        <v>51</v>
      </c>
      <c r="E1164" t="s">
        <v>65</v>
      </c>
      <c r="F1164" t="s">
        <v>308</v>
      </c>
      <c r="G1164">
        <v>2</v>
      </c>
      <c r="H1164">
        <v>12</v>
      </c>
      <c r="I1164">
        <v>64500</v>
      </c>
      <c r="J1164" t="s">
        <v>255</v>
      </c>
    </row>
    <row r="1165" spans="2:10" x14ac:dyDescent="0.3">
      <c r="B1165" t="s">
        <v>488</v>
      </c>
      <c r="C1165">
        <v>2017</v>
      </c>
      <c r="D1165" t="s">
        <v>51</v>
      </c>
      <c r="E1165" t="s">
        <v>65</v>
      </c>
      <c r="F1165" t="s">
        <v>308</v>
      </c>
      <c r="G1165">
        <v>2</v>
      </c>
      <c r="H1165">
        <v>13</v>
      </c>
      <c r="I1165">
        <v>64500</v>
      </c>
      <c r="J1165" t="s">
        <v>255</v>
      </c>
    </row>
    <row r="1166" spans="2:10" x14ac:dyDescent="0.3">
      <c r="B1166" t="s">
        <v>488</v>
      </c>
      <c r="C1166">
        <v>2017</v>
      </c>
      <c r="D1166" t="s">
        <v>51</v>
      </c>
      <c r="E1166" t="s">
        <v>65</v>
      </c>
      <c r="F1166" t="s">
        <v>308</v>
      </c>
      <c r="G1166">
        <v>2</v>
      </c>
      <c r="H1166">
        <v>14</v>
      </c>
      <c r="I1166">
        <v>68500</v>
      </c>
      <c r="J1166" t="s">
        <v>255</v>
      </c>
    </row>
    <row r="1167" spans="2:10" x14ac:dyDescent="0.3">
      <c r="B1167" t="s">
        <v>488</v>
      </c>
      <c r="C1167">
        <v>2017</v>
      </c>
      <c r="D1167" t="s">
        <v>51</v>
      </c>
      <c r="E1167" t="s">
        <v>65</v>
      </c>
      <c r="F1167" t="s">
        <v>308</v>
      </c>
      <c r="G1167">
        <v>2</v>
      </c>
      <c r="H1167">
        <v>15</v>
      </c>
      <c r="I1167">
        <v>68500</v>
      </c>
      <c r="J1167" t="s">
        <v>255</v>
      </c>
    </row>
    <row r="1168" spans="2:10" x14ac:dyDescent="0.3">
      <c r="B1168" t="s">
        <v>488</v>
      </c>
      <c r="C1168">
        <v>2017</v>
      </c>
      <c r="D1168" t="s">
        <v>51</v>
      </c>
      <c r="E1168" t="s">
        <v>65</v>
      </c>
      <c r="F1168" t="s">
        <v>308</v>
      </c>
      <c r="G1168">
        <v>2</v>
      </c>
      <c r="H1168">
        <v>16</v>
      </c>
      <c r="I1168">
        <v>70000</v>
      </c>
      <c r="J1168" t="s">
        <v>255</v>
      </c>
    </row>
    <row r="1169" spans="2:10" x14ac:dyDescent="0.3">
      <c r="B1169" t="s">
        <v>488</v>
      </c>
      <c r="C1169">
        <v>2017</v>
      </c>
      <c r="D1169" t="s">
        <v>51</v>
      </c>
      <c r="E1169" t="s">
        <v>65</v>
      </c>
      <c r="F1169" t="s">
        <v>308</v>
      </c>
      <c r="G1169">
        <v>2</v>
      </c>
      <c r="H1169">
        <v>17</v>
      </c>
      <c r="I1169">
        <v>70000</v>
      </c>
      <c r="J1169" t="s">
        <v>255</v>
      </c>
    </row>
    <row r="1170" spans="2:10" x14ac:dyDescent="0.3">
      <c r="B1170" t="s">
        <v>488</v>
      </c>
      <c r="C1170">
        <v>2017</v>
      </c>
      <c r="D1170" t="s">
        <v>51</v>
      </c>
      <c r="E1170" t="s">
        <v>65</v>
      </c>
      <c r="F1170" t="s">
        <v>308</v>
      </c>
      <c r="G1170">
        <v>2</v>
      </c>
      <c r="H1170">
        <v>18</v>
      </c>
      <c r="I1170">
        <v>72000</v>
      </c>
      <c r="J1170" t="s">
        <v>255</v>
      </c>
    </row>
    <row r="1171" spans="2:10" x14ac:dyDescent="0.3">
      <c r="B1171" t="s">
        <v>488</v>
      </c>
      <c r="C1171">
        <v>2017</v>
      </c>
      <c r="D1171" t="s">
        <v>51</v>
      </c>
      <c r="E1171" t="s">
        <v>65</v>
      </c>
      <c r="F1171" t="s">
        <v>308</v>
      </c>
      <c r="G1171">
        <v>2</v>
      </c>
      <c r="H1171">
        <v>19</v>
      </c>
      <c r="I1171">
        <v>72000</v>
      </c>
      <c r="J1171" t="s">
        <v>255</v>
      </c>
    </row>
    <row r="1172" spans="2:10" x14ac:dyDescent="0.3">
      <c r="B1172" t="s">
        <v>488</v>
      </c>
      <c r="C1172">
        <v>2017</v>
      </c>
      <c r="D1172" t="s">
        <v>51</v>
      </c>
      <c r="E1172" t="s">
        <v>65</v>
      </c>
      <c r="F1172" t="s">
        <v>308</v>
      </c>
      <c r="G1172">
        <v>2</v>
      </c>
      <c r="H1172">
        <v>20</v>
      </c>
      <c r="I1172">
        <v>72000</v>
      </c>
      <c r="J1172" t="s">
        <v>255</v>
      </c>
    </row>
    <row r="1173" spans="2:10" x14ac:dyDescent="0.3">
      <c r="B1173" t="s">
        <v>489</v>
      </c>
      <c r="C1173">
        <v>2017</v>
      </c>
      <c r="D1173" t="s">
        <v>54</v>
      </c>
      <c r="E1173" t="s">
        <v>55</v>
      </c>
      <c r="F1173" t="s">
        <v>55</v>
      </c>
      <c r="G1173">
        <v>9</v>
      </c>
      <c r="H1173">
        <v>9</v>
      </c>
      <c r="I1173">
        <v>72650</v>
      </c>
      <c r="J1173" t="s">
        <v>280</v>
      </c>
    </row>
    <row r="1174" spans="2:10" x14ac:dyDescent="0.3">
      <c r="B1174" t="s">
        <v>489</v>
      </c>
      <c r="C1174">
        <v>2017</v>
      </c>
      <c r="D1174" t="s">
        <v>54</v>
      </c>
      <c r="E1174" t="s">
        <v>55</v>
      </c>
      <c r="F1174" t="s">
        <v>55</v>
      </c>
      <c r="G1174">
        <v>9</v>
      </c>
      <c r="H1174">
        <v>10</v>
      </c>
      <c r="I1174">
        <v>76650</v>
      </c>
      <c r="J1174" t="s">
        <v>280</v>
      </c>
    </row>
    <row r="1175" spans="2:10" x14ac:dyDescent="0.3">
      <c r="B1175" t="s">
        <v>489</v>
      </c>
      <c r="C1175">
        <v>2017</v>
      </c>
      <c r="D1175" t="s">
        <v>54</v>
      </c>
      <c r="E1175" t="s">
        <v>55</v>
      </c>
      <c r="F1175" t="s">
        <v>55</v>
      </c>
      <c r="G1175">
        <v>9</v>
      </c>
      <c r="H1175">
        <v>11</v>
      </c>
      <c r="I1175">
        <v>76650</v>
      </c>
      <c r="J1175" t="s">
        <v>280</v>
      </c>
    </row>
    <row r="1176" spans="2:10" x14ac:dyDescent="0.3">
      <c r="B1176" t="s">
        <v>489</v>
      </c>
      <c r="C1176">
        <v>2017</v>
      </c>
      <c r="D1176" t="s">
        <v>54</v>
      </c>
      <c r="E1176" t="s">
        <v>55</v>
      </c>
      <c r="F1176" t="s">
        <v>55</v>
      </c>
      <c r="G1176">
        <v>9</v>
      </c>
      <c r="H1176">
        <v>12</v>
      </c>
      <c r="I1176">
        <v>76650</v>
      </c>
      <c r="J1176" t="s">
        <v>280</v>
      </c>
    </row>
    <row r="1177" spans="2:10" x14ac:dyDescent="0.3">
      <c r="B1177" t="s">
        <v>489</v>
      </c>
      <c r="C1177">
        <v>2017</v>
      </c>
      <c r="D1177" t="s">
        <v>54</v>
      </c>
      <c r="E1177" t="s">
        <v>55</v>
      </c>
      <c r="F1177" t="s">
        <v>55</v>
      </c>
      <c r="G1177">
        <v>9</v>
      </c>
      <c r="H1177">
        <v>13</v>
      </c>
      <c r="I1177">
        <v>76650</v>
      </c>
      <c r="J1177" t="s">
        <v>280</v>
      </c>
    </row>
    <row r="1178" spans="2:10" x14ac:dyDescent="0.3">
      <c r="B1178" t="s">
        <v>489</v>
      </c>
      <c r="C1178">
        <v>2017</v>
      </c>
      <c r="D1178" t="s">
        <v>54</v>
      </c>
      <c r="E1178" t="s">
        <v>55</v>
      </c>
      <c r="F1178" t="s">
        <v>55</v>
      </c>
      <c r="G1178">
        <v>9</v>
      </c>
      <c r="H1178">
        <v>14</v>
      </c>
      <c r="I1178">
        <v>82650</v>
      </c>
      <c r="J1178" t="s">
        <v>280</v>
      </c>
    </row>
    <row r="1179" spans="2:10" x14ac:dyDescent="0.3">
      <c r="B1179" t="s">
        <v>489</v>
      </c>
      <c r="C1179">
        <v>2017</v>
      </c>
      <c r="D1179" t="s">
        <v>54</v>
      </c>
      <c r="E1179" t="s">
        <v>55</v>
      </c>
      <c r="F1179" t="s">
        <v>55</v>
      </c>
      <c r="G1179">
        <v>9</v>
      </c>
      <c r="H1179">
        <v>15</v>
      </c>
      <c r="I1179">
        <v>82650</v>
      </c>
      <c r="J1179" t="s">
        <v>280</v>
      </c>
    </row>
    <row r="1180" spans="2:10" x14ac:dyDescent="0.3">
      <c r="B1180" t="s">
        <v>489</v>
      </c>
      <c r="C1180">
        <v>2017</v>
      </c>
      <c r="D1180" t="s">
        <v>54</v>
      </c>
      <c r="E1180" t="s">
        <v>55</v>
      </c>
      <c r="F1180" t="s">
        <v>55</v>
      </c>
      <c r="G1180">
        <v>9</v>
      </c>
      <c r="H1180">
        <v>16</v>
      </c>
      <c r="I1180">
        <v>82650</v>
      </c>
      <c r="J1180" t="s">
        <v>280</v>
      </c>
    </row>
    <row r="1181" spans="2:10" x14ac:dyDescent="0.3">
      <c r="B1181" t="s">
        <v>489</v>
      </c>
      <c r="C1181">
        <v>2017</v>
      </c>
      <c r="D1181" t="s">
        <v>54</v>
      </c>
      <c r="E1181" t="s">
        <v>55</v>
      </c>
      <c r="F1181" t="s">
        <v>55</v>
      </c>
      <c r="G1181">
        <v>9</v>
      </c>
      <c r="H1181">
        <v>17</v>
      </c>
      <c r="I1181">
        <v>82650</v>
      </c>
      <c r="J1181" t="s">
        <v>280</v>
      </c>
    </row>
    <row r="1182" spans="2:10" x14ac:dyDescent="0.3">
      <c r="B1182" t="s">
        <v>489</v>
      </c>
      <c r="C1182">
        <v>2017</v>
      </c>
      <c r="D1182" t="s">
        <v>54</v>
      </c>
      <c r="E1182" t="s">
        <v>55</v>
      </c>
      <c r="F1182" t="s">
        <v>55</v>
      </c>
      <c r="G1182">
        <v>9</v>
      </c>
      <c r="H1182">
        <v>18</v>
      </c>
      <c r="I1182">
        <v>86650</v>
      </c>
      <c r="J1182" t="s">
        <v>280</v>
      </c>
    </row>
    <row r="1183" spans="2:10" x14ac:dyDescent="0.3">
      <c r="B1183" t="s">
        <v>489</v>
      </c>
      <c r="C1183">
        <v>2017</v>
      </c>
      <c r="D1183" t="s">
        <v>54</v>
      </c>
      <c r="E1183" t="s">
        <v>55</v>
      </c>
      <c r="F1183" t="s">
        <v>55</v>
      </c>
      <c r="G1183">
        <v>9</v>
      </c>
      <c r="H1183">
        <v>19</v>
      </c>
      <c r="I1183">
        <v>86650</v>
      </c>
      <c r="J1183" t="s">
        <v>280</v>
      </c>
    </row>
    <row r="1184" spans="2:10" x14ac:dyDescent="0.3">
      <c r="B1184" t="s">
        <v>489</v>
      </c>
      <c r="C1184">
        <v>2017</v>
      </c>
      <c r="D1184" t="s">
        <v>54</v>
      </c>
      <c r="E1184" t="s">
        <v>55</v>
      </c>
      <c r="F1184" t="s">
        <v>55</v>
      </c>
      <c r="G1184">
        <v>9</v>
      </c>
      <c r="H1184">
        <v>20</v>
      </c>
      <c r="I1184">
        <v>86650</v>
      </c>
      <c r="J1184" t="s">
        <v>280</v>
      </c>
    </row>
    <row r="1185" spans="2:10" x14ac:dyDescent="0.3">
      <c r="B1185" t="s">
        <v>490</v>
      </c>
      <c r="C1185">
        <v>2017</v>
      </c>
      <c r="D1185" t="s">
        <v>53</v>
      </c>
      <c r="E1185" t="s">
        <v>259</v>
      </c>
      <c r="F1185" t="s">
        <v>259</v>
      </c>
      <c r="G1185">
        <v>5</v>
      </c>
      <c r="H1185">
        <v>3</v>
      </c>
      <c r="I1185">
        <v>49500</v>
      </c>
      <c r="J1185" t="s">
        <v>255</v>
      </c>
    </row>
    <row r="1186" spans="2:10" x14ac:dyDescent="0.3">
      <c r="B1186" t="s">
        <v>490</v>
      </c>
      <c r="C1186">
        <v>2017</v>
      </c>
      <c r="D1186" t="s">
        <v>53</v>
      </c>
      <c r="E1186" t="s">
        <v>259</v>
      </c>
      <c r="F1186" t="s">
        <v>259</v>
      </c>
      <c r="G1186">
        <v>5</v>
      </c>
      <c r="H1186">
        <v>4</v>
      </c>
      <c r="I1186">
        <v>49500</v>
      </c>
      <c r="J1186" t="s">
        <v>255</v>
      </c>
    </row>
    <row r="1187" spans="2:10" x14ac:dyDescent="0.3">
      <c r="B1187" t="s">
        <v>490</v>
      </c>
      <c r="C1187">
        <v>2017</v>
      </c>
      <c r="D1187" t="s">
        <v>53</v>
      </c>
      <c r="E1187" t="s">
        <v>259</v>
      </c>
      <c r="F1187" t="s">
        <v>259</v>
      </c>
      <c r="G1187">
        <v>5</v>
      </c>
      <c r="H1187">
        <v>5</v>
      </c>
      <c r="I1187">
        <v>49500</v>
      </c>
      <c r="J1187" t="s">
        <v>255</v>
      </c>
    </row>
    <row r="1188" spans="2:10" x14ac:dyDescent="0.3">
      <c r="B1188" t="s">
        <v>490</v>
      </c>
      <c r="C1188">
        <v>2017</v>
      </c>
      <c r="D1188" t="s">
        <v>53</v>
      </c>
      <c r="E1188" t="s">
        <v>259</v>
      </c>
      <c r="F1188" t="s">
        <v>259</v>
      </c>
      <c r="G1188">
        <v>5</v>
      </c>
      <c r="H1188">
        <v>6</v>
      </c>
      <c r="I1188">
        <v>55000</v>
      </c>
      <c r="J1188" t="s">
        <v>255</v>
      </c>
    </row>
    <row r="1189" spans="2:10" x14ac:dyDescent="0.3">
      <c r="B1189" t="s">
        <v>490</v>
      </c>
      <c r="C1189">
        <v>2017</v>
      </c>
      <c r="D1189" t="s">
        <v>53</v>
      </c>
      <c r="E1189" t="s">
        <v>259</v>
      </c>
      <c r="F1189" t="s">
        <v>259</v>
      </c>
      <c r="G1189">
        <v>5</v>
      </c>
      <c r="H1189">
        <v>7</v>
      </c>
      <c r="I1189">
        <v>55000</v>
      </c>
      <c r="J1189" t="s">
        <v>255</v>
      </c>
    </row>
    <row r="1190" spans="2:10" x14ac:dyDescent="0.3">
      <c r="B1190" t="s">
        <v>490</v>
      </c>
      <c r="C1190">
        <v>2017</v>
      </c>
      <c r="D1190" t="s">
        <v>53</v>
      </c>
      <c r="E1190" t="s">
        <v>259</v>
      </c>
      <c r="F1190" t="s">
        <v>259</v>
      </c>
      <c r="G1190">
        <v>5</v>
      </c>
      <c r="H1190">
        <v>8</v>
      </c>
      <c r="I1190">
        <v>55000</v>
      </c>
      <c r="J1190" t="s">
        <v>255</v>
      </c>
    </row>
    <row r="1191" spans="2:10" x14ac:dyDescent="0.3">
      <c r="B1191" t="s">
        <v>490</v>
      </c>
      <c r="C1191">
        <v>2017</v>
      </c>
      <c r="D1191" t="s">
        <v>53</v>
      </c>
      <c r="E1191" t="s">
        <v>259</v>
      </c>
      <c r="F1191" t="s">
        <v>259</v>
      </c>
      <c r="G1191">
        <v>5</v>
      </c>
      <c r="H1191">
        <v>9</v>
      </c>
      <c r="I1191">
        <v>55000</v>
      </c>
      <c r="J1191" t="s">
        <v>255</v>
      </c>
    </row>
    <row r="1192" spans="2:10" x14ac:dyDescent="0.3">
      <c r="B1192" t="s">
        <v>490</v>
      </c>
      <c r="C1192">
        <v>2017</v>
      </c>
      <c r="D1192" t="s">
        <v>53</v>
      </c>
      <c r="E1192" t="s">
        <v>259</v>
      </c>
      <c r="F1192" t="s">
        <v>259</v>
      </c>
      <c r="G1192">
        <v>5</v>
      </c>
      <c r="H1192">
        <v>10</v>
      </c>
      <c r="I1192">
        <v>55000</v>
      </c>
      <c r="J1192" t="s">
        <v>255</v>
      </c>
    </row>
    <row r="1193" spans="2:10" x14ac:dyDescent="0.3">
      <c r="B1193" t="s">
        <v>490</v>
      </c>
      <c r="C1193">
        <v>2017</v>
      </c>
      <c r="D1193" t="s">
        <v>53</v>
      </c>
      <c r="E1193" t="s">
        <v>259</v>
      </c>
      <c r="F1193" t="s">
        <v>259</v>
      </c>
      <c r="G1193">
        <v>5</v>
      </c>
      <c r="H1193">
        <v>11</v>
      </c>
      <c r="I1193">
        <v>59500</v>
      </c>
      <c r="J1193" t="s">
        <v>255</v>
      </c>
    </row>
    <row r="1194" spans="2:10" x14ac:dyDescent="0.3">
      <c r="B1194" t="s">
        <v>490</v>
      </c>
      <c r="C1194">
        <v>2017</v>
      </c>
      <c r="D1194" t="s">
        <v>53</v>
      </c>
      <c r="E1194" t="s">
        <v>259</v>
      </c>
      <c r="F1194" t="s">
        <v>259</v>
      </c>
      <c r="G1194">
        <v>5</v>
      </c>
      <c r="H1194">
        <v>12</v>
      </c>
      <c r="I1194">
        <v>59500</v>
      </c>
      <c r="J1194" t="s">
        <v>255</v>
      </c>
    </row>
    <row r="1195" spans="2:10" x14ac:dyDescent="0.3">
      <c r="B1195" t="s">
        <v>490</v>
      </c>
      <c r="C1195">
        <v>2017</v>
      </c>
      <c r="D1195" t="s">
        <v>53</v>
      </c>
      <c r="E1195" t="s">
        <v>259</v>
      </c>
      <c r="F1195" t="s">
        <v>259</v>
      </c>
      <c r="G1195">
        <v>5</v>
      </c>
      <c r="H1195">
        <v>13</v>
      </c>
      <c r="I1195">
        <v>59500</v>
      </c>
      <c r="J1195" t="s">
        <v>255</v>
      </c>
    </row>
    <row r="1196" spans="2:10" x14ac:dyDescent="0.3">
      <c r="B1196" t="s">
        <v>490</v>
      </c>
      <c r="C1196">
        <v>2017</v>
      </c>
      <c r="D1196" t="s">
        <v>53</v>
      </c>
      <c r="E1196" t="s">
        <v>259</v>
      </c>
      <c r="F1196" t="s">
        <v>259</v>
      </c>
      <c r="G1196">
        <v>5</v>
      </c>
      <c r="H1196">
        <v>14</v>
      </c>
      <c r="I1196">
        <v>59500</v>
      </c>
      <c r="J1196" t="s">
        <v>255</v>
      </c>
    </row>
    <row r="1197" spans="2:10" x14ac:dyDescent="0.3">
      <c r="B1197" t="s">
        <v>490</v>
      </c>
      <c r="C1197">
        <v>2017</v>
      </c>
      <c r="D1197" t="s">
        <v>53</v>
      </c>
      <c r="E1197" t="s">
        <v>259</v>
      </c>
      <c r="F1197" t="s">
        <v>259</v>
      </c>
      <c r="G1197">
        <v>5</v>
      </c>
      <c r="H1197">
        <v>15</v>
      </c>
      <c r="I1197">
        <v>59500</v>
      </c>
      <c r="J1197" t="s">
        <v>255</v>
      </c>
    </row>
    <row r="1198" spans="2:10" x14ac:dyDescent="0.3">
      <c r="B1198" t="s">
        <v>490</v>
      </c>
      <c r="C1198">
        <v>2017</v>
      </c>
      <c r="D1198" t="s">
        <v>53</v>
      </c>
      <c r="E1198" t="s">
        <v>259</v>
      </c>
      <c r="F1198" t="s">
        <v>259</v>
      </c>
      <c r="G1198">
        <v>5</v>
      </c>
      <c r="H1198">
        <v>16</v>
      </c>
      <c r="I1198">
        <v>65500</v>
      </c>
      <c r="J1198" t="s">
        <v>255</v>
      </c>
    </row>
    <row r="1199" spans="2:10" x14ac:dyDescent="0.3">
      <c r="B1199" t="s">
        <v>490</v>
      </c>
      <c r="C1199">
        <v>2017</v>
      </c>
      <c r="D1199" t="s">
        <v>53</v>
      </c>
      <c r="E1199" t="s">
        <v>259</v>
      </c>
      <c r="F1199" t="s">
        <v>259</v>
      </c>
      <c r="G1199">
        <v>5</v>
      </c>
      <c r="H1199">
        <v>17</v>
      </c>
      <c r="I1199">
        <v>65500</v>
      </c>
      <c r="J1199" t="s">
        <v>255</v>
      </c>
    </row>
    <row r="1200" spans="2:10" x14ac:dyDescent="0.3">
      <c r="B1200" t="s">
        <v>490</v>
      </c>
      <c r="C1200">
        <v>2017</v>
      </c>
      <c r="D1200" t="s">
        <v>53</v>
      </c>
      <c r="E1200" t="s">
        <v>259</v>
      </c>
      <c r="F1200" t="s">
        <v>259</v>
      </c>
      <c r="G1200">
        <v>5</v>
      </c>
      <c r="H1200">
        <v>18</v>
      </c>
      <c r="I1200">
        <v>65500</v>
      </c>
      <c r="J1200" t="s">
        <v>255</v>
      </c>
    </row>
    <row r="1201" spans="2:10" x14ac:dyDescent="0.3">
      <c r="B1201" t="s">
        <v>490</v>
      </c>
      <c r="C1201">
        <v>2017</v>
      </c>
      <c r="D1201" t="s">
        <v>53</v>
      </c>
      <c r="E1201" t="s">
        <v>259</v>
      </c>
      <c r="F1201" t="s">
        <v>259</v>
      </c>
      <c r="G1201">
        <v>5</v>
      </c>
      <c r="H1201">
        <v>19</v>
      </c>
      <c r="I1201">
        <v>65500</v>
      </c>
      <c r="J1201" t="s">
        <v>255</v>
      </c>
    </row>
    <row r="1202" spans="2:10" x14ac:dyDescent="0.3">
      <c r="B1202" t="s">
        <v>490</v>
      </c>
      <c r="C1202">
        <v>2017</v>
      </c>
      <c r="D1202" t="s">
        <v>53</v>
      </c>
      <c r="E1202" t="s">
        <v>259</v>
      </c>
      <c r="F1202" t="s">
        <v>259</v>
      </c>
      <c r="G1202">
        <v>5</v>
      </c>
      <c r="H1202">
        <v>20</v>
      </c>
      <c r="I1202">
        <v>65500</v>
      </c>
      <c r="J1202" t="s">
        <v>255</v>
      </c>
    </row>
    <row r="1203" spans="2:10" x14ac:dyDescent="0.3">
      <c r="B1203" t="s">
        <v>491</v>
      </c>
      <c r="C1203">
        <v>2017</v>
      </c>
      <c r="D1203" t="s">
        <v>53</v>
      </c>
      <c r="E1203" t="s">
        <v>259</v>
      </c>
      <c r="F1203" t="s">
        <v>259</v>
      </c>
      <c r="G1203">
        <v>6</v>
      </c>
      <c r="H1203">
        <v>3</v>
      </c>
      <c r="I1203">
        <v>49500</v>
      </c>
      <c r="J1203" t="s">
        <v>255</v>
      </c>
    </row>
    <row r="1204" spans="2:10" x14ac:dyDescent="0.3">
      <c r="B1204" t="s">
        <v>491</v>
      </c>
      <c r="C1204">
        <v>2017</v>
      </c>
      <c r="D1204" t="s">
        <v>53</v>
      </c>
      <c r="E1204" t="s">
        <v>259</v>
      </c>
      <c r="F1204" t="s">
        <v>259</v>
      </c>
      <c r="G1204">
        <v>6</v>
      </c>
      <c r="H1204">
        <v>4</v>
      </c>
      <c r="I1204">
        <v>49500</v>
      </c>
      <c r="J1204" t="s">
        <v>255</v>
      </c>
    </row>
    <row r="1205" spans="2:10" x14ac:dyDescent="0.3">
      <c r="B1205" t="s">
        <v>491</v>
      </c>
      <c r="C1205">
        <v>2017</v>
      </c>
      <c r="D1205" t="s">
        <v>53</v>
      </c>
      <c r="E1205" t="s">
        <v>259</v>
      </c>
      <c r="F1205" t="s">
        <v>259</v>
      </c>
      <c r="G1205">
        <v>6</v>
      </c>
      <c r="H1205">
        <v>5</v>
      </c>
      <c r="I1205">
        <v>49500</v>
      </c>
      <c r="J1205" t="s">
        <v>255</v>
      </c>
    </row>
    <row r="1206" spans="2:10" x14ac:dyDescent="0.3">
      <c r="B1206" t="s">
        <v>491</v>
      </c>
      <c r="C1206">
        <v>2017</v>
      </c>
      <c r="D1206" t="s">
        <v>53</v>
      </c>
      <c r="E1206" t="s">
        <v>259</v>
      </c>
      <c r="F1206" t="s">
        <v>259</v>
      </c>
      <c r="G1206">
        <v>6</v>
      </c>
      <c r="H1206">
        <v>6</v>
      </c>
      <c r="I1206">
        <v>55000</v>
      </c>
      <c r="J1206" t="s">
        <v>255</v>
      </c>
    </row>
    <row r="1207" spans="2:10" x14ac:dyDescent="0.3">
      <c r="B1207" t="s">
        <v>491</v>
      </c>
      <c r="C1207">
        <v>2017</v>
      </c>
      <c r="D1207" t="s">
        <v>53</v>
      </c>
      <c r="E1207" t="s">
        <v>259</v>
      </c>
      <c r="F1207" t="s">
        <v>259</v>
      </c>
      <c r="G1207">
        <v>6</v>
      </c>
      <c r="H1207">
        <v>7</v>
      </c>
      <c r="I1207">
        <v>55000</v>
      </c>
      <c r="J1207" t="s">
        <v>255</v>
      </c>
    </row>
    <row r="1208" spans="2:10" x14ac:dyDescent="0.3">
      <c r="B1208" t="s">
        <v>491</v>
      </c>
      <c r="C1208">
        <v>2017</v>
      </c>
      <c r="D1208" t="s">
        <v>53</v>
      </c>
      <c r="E1208" t="s">
        <v>259</v>
      </c>
      <c r="F1208" t="s">
        <v>259</v>
      </c>
      <c r="G1208">
        <v>6</v>
      </c>
      <c r="H1208">
        <v>8</v>
      </c>
      <c r="I1208">
        <v>55000</v>
      </c>
      <c r="J1208" t="s">
        <v>255</v>
      </c>
    </row>
    <row r="1209" spans="2:10" x14ac:dyDescent="0.3">
      <c r="B1209" t="s">
        <v>491</v>
      </c>
      <c r="C1209">
        <v>2017</v>
      </c>
      <c r="D1209" t="s">
        <v>53</v>
      </c>
      <c r="E1209" t="s">
        <v>259</v>
      </c>
      <c r="F1209" t="s">
        <v>259</v>
      </c>
      <c r="G1209">
        <v>6</v>
      </c>
      <c r="H1209">
        <v>9</v>
      </c>
      <c r="I1209">
        <v>55000</v>
      </c>
      <c r="J1209" t="s">
        <v>255</v>
      </c>
    </row>
    <row r="1210" spans="2:10" x14ac:dyDescent="0.3">
      <c r="B1210" t="s">
        <v>491</v>
      </c>
      <c r="C1210">
        <v>2017</v>
      </c>
      <c r="D1210" t="s">
        <v>53</v>
      </c>
      <c r="E1210" t="s">
        <v>259</v>
      </c>
      <c r="F1210" t="s">
        <v>259</v>
      </c>
      <c r="G1210">
        <v>6</v>
      </c>
      <c r="H1210">
        <v>10</v>
      </c>
      <c r="I1210">
        <v>55000</v>
      </c>
      <c r="J1210" t="s">
        <v>255</v>
      </c>
    </row>
    <row r="1211" spans="2:10" x14ac:dyDescent="0.3">
      <c r="B1211" t="s">
        <v>491</v>
      </c>
      <c r="C1211">
        <v>2017</v>
      </c>
      <c r="D1211" t="s">
        <v>53</v>
      </c>
      <c r="E1211" t="s">
        <v>259</v>
      </c>
      <c r="F1211" t="s">
        <v>259</v>
      </c>
      <c r="G1211">
        <v>6</v>
      </c>
      <c r="H1211">
        <v>11</v>
      </c>
      <c r="I1211">
        <v>59500</v>
      </c>
      <c r="J1211" t="s">
        <v>255</v>
      </c>
    </row>
    <row r="1212" spans="2:10" x14ac:dyDescent="0.3">
      <c r="B1212" t="s">
        <v>491</v>
      </c>
      <c r="C1212">
        <v>2017</v>
      </c>
      <c r="D1212" t="s">
        <v>53</v>
      </c>
      <c r="E1212" t="s">
        <v>259</v>
      </c>
      <c r="F1212" t="s">
        <v>259</v>
      </c>
      <c r="G1212">
        <v>6</v>
      </c>
      <c r="H1212">
        <v>12</v>
      </c>
      <c r="I1212">
        <v>59500</v>
      </c>
      <c r="J1212" t="s">
        <v>255</v>
      </c>
    </row>
    <row r="1213" spans="2:10" x14ac:dyDescent="0.3">
      <c r="B1213" t="s">
        <v>491</v>
      </c>
      <c r="C1213">
        <v>2017</v>
      </c>
      <c r="D1213" t="s">
        <v>53</v>
      </c>
      <c r="E1213" t="s">
        <v>259</v>
      </c>
      <c r="F1213" t="s">
        <v>259</v>
      </c>
      <c r="G1213">
        <v>6</v>
      </c>
      <c r="H1213">
        <v>13</v>
      </c>
      <c r="I1213">
        <v>59500</v>
      </c>
      <c r="J1213" t="s">
        <v>255</v>
      </c>
    </row>
    <row r="1214" spans="2:10" x14ac:dyDescent="0.3">
      <c r="B1214" t="s">
        <v>491</v>
      </c>
      <c r="C1214">
        <v>2017</v>
      </c>
      <c r="D1214" t="s">
        <v>53</v>
      </c>
      <c r="E1214" t="s">
        <v>259</v>
      </c>
      <c r="F1214" t="s">
        <v>259</v>
      </c>
      <c r="G1214">
        <v>6</v>
      </c>
      <c r="H1214">
        <v>14</v>
      </c>
      <c r="I1214">
        <v>59500</v>
      </c>
      <c r="J1214" t="s">
        <v>255</v>
      </c>
    </row>
    <row r="1215" spans="2:10" x14ac:dyDescent="0.3">
      <c r="B1215" t="s">
        <v>491</v>
      </c>
      <c r="C1215">
        <v>2017</v>
      </c>
      <c r="D1215" t="s">
        <v>53</v>
      </c>
      <c r="E1215" t="s">
        <v>259</v>
      </c>
      <c r="F1215" t="s">
        <v>259</v>
      </c>
      <c r="G1215">
        <v>6</v>
      </c>
      <c r="H1215">
        <v>15</v>
      </c>
      <c r="I1215">
        <v>59500</v>
      </c>
      <c r="J1215" t="s">
        <v>255</v>
      </c>
    </row>
    <row r="1216" spans="2:10" x14ac:dyDescent="0.3">
      <c r="B1216" t="s">
        <v>491</v>
      </c>
      <c r="C1216">
        <v>2017</v>
      </c>
      <c r="D1216" t="s">
        <v>53</v>
      </c>
      <c r="E1216" t="s">
        <v>259</v>
      </c>
      <c r="F1216" t="s">
        <v>259</v>
      </c>
      <c r="G1216">
        <v>6</v>
      </c>
      <c r="H1216">
        <v>16</v>
      </c>
      <c r="I1216">
        <v>65500</v>
      </c>
      <c r="J1216" t="s">
        <v>255</v>
      </c>
    </row>
    <row r="1217" spans="2:10" x14ac:dyDescent="0.3">
      <c r="B1217" t="s">
        <v>491</v>
      </c>
      <c r="C1217">
        <v>2017</v>
      </c>
      <c r="D1217" t="s">
        <v>53</v>
      </c>
      <c r="E1217" t="s">
        <v>259</v>
      </c>
      <c r="F1217" t="s">
        <v>259</v>
      </c>
      <c r="G1217">
        <v>6</v>
      </c>
      <c r="H1217">
        <v>17</v>
      </c>
      <c r="I1217">
        <v>65500</v>
      </c>
      <c r="J1217" t="s">
        <v>255</v>
      </c>
    </row>
    <row r="1218" spans="2:10" x14ac:dyDescent="0.3">
      <c r="B1218" t="s">
        <v>491</v>
      </c>
      <c r="C1218">
        <v>2017</v>
      </c>
      <c r="D1218" t="s">
        <v>53</v>
      </c>
      <c r="E1218" t="s">
        <v>259</v>
      </c>
      <c r="F1218" t="s">
        <v>259</v>
      </c>
      <c r="G1218">
        <v>6</v>
      </c>
      <c r="H1218">
        <v>18</v>
      </c>
      <c r="I1218">
        <v>65500</v>
      </c>
      <c r="J1218" t="s">
        <v>255</v>
      </c>
    </row>
    <row r="1219" spans="2:10" x14ac:dyDescent="0.3">
      <c r="B1219" t="s">
        <v>491</v>
      </c>
      <c r="C1219">
        <v>2017</v>
      </c>
      <c r="D1219" t="s">
        <v>53</v>
      </c>
      <c r="E1219" t="s">
        <v>259</v>
      </c>
      <c r="F1219" t="s">
        <v>259</v>
      </c>
      <c r="G1219">
        <v>6</v>
      </c>
      <c r="H1219">
        <v>19</v>
      </c>
      <c r="I1219">
        <v>65500</v>
      </c>
      <c r="J1219" t="s">
        <v>255</v>
      </c>
    </row>
    <row r="1220" spans="2:10" x14ac:dyDescent="0.3">
      <c r="B1220" t="s">
        <v>491</v>
      </c>
      <c r="C1220">
        <v>2017</v>
      </c>
      <c r="D1220" t="s">
        <v>53</v>
      </c>
      <c r="E1220" t="s">
        <v>259</v>
      </c>
      <c r="F1220" t="s">
        <v>259</v>
      </c>
      <c r="G1220">
        <v>6</v>
      </c>
      <c r="H1220">
        <v>20</v>
      </c>
      <c r="I1220">
        <v>65500</v>
      </c>
      <c r="J1220" t="s">
        <v>255</v>
      </c>
    </row>
    <row r="1221" spans="2:10" x14ac:dyDescent="0.3">
      <c r="B1221" t="s">
        <v>492</v>
      </c>
      <c r="C1221">
        <v>2017</v>
      </c>
      <c r="D1221" t="s">
        <v>51</v>
      </c>
      <c r="E1221" t="s">
        <v>127</v>
      </c>
      <c r="F1221" t="s">
        <v>307</v>
      </c>
      <c r="G1221">
        <v>1</v>
      </c>
      <c r="H1221">
        <v>13</v>
      </c>
      <c r="I1221">
        <v>34000</v>
      </c>
      <c r="J1221" t="s">
        <v>255</v>
      </c>
    </row>
    <row r="1222" spans="2:10" x14ac:dyDescent="0.3">
      <c r="B1222" t="s">
        <v>492</v>
      </c>
      <c r="C1222">
        <v>2017</v>
      </c>
      <c r="D1222" t="s">
        <v>51</v>
      </c>
      <c r="E1222" t="s">
        <v>127</v>
      </c>
      <c r="F1222" t="s">
        <v>307</v>
      </c>
      <c r="G1222">
        <v>1</v>
      </c>
      <c r="H1222">
        <v>14</v>
      </c>
      <c r="I1222">
        <v>34000</v>
      </c>
      <c r="J1222" t="s">
        <v>255</v>
      </c>
    </row>
    <row r="1223" spans="2:10" x14ac:dyDescent="0.3">
      <c r="B1223" t="s">
        <v>492</v>
      </c>
      <c r="C1223">
        <v>2017</v>
      </c>
      <c r="D1223" t="s">
        <v>51</v>
      </c>
      <c r="E1223" t="s">
        <v>127</v>
      </c>
      <c r="F1223" t="s">
        <v>307</v>
      </c>
      <c r="G1223">
        <v>1</v>
      </c>
      <c r="H1223">
        <v>15</v>
      </c>
      <c r="I1223">
        <v>34000</v>
      </c>
      <c r="J1223" t="s">
        <v>255</v>
      </c>
    </row>
    <row r="1224" spans="2:10" x14ac:dyDescent="0.3">
      <c r="B1224" t="s">
        <v>492</v>
      </c>
      <c r="C1224">
        <v>2017</v>
      </c>
      <c r="D1224" t="s">
        <v>51</v>
      </c>
      <c r="E1224" t="s">
        <v>127</v>
      </c>
      <c r="F1224" t="s">
        <v>307</v>
      </c>
      <c r="G1224">
        <v>1</v>
      </c>
      <c r="H1224">
        <v>16</v>
      </c>
      <c r="I1224">
        <v>34000</v>
      </c>
      <c r="J1224" t="s">
        <v>255</v>
      </c>
    </row>
    <row r="1225" spans="2:10" x14ac:dyDescent="0.3">
      <c r="B1225" t="s">
        <v>492</v>
      </c>
      <c r="C1225">
        <v>2017</v>
      </c>
      <c r="D1225" t="s">
        <v>51</v>
      </c>
      <c r="E1225" t="s">
        <v>127</v>
      </c>
      <c r="F1225" t="s">
        <v>307</v>
      </c>
      <c r="G1225">
        <v>1</v>
      </c>
      <c r="H1225">
        <v>17</v>
      </c>
      <c r="I1225">
        <v>36000</v>
      </c>
      <c r="J1225" t="s">
        <v>255</v>
      </c>
    </row>
    <row r="1226" spans="2:10" x14ac:dyDescent="0.3">
      <c r="B1226" t="s">
        <v>492</v>
      </c>
      <c r="C1226">
        <v>2017</v>
      </c>
      <c r="D1226" t="s">
        <v>51</v>
      </c>
      <c r="E1226" t="s">
        <v>127</v>
      </c>
      <c r="F1226" t="s">
        <v>307</v>
      </c>
      <c r="G1226">
        <v>1</v>
      </c>
      <c r="H1226">
        <v>18</v>
      </c>
      <c r="I1226">
        <v>36000</v>
      </c>
      <c r="J1226" t="s">
        <v>255</v>
      </c>
    </row>
    <row r="1227" spans="2:10" x14ac:dyDescent="0.3">
      <c r="B1227" t="s">
        <v>492</v>
      </c>
      <c r="C1227">
        <v>2017</v>
      </c>
      <c r="D1227" t="s">
        <v>51</v>
      </c>
      <c r="E1227" t="s">
        <v>127</v>
      </c>
      <c r="F1227" t="s">
        <v>307</v>
      </c>
      <c r="G1227">
        <v>1</v>
      </c>
      <c r="H1227">
        <v>19</v>
      </c>
      <c r="I1227">
        <v>36000</v>
      </c>
      <c r="J1227" t="s">
        <v>255</v>
      </c>
    </row>
    <row r="1228" spans="2:10" x14ac:dyDescent="0.3">
      <c r="B1228" t="s">
        <v>492</v>
      </c>
      <c r="C1228">
        <v>2017</v>
      </c>
      <c r="D1228" t="s">
        <v>51</v>
      </c>
      <c r="E1228" t="s">
        <v>127</v>
      </c>
      <c r="F1228" t="s">
        <v>307</v>
      </c>
      <c r="G1228">
        <v>1</v>
      </c>
      <c r="H1228">
        <v>20</v>
      </c>
      <c r="I1228">
        <v>36000</v>
      </c>
      <c r="J1228" t="s">
        <v>255</v>
      </c>
    </row>
    <row r="1229" spans="2:10" x14ac:dyDescent="0.3">
      <c r="B1229" t="s">
        <v>493</v>
      </c>
      <c r="C1229">
        <v>2017</v>
      </c>
      <c r="D1229" t="s">
        <v>53</v>
      </c>
      <c r="E1229" t="s">
        <v>259</v>
      </c>
      <c r="F1229" t="s">
        <v>259</v>
      </c>
      <c r="G1229">
        <v>2</v>
      </c>
      <c r="H1229">
        <v>1</v>
      </c>
      <c r="I1229">
        <v>20000</v>
      </c>
      <c r="J1229" t="s">
        <v>255</v>
      </c>
    </row>
    <row r="1230" spans="2:10" x14ac:dyDescent="0.3">
      <c r="B1230" t="s">
        <v>493</v>
      </c>
      <c r="C1230">
        <v>2017</v>
      </c>
      <c r="D1230" t="s">
        <v>53</v>
      </c>
      <c r="E1230" t="s">
        <v>259</v>
      </c>
      <c r="F1230" t="s">
        <v>259</v>
      </c>
      <c r="G1230">
        <v>2</v>
      </c>
      <c r="H1230">
        <v>2</v>
      </c>
      <c r="I1230">
        <v>20000</v>
      </c>
      <c r="J1230" t="s">
        <v>255</v>
      </c>
    </row>
    <row r="1231" spans="2:10" x14ac:dyDescent="0.3">
      <c r="B1231" t="s">
        <v>493</v>
      </c>
      <c r="C1231">
        <v>2017</v>
      </c>
      <c r="D1231" t="s">
        <v>53</v>
      </c>
      <c r="E1231" t="s">
        <v>259</v>
      </c>
      <c r="F1231" t="s">
        <v>259</v>
      </c>
      <c r="G1231">
        <v>2</v>
      </c>
      <c r="H1231">
        <v>3</v>
      </c>
      <c r="I1231">
        <v>47500</v>
      </c>
      <c r="J1231" t="s">
        <v>255</v>
      </c>
    </row>
    <row r="1232" spans="2:10" x14ac:dyDescent="0.3">
      <c r="B1232" t="s">
        <v>493</v>
      </c>
      <c r="C1232">
        <v>2017</v>
      </c>
      <c r="D1232" t="s">
        <v>53</v>
      </c>
      <c r="E1232" t="s">
        <v>259</v>
      </c>
      <c r="F1232" t="s">
        <v>259</v>
      </c>
      <c r="G1232">
        <v>2</v>
      </c>
      <c r="H1232">
        <v>4</v>
      </c>
      <c r="I1232">
        <v>47500</v>
      </c>
      <c r="J1232" t="s">
        <v>255</v>
      </c>
    </row>
    <row r="1233" spans="2:10" x14ac:dyDescent="0.3">
      <c r="B1233" t="s">
        <v>493</v>
      </c>
      <c r="C1233">
        <v>2017</v>
      </c>
      <c r="D1233" t="s">
        <v>53</v>
      </c>
      <c r="E1233" t="s">
        <v>259</v>
      </c>
      <c r="F1233" t="s">
        <v>259</v>
      </c>
      <c r="G1233">
        <v>2</v>
      </c>
      <c r="H1233">
        <v>5</v>
      </c>
      <c r="I1233">
        <v>47500</v>
      </c>
      <c r="J1233" t="s">
        <v>255</v>
      </c>
    </row>
    <row r="1234" spans="2:10" x14ac:dyDescent="0.3">
      <c r="B1234" t="s">
        <v>493</v>
      </c>
      <c r="C1234">
        <v>2017</v>
      </c>
      <c r="D1234" t="s">
        <v>53</v>
      </c>
      <c r="E1234" t="s">
        <v>259</v>
      </c>
      <c r="F1234" t="s">
        <v>259</v>
      </c>
      <c r="G1234">
        <v>2</v>
      </c>
      <c r="H1234">
        <v>6</v>
      </c>
      <c r="I1234">
        <v>52500</v>
      </c>
      <c r="J1234" t="s">
        <v>255</v>
      </c>
    </row>
    <row r="1235" spans="2:10" x14ac:dyDescent="0.3">
      <c r="B1235" t="s">
        <v>493</v>
      </c>
      <c r="C1235">
        <v>2017</v>
      </c>
      <c r="D1235" t="s">
        <v>53</v>
      </c>
      <c r="E1235" t="s">
        <v>259</v>
      </c>
      <c r="F1235" t="s">
        <v>259</v>
      </c>
      <c r="G1235">
        <v>2</v>
      </c>
      <c r="H1235">
        <v>7</v>
      </c>
      <c r="I1235">
        <v>52500</v>
      </c>
      <c r="J1235" t="s">
        <v>255</v>
      </c>
    </row>
    <row r="1236" spans="2:10" x14ac:dyDescent="0.3">
      <c r="B1236" t="s">
        <v>493</v>
      </c>
      <c r="C1236">
        <v>2017</v>
      </c>
      <c r="D1236" t="s">
        <v>53</v>
      </c>
      <c r="E1236" t="s">
        <v>259</v>
      </c>
      <c r="F1236" t="s">
        <v>259</v>
      </c>
      <c r="G1236">
        <v>2</v>
      </c>
      <c r="H1236">
        <v>8</v>
      </c>
      <c r="I1236">
        <v>52500</v>
      </c>
      <c r="J1236" t="s">
        <v>255</v>
      </c>
    </row>
    <row r="1237" spans="2:10" x14ac:dyDescent="0.3">
      <c r="B1237" t="s">
        <v>493</v>
      </c>
      <c r="C1237">
        <v>2017</v>
      </c>
      <c r="D1237" t="s">
        <v>53</v>
      </c>
      <c r="E1237" t="s">
        <v>259</v>
      </c>
      <c r="F1237" t="s">
        <v>259</v>
      </c>
      <c r="G1237">
        <v>2</v>
      </c>
      <c r="H1237">
        <v>9</v>
      </c>
      <c r="I1237">
        <v>52500</v>
      </c>
      <c r="J1237" t="s">
        <v>255</v>
      </c>
    </row>
    <row r="1238" spans="2:10" x14ac:dyDescent="0.3">
      <c r="B1238" t="s">
        <v>493</v>
      </c>
      <c r="C1238">
        <v>2017</v>
      </c>
      <c r="D1238" t="s">
        <v>53</v>
      </c>
      <c r="E1238" t="s">
        <v>259</v>
      </c>
      <c r="F1238" t="s">
        <v>259</v>
      </c>
      <c r="G1238">
        <v>2</v>
      </c>
      <c r="H1238">
        <v>10</v>
      </c>
      <c r="I1238">
        <v>52500</v>
      </c>
      <c r="J1238" t="s">
        <v>255</v>
      </c>
    </row>
    <row r="1239" spans="2:10" x14ac:dyDescent="0.3">
      <c r="B1239" t="s">
        <v>493</v>
      </c>
      <c r="C1239">
        <v>2017</v>
      </c>
      <c r="D1239" t="s">
        <v>53</v>
      </c>
      <c r="E1239" t="s">
        <v>259</v>
      </c>
      <c r="F1239" t="s">
        <v>259</v>
      </c>
      <c r="G1239">
        <v>2</v>
      </c>
      <c r="H1239">
        <v>11</v>
      </c>
      <c r="I1239">
        <v>57500</v>
      </c>
      <c r="J1239" t="s">
        <v>255</v>
      </c>
    </row>
    <row r="1240" spans="2:10" x14ac:dyDescent="0.3">
      <c r="B1240" t="s">
        <v>493</v>
      </c>
      <c r="C1240">
        <v>2017</v>
      </c>
      <c r="D1240" t="s">
        <v>53</v>
      </c>
      <c r="E1240" t="s">
        <v>259</v>
      </c>
      <c r="F1240" t="s">
        <v>259</v>
      </c>
      <c r="G1240">
        <v>2</v>
      </c>
      <c r="H1240">
        <v>12</v>
      </c>
      <c r="I1240">
        <v>57500</v>
      </c>
      <c r="J1240" t="s">
        <v>255</v>
      </c>
    </row>
    <row r="1241" spans="2:10" x14ac:dyDescent="0.3">
      <c r="B1241" t="s">
        <v>493</v>
      </c>
      <c r="C1241">
        <v>2017</v>
      </c>
      <c r="D1241" t="s">
        <v>53</v>
      </c>
      <c r="E1241" t="s">
        <v>259</v>
      </c>
      <c r="F1241" t="s">
        <v>259</v>
      </c>
      <c r="G1241">
        <v>2</v>
      </c>
      <c r="H1241">
        <v>13</v>
      </c>
      <c r="I1241">
        <v>57500</v>
      </c>
      <c r="J1241" t="s">
        <v>255</v>
      </c>
    </row>
    <row r="1242" spans="2:10" x14ac:dyDescent="0.3">
      <c r="B1242" t="s">
        <v>493</v>
      </c>
      <c r="C1242">
        <v>2017</v>
      </c>
      <c r="D1242" t="s">
        <v>53</v>
      </c>
      <c r="E1242" t="s">
        <v>259</v>
      </c>
      <c r="F1242" t="s">
        <v>259</v>
      </c>
      <c r="G1242">
        <v>2</v>
      </c>
      <c r="H1242">
        <v>14</v>
      </c>
      <c r="I1242">
        <v>57500</v>
      </c>
      <c r="J1242" t="s">
        <v>255</v>
      </c>
    </row>
    <row r="1243" spans="2:10" x14ac:dyDescent="0.3">
      <c r="B1243" t="s">
        <v>493</v>
      </c>
      <c r="C1243">
        <v>2017</v>
      </c>
      <c r="D1243" t="s">
        <v>53</v>
      </c>
      <c r="E1243" t="s">
        <v>259</v>
      </c>
      <c r="F1243" t="s">
        <v>259</v>
      </c>
      <c r="G1243">
        <v>2</v>
      </c>
      <c r="H1243">
        <v>15</v>
      </c>
      <c r="I1243">
        <v>57500</v>
      </c>
      <c r="J1243" t="s">
        <v>255</v>
      </c>
    </row>
    <row r="1244" spans="2:10" x14ac:dyDescent="0.3">
      <c r="B1244" t="s">
        <v>493</v>
      </c>
      <c r="C1244">
        <v>2017</v>
      </c>
      <c r="D1244" t="s">
        <v>53</v>
      </c>
      <c r="E1244" t="s">
        <v>259</v>
      </c>
      <c r="F1244" t="s">
        <v>259</v>
      </c>
      <c r="G1244">
        <v>2</v>
      </c>
      <c r="H1244">
        <v>16</v>
      </c>
      <c r="I1244">
        <v>637500</v>
      </c>
      <c r="J1244" t="s">
        <v>255</v>
      </c>
    </row>
    <row r="1245" spans="2:10" x14ac:dyDescent="0.3">
      <c r="B1245" t="s">
        <v>493</v>
      </c>
      <c r="C1245">
        <v>2017</v>
      </c>
      <c r="D1245" t="s">
        <v>53</v>
      </c>
      <c r="E1245" t="s">
        <v>259</v>
      </c>
      <c r="F1245" t="s">
        <v>259</v>
      </c>
      <c r="G1245">
        <v>2</v>
      </c>
      <c r="H1245">
        <v>17</v>
      </c>
      <c r="I1245">
        <v>637500</v>
      </c>
      <c r="J1245" t="s">
        <v>255</v>
      </c>
    </row>
    <row r="1246" spans="2:10" x14ac:dyDescent="0.3">
      <c r="B1246" t="s">
        <v>493</v>
      </c>
      <c r="C1246">
        <v>2017</v>
      </c>
      <c r="D1246" t="s">
        <v>53</v>
      </c>
      <c r="E1246" t="s">
        <v>259</v>
      </c>
      <c r="F1246" t="s">
        <v>259</v>
      </c>
      <c r="G1246">
        <v>2</v>
      </c>
      <c r="H1246">
        <v>18</v>
      </c>
      <c r="I1246">
        <v>637500</v>
      </c>
      <c r="J1246" t="s">
        <v>255</v>
      </c>
    </row>
    <row r="1247" spans="2:10" x14ac:dyDescent="0.3">
      <c r="B1247" t="s">
        <v>493</v>
      </c>
      <c r="C1247">
        <v>2017</v>
      </c>
      <c r="D1247" t="s">
        <v>53</v>
      </c>
      <c r="E1247" t="s">
        <v>259</v>
      </c>
      <c r="F1247" t="s">
        <v>259</v>
      </c>
      <c r="G1247">
        <v>2</v>
      </c>
      <c r="H1247">
        <v>19</v>
      </c>
      <c r="I1247">
        <v>637500</v>
      </c>
      <c r="J1247" t="s">
        <v>255</v>
      </c>
    </row>
    <row r="1248" spans="2:10" x14ac:dyDescent="0.3">
      <c r="B1248" t="s">
        <v>493</v>
      </c>
      <c r="C1248">
        <v>2017</v>
      </c>
      <c r="D1248" t="s">
        <v>53</v>
      </c>
      <c r="E1248" t="s">
        <v>259</v>
      </c>
      <c r="F1248" t="s">
        <v>259</v>
      </c>
      <c r="G1248">
        <v>2</v>
      </c>
      <c r="H1248">
        <v>20</v>
      </c>
      <c r="I1248">
        <v>637500</v>
      </c>
      <c r="J1248" t="s">
        <v>255</v>
      </c>
    </row>
    <row r="1249" spans="2:10" x14ac:dyDescent="0.3">
      <c r="B1249" s="13" t="s">
        <v>494</v>
      </c>
      <c r="C1249" s="648">
        <v>2017</v>
      </c>
      <c r="D1249" s="13" t="s">
        <v>53</v>
      </c>
      <c r="E1249" s="13" t="s">
        <v>57</v>
      </c>
      <c r="F1249" s="13" t="s">
        <v>57</v>
      </c>
      <c r="G1249" s="648">
        <v>2</v>
      </c>
      <c r="H1249" s="648">
        <v>12</v>
      </c>
      <c r="I1249" s="648">
        <v>43500</v>
      </c>
      <c r="J1249" s="13" t="s">
        <v>280</v>
      </c>
    </row>
    <row r="1250" spans="2:10" x14ac:dyDescent="0.3">
      <c r="B1250" s="13" t="s">
        <v>494</v>
      </c>
      <c r="C1250" s="648">
        <v>2017</v>
      </c>
      <c r="D1250" s="13" t="s">
        <v>53</v>
      </c>
      <c r="E1250" s="13" t="s">
        <v>57</v>
      </c>
      <c r="F1250" s="13" t="s">
        <v>57</v>
      </c>
      <c r="G1250">
        <v>2</v>
      </c>
      <c r="H1250" s="648">
        <v>13</v>
      </c>
      <c r="I1250" s="648">
        <v>43500</v>
      </c>
      <c r="J1250" s="13" t="s">
        <v>280</v>
      </c>
    </row>
    <row r="1251" spans="2:10" x14ac:dyDescent="0.3">
      <c r="B1251" s="13" t="s">
        <v>494</v>
      </c>
      <c r="C1251" s="648">
        <v>2017</v>
      </c>
      <c r="D1251" s="13" t="s">
        <v>53</v>
      </c>
      <c r="E1251" s="13" t="s">
        <v>57</v>
      </c>
      <c r="F1251" s="13" t="s">
        <v>57</v>
      </c>
      <c r="G1251" s="648">
        <v>2</v>
      </c>
      <c r="H1251" s="648">
        <v>14</v>
      </c>
      <c r="I1251" s="648">
        <v>43500</v>
      </c>
      <c r="J1251" s="13" t="s">
        <v>280</v>
      </c>
    </row>
    <row r="1252" spans="2:10" x14ac:dyDescent="0.3">
      <c r="B1252" s="13" t="s">
        <v>494</v>
      </c>
      <c r="C1252" s="648">
        <v>2017</v>
      </c>
      <c r="D1252" s="13" t="s">
        <v>53</v>
      </c>
      <c r="E1252" s="13" t="s">
        <v>57</v>
      </c>
      <c r="F1252" s="13" t="s">
        <v>57</v>
      </c>
      <c r="G1252">
        <v>2</v>
      </c>
      <c r="H1252" s="648">
        <v>15</v>
      </c>
      <c r="I1252" s="648">
        <v>46500</v>
      </c>
      <c r="J1252" s="13" t="s">
        <v>280</v>
      </c>
    </row>
    <row r="1253" spans="2:10" x14ac:dyDescent="0.3">
      <c r="B1253" s="13" t="s">
        <v>494</v>
      </c>
      <c r="C1253" s="648">
        <v>2017</v>
      </c>
      <c r="D1253" s="13" t="s">
        <v>53</v>
      </c>
      <c r="E1253" s="13" t="s">
        <v>57</v>
      </c>
      <c r="F1253" s="13" t="s">
        <v>57</v>
      </c>
      <c r="G1253" s="648">
        <v>2</v>
      </c>
      <c r="H1253" s="648">
        <v>16</v>
      </c>
      <c r="I1253" s="648">
        <v>46500</v>
      </c>
      <c r="J1253" s="13" t="s">
        <v>280</v>
      </c>
    </row>
    <row r="1254" spans="2:10" x14ac:dyDescent="0.3">
      <c r="B1254" s="13" t="s">
        <v>494</v>
      </c>
      <c r="C1254" s="648">
        <v>2017</v>
      </c>
      <c r="D1254" s="13" t="s">
        <v>53</v>
      </c>
      <c r="E1254" s="13" t="s">
        <v>57</v>
      </c>
      <c r="F1254" s="13" t="s">
        <v>57</v>
      </c>
      <c r="G1254">
        <v>2</v>
      </c>
      <c r="H1254" s="648">
        <v>17</v>
      </c>
      <c r="I1254" s="648">
        <v>46500</v>
      </c>
      <c r="J1254" s="13" t="s">
        <v>280</v>
      </c>
    </row>
    <row r="1255" spans="2:10" x14ac:dyDescent="0.3">
      <c r="B1255" s="13" t="s">
        <v>494</v>
      </c>
      <c r="C1255" s="648">
        <v>2017</v>
      </c>
      <c r="D1255" s="13" t="s">
        <v>53</v>
      </c>
      <c r="E1255" s="13" t="s">
        <v>57</v>
      </c>
      <c r="F1255" s="13" t="s">
        <v>57</v>
      </c>
      <c r="G1255" s="648">
        <v>2</v>
      </c>
      <c r="H1255" s="648">
        <v>18</v>
      </c>
      <c r="I1255" s="648">
        <v>52000</v>
      </c>
      <c r="J1255" s="13" t="s">
        <v>280</v>
      </c>
    </row>
    <row r="1256" spans="2:10" x14ac:dyDescent="0.3">
      <c r="B1256" s="13" t="s">
        <v>494</v>
      </c>
      <c r="C1256" s="648">
        <v>2017</v>
      </c>
      <c r="D1256" s="13" t="s">
        <v>53</v>
      </c>
      <c r="E1256" s="13" t="s">
        <v>57</v>
      </c>
      <c r="F1256" s="13" t="s">
        <v>57</v>
      </c>
      <c r="G1256">
        <v>2</v>
      </c>
      <c r="H1256" s="648">
        <v>19</v>
      </c>
      <c r="I1256" s="648">
        <v>52000</v>
      </c>
      <c r="J1256" s="13" t="s">
        <v>280</v>
      </c>
    </row>
    <row r="1257" spans="2:10" x14ac:dyDescent="0.3">
      <c r="B1257" s="13" t="s">
        <v>494</v>
      </c>
      <c r="C1257" s="648">
        <v>2017</v>
      </c>
      <c r="D1257" s="13" t="s">
        <v>53</v>
      </c>
      <c r="E1257" s="13" t="s">
        <v>57</v>
      </c>
      <c r="F1257" s="13" t="s">
        <v>57</v>
      </c>
      <c r="G1257" s="648">
        <v>2</v>
      </c>
      <c r="H1257" s="648">
        <v>20</v>
      </c>
      <c r="I1257" s="648">
        <v>52000</v>
      </c>
      <c r="J1257" s="13" t="s">
        <v>280</v>
      </c>
    </row>
    <row r="1258" spans="2:10" x14ac:dyDescent="0.3">
      <c r="B1258" s="13" t="s">
        <v>495</v>
      </c>
      <c r="C1258" s="648">
        <v>2017</v>
      </c>
      <c r="D1258" s="13" t="s">
        <v>53</v>
      </c>
      <c r="E1258" s="13" t="s">
        <v>71</v>
      </c>
      <c r="F1258" s="13" t="s">
        <v>71</v>
      </c>
      <c r="G1258" s="648">
        <v>4</v>
      </c>
      <c r="H1258" s="648">
        <v>10</v>
      </c>
      <c r="I1258" s="648">
        <v>49500</v>
      </c>
      <c r="J1258" s="13" t="s">
        <v>255</v>
      </c>
    </row>
    <row r="1259" spans="2:10" x14ac:dyDescent="0.3">
      <c r="B1259" s="13" t="s">
        <v>495</v>
      </c>
      <c r="C1259" s="648">
        <v>2017</v>
      </c>
      <c r="D1259" s="13" t="s">
        <v>53</v>
      </c>
      <c r="E1259" s="13" t="s">
        <v>71</v>
      </c>
      <c r="F1259" s="13" t="s">
        <v>71</v>
      </c>
      <c r="G1259" s="648">
        <v>4</v>
      </c>
      <c r="H1259" s="648">
        <v>11</v>
      </c>
      <c r="I1259" s="648">
        <v>49500</v>
      </c>
      <c r="J1259" s="13" t="s">
        <v>255</v>
      </c>
    </row>
    <row r="1260" spans="2:10" x14ac:dyDescent="0.3">
      <c r="B1260" s="13" t="s">
        <v>495</v>
      </c>
      <c r="C1260" s="648">
        <v>2017</v>
      </c>
      <c r="D1260" s="13" t="s">
        <v>53</v>
      </c>
      <c r="E1260" s="13" t="s">
        <v>71</v>
      </c>
      <c r="F1260" s="13" t="s">
        <v>71</v>
      </c>
      <c r="G1260" s="648">
        <v>4</v>
      </c>
      <c r="H1260" s="648">
        <v>12</v>
      </c>
      <c r="I1260" s="648">
        <v>49500</v>
      </c>
      <c r="J1260" s="13" t="s">
        <v>255</v>
      </c>
    </row>
    <row r="1261" spans="2:10" x14ac:dyDescent="0.3">
      <c r="B1261" s="13" t="s">
        <v>495</v>
      </c>
      <c r="C1261" s="648">
        <v>2017</v>
      </c>
      <c r="D1261" s="13" t="s">
        <v>53</v>
      </c>
      <c r="E1261" s="13" t="s">
        <v>71</v>
      </c>
      <c r="F1261" s="13" t="s">
        <v>71</v>
      </c>
      <c r="G1261" s="648">
        <v>4</v>
      </c>
      <c r="H1261" s="648">
        <v>13</v>
      </c>
      <c r="I1261" s="648">
        <v>55500</v>
      </c>
      <c r="J1261" s="13" t="s">
        <v>255</v>
      </c>
    </row>
    <row r="1262" spans="2:10" x14ac:dyDescent="0.3">
      <c r="B1262" s="13" t="s">
        <v>495</v>
      </c>
      <c r="C1262" s="648">
        <v>2017</v>
      </c>
      <c r="D1262" s="13" t="s">
        <v>53</v>
      </c>
      <c r="E1262" s="13" t="s">
        <v>71</v>
      </c>
      <c r="F1262" s="13" t="s">
        <v>71</v>
      </c>
      <c r="G1262" s="648">
        <v>4</v>
      </c>
      <c r="H1262" s="648">
        <v>14</v>
      </c>
      <c r="I1262" s="648">
        <v>55500</v>
      </c>
      <c r="J1262" s="13" t="s">
        <v>255</v>
      </c>
    </row>
    <row r="1263" spans="2:10" x14ac:dyDescent="0.3">
      <c r="B1263" s="13" t="s">
        <v>495</v>
      </c>
      <c r="C1263" s="648">
        <v>2017</v>
      </c>
      <c r="D1263" s="13" t="s">
        <v>53</v>
      </c>
      <c r="E1263" s="13" t="s">
        <v>71</v>
      </c>
      <c r="F1263" s="13" t="s">
        <v>71</v>
      </c>
      <c r="G1263" s="648">
        <v>4</v>
      </c>
      <c r="H1263" s="648">
        <v>15</v>
      </c>
      <c r="I1263" s="648">
        <v>55500</v>
      </c>
      <c r="J1263" s="13" t="s">
        <v>255</v>
      </c>
    </row>
    <row r="1264" spans="2:10" x14ac:dyDescent="0.3">
      <c r="B1264" s="13" t="s">
        <v>495</v>
      </c>
      <c r="C1264" s="648">
        <v>2017</v>
      </c>
      <c r="D1264" s="13" t="s">
        <v>53</v>
      </c>
      <c r="E1264" s="13" t="s">
        <v>71</v>
      </c>
      <c r="F1264" s="13" t="s">
        <v>71</v>
      </c>
      <c r="G1264" s="648">
        <v>4</v>
      </c>
      <c r="H1264" s="648">
        <v>16</v>
      </c>
      <c r="I1264" s="648">
        <v>59500</v>
      </c>
      <c r="J1264" s="13" t="s">
        <v>255</v>
      </c>
    </row>
    <row r="1265" spans="2:10" x14ac:dyDescent="0.3">
      <c r="B1265" s="13" t="s">
        <v>495</v>
      </c>
      <c r="C1265" s="648">
        <v>2017</v>
      </c>
      <c r="D1265" s="13" t="s">
        <v>53</v>
      </c>
      <c r="E1265" s="13" t="s">
        <v>71</v>
      </c>
      <c r="F1265" s="13" t="s">
        <v>71</v>
      </c>
      <c r="G1265" s="648">
        <v>4</v>
      </c>
      <c r="H1265" s="648">
        <v>17</v>
      </c>
      <c r="I1265" s="648">
        <v>59500</v>
      </c>
      <c r="J1265" s="13" t="s">
        <v>255</v>
      </c>
    </row>
    <row r="1266" spans="2:10" x14ac:dyDescent="0.3">
      <c r="B1266" s="13" t="s">
        <v>495</v>
      </c>
      <c r="C1266" s="648">
        <v>2017</v>
      </c>
      <c r="D1266" s="13" t="s">
        <v>53</v>
      </c>
      <c r="E1266" s="13" t="s">
        <v>71</v>
      </c>
      <c r="F1266" s="13" t="s">
        <v>71</v>
      </c>
      <c r="G1266" s="648">
        <v>4</v>
      </c>
      <c r="H1266" s="648">
        <v>18</v>
      </c>
      <c r="I1266" s="648">
        <v>59500</v>
      </c>
      <c r="J1266" s="13" t="s">
        <v>255</v>
      </c>
    </row>
    <row r="1267" spans="2:10" x14ac:dyDescent="0.3">
      <c r="B1267" s="13" t="s">
        <v>495</v>
      </c>
      <c r="C1267" s="648">
        <v>2017</v>
      </c>
      <c r="D1267" s="13" t="s">
        <v>53</v>
      </c>
      <c r="E1267" s="13" t="s">
        <v>71</v>
      </c>
      <c r="F1267" s="13" t="s">
        <v>71</v>
      </c>
      <c r="G1267" s="648">
        <v>4</v>
      </c>
      <c r="H1267" s="648">
        <v>19</v>
      </c>
      <c r="I1267" s="648">
        <v>59500</v>
      </c>
      <c r="J1267" s="13" t="s">
        <v>255</v>
      </c>
    </row>
    <row r="1268" spans="2:10" x14ac:dyDescent="0.3">
      <c r="B1268" s="13" t="s">
        <v>495</v>
      </c>
      <c r="C1268" s="648">
        <v>2017</v>
      </c>
      <c r="D1268" s="13" t="s">
        <v>53</v>
      </c>
      <c r="E1268" s="13" t="s">
        <v>71</v>
      </c>
      <c r="F1268" s="13" t="s">
        <v>71</v>
      </c>
      <c r="G1268" s="648">
        <v>4</v>
      </c>
      <c r="H1268" s="648">
        <v>20</v>
      </c>
      <c r="I1268" s="648">
        <v>59500</v>
      </c>
      <c r="J1268" s="13" t="s">
        <v>255</v>
      </c>
    </row>
    <row r="1269" spans="2:10" x14ac:dyDescent="0.3">
      <c r="B1269" s="13" t="s">
        <v>496</v>
      </c>
      <c r="C1269" s="648">
        <v>2017</v>
      </c>
      <c r="D1269" s="13" t="s">
        <v>54</v>
      </c>
      <c r="E1269" s="13" t="s">
        <v>130</v>
      </c>
      <c r="F1269" s="13" t="s">
        <v>307</v>
      </c>
      <c r="G1269" s="648">
        <v>2</v>
      </c>
      <c r="H1269" s="648">
        <v>11</v>
      </c>
      <c r="I1269" s="648">
        <v>38500</v>
      </c>
      <c r="J1269" s="13" t="s">
        <v>255</v>
      </c>
    </row>
    <row r="1270" spans="2:10" x14ac:dyDescent="0.3">
      <c r="B1270" s="13" t="s">
        <v>496</v>
      </c>
      <c r="C1270" s="648">
        <v>2017</v>
      </c>
      <c r="D1270" s="13" t="s">
        <v>54</v>
      </c>
      <c r="E1270" s="13" t="s">
        <v>130</v>
      </c>
      <c r="F1270" s="13" t="s">
        <v>307</v>
      </c>
      <c r="G1270" s="648">
        <v>2</v>
      </c>
      <c r="H1270" s="648">
        <v>12</v>
      </c>
      <c r="I1270" s="648">
        <v>38500</v>
      </c>
      <c r="J1270" s="13" t="s">
        <v>255</v>
      </c>
    </row>
    <row r="1271" spans="2:10" x14ac:dyDescent="0.3">
      <c r="B1271" s="13" t="s">
        <v>496</v>
      </c>
      <c r="C1271" s="648">
        <v>2017</v>
      </c>
      <c r="D1271" s="13" t="s">
        <v>54</v>
      </c>
      <c r="E1271" s="13" t="s">
        <v>130</v>
      </c>
      <c r="F1271" s="13" t="s">
        <v>307</v>
      </c>
      <c r="G1271" s="648">
        <v>2</v>
      </c>
      <c r="H1271" s="648">
        <v>13</v>
      </c>
      <c r="I1271" s="648">
        <v>38500</v>
      </c>
      <c r="J1271" s="13" t="s">
        <v>255</v>
      </c>
    </row>
    <row r="1272" spans="2:10" x14ac:dyDescent="0.3">
      <c r="B1272" s="13" t="s">
        <v>496</v>
      </c>
      <c r="C1272" s="648">
        <v>2017</v>
      </c>
      <c r="D1272" s="13" t="s">
        <v>54</v>
      </c>
      <c r="E1272" s="13" t="s">
        <v>130</v>
      </c>
      <c r="F1272" s="13" t="s">
        <v>307</v>
      </c>
      <c r="G1272" s="648">
        <v>2</v>
      </c>
      <c r="H1272" s="648">
        <v>14</v>
      </c>
      <c r="I1272" s="648">
        <v>40500</v>
      </c>
      <c r="J1272" s="13" t="s">
        <v>255</v>
      </c>
    </row>
    <row r="1273" spans="2:10" x14ac:dyDescent="0.3">
      <c r="B1273" s="13" t="s">
        <v>496</v>
      </c>
      <c r="C1273" s="648">
        <v>2017</v>
      </c>
      <c r="D1273" s="13" t="s">
        <v>54</v>
      </c>
      <c r="E1273" s="13" t="s">
        <v>130</v>
      </c>
      <c r="F1273" s="13" t="s">
        <v>307</v>
      </c>
      <c r="G1273" s="648">
        <v>2</v>
      </c>
      <c r="H1273" s="648">
        <v>15</v>
      </c>
      <c r="I1273" s="648">
        <v>40500</v>
      </c>
      <c r="J1273" s="13" t="s">
        <v>255</v>
      </c>
    </row>
    <row r="1274" spans="2:10" x14ac:dyDescent="0.3">
      <c r="B1274" s="13" t="s">
        <v>496</v>
      </c>
      <c r="C1274" s="648">
        <v>2017</v>
      </c>
      <c r="D1274" s="13" t="s">
        <v>54</v>
      </c>
      <c r="E1274" s="13" t="s">
        <v>130</v>
      </c>
      <c r="F1274" s="13" t="s">
        <v>307</v>
      </c>
      <c r="G1274" s="648">
        <v>2</v>
      </c>
      <c r="H1274" s="648">
        <v>16</v>
      </c>
      <c r="I1274" s="648">
        <v>40500</v>
      </c>
      <c r="J1274" s="13" t="s">
        <v>255</v>
      </c>
    </row>
    <row r="1275" spans="2:10" x14ac:dyDescent="0.3">
      <c r="B1275" s="13" t="s">
        <v>496</v>
      </c>
      <c r="C1275" s="648">
        <v>2017</v>
      </c>
      <c r="D1275" s="13" t="s">
        <v>54</v>
      </c>
      <c r="E1275" s="13" t="s">
        <v>130</v>
      </c>
      <c r="F1275" s="13" t="s">
        <v>307</v>
      </c>
      <c r="G1275" s="648">
        <v>2</v>
      </c>
      <c r="H1275" s="648">
        <v>17</v>
      </c>
      <c r="I1275" s="648">
        <v>42500</v>
      </c>
      <c r="J1275" s="13" t="s">
        <v>255</v>
      </c>
    </row>
    <row r="1276" spans="2:10" x14ac:dyDescent="0.3">
      <c r="B1276" s="13" t="s">
        <v>496</v>
      </c>
      <c r="C1276" s="648">
        <v>2017</v>
      </c>
      <c r="D1276" s="13" t="s">
        <v>54</v>
      </c>
      <c r="E1276" s="13" t="s">
        <v>130</v>
      </c>
      <c r="F1276" s="13" t="s">
        <v>307</v>
      </c>
      <c r="G1276" s="648">
        <v>2</v>
      </c>
      <c r="H1276" s="648">
        <v>18</v>
      </c>
      <c r="I1276" s="648">
        <v>42500</v>
      </c>
      <c r="J1276" s="13" t="s">
        <v>255</v>
      </c>
    </row>
    <row r="1277" spans="2:10" x14ac:dyDescent="0.3">
      <c r="B1277" s="13" t="s">
        <v>496</v>
      </c>
      <c r="C1277" s="648">
        <v>2017</v>
      </c>
      <c r="D1277" s="13" t="s">
        <v>54</v>
      </c>
      <c r="E1277" s="13" t="s">
        <v>130</v>
      </c>
      <c r="F1277" s="13" t="s">
        <v>307</v>
      </c>
      <c r="G1277" s="648">
        <v>2</v>
      </c>
      <c r="H1277" s="648">
        <v>19</v>
      </c>
      <c r="I1277" s="648">
        <v>42500</v>
      </c>
      <c r="J1277" s="13" t="s">
        <v>255</v>
      </c>
    </row>
    <row r="1278" spans="2:10" x14ac:dyDescent="0.3">
      <c r="B1278" s="13" t="s">
        <v>496</v>
      </c>
      <c r="C1278" s="648">
        <v>2017</v>
      </c>
      <c r="D1278" s="13" t="s">
        <v>54</v>
      </c>
      <c r="E1278" s="13" t="s">
        <v>130</v>
      </c>
      <c r="F1278" s="13" t="s">
        <v>307</v>
      </c>
      <c r="G1278" s="648">
        <v>2</v>
      </c>
      <c r="H1278" s="648">
        <v>20</v>
      </c>
      <c r="I1278" s="648">
        <v>42500</v>
      </c>
      <c r="J1278" s="13" t="s">
        <v>255</v>
      </c>
    </row>
    <row r="1279" spans="2:10" x14ac:dyDescent="0.3">
      <c r="B1279" s="13" t="s">
        <v>497</v>
      </c>
      <c r="C1279" s="648">
        <v>2017</v>
      </c>
      <c r="D1279" s="13" t="s">
        <v>53</v>
      </c>
      <c r="E1279" s="13" t="s">
        <v>259</v>
      </c>
      <c r="F1279" s="13" t="s">
        <v>259</v>
      </c>
      <c r="G1279" s="648">
        <v>18</v>
      </c>
      <c r="H1279" s="648">
        <v>3</v>
      </c>
      <c r="I1279" s="648">
        <v>45000</v>
      </c>
      <c r="J1279" s="13" t="s">
        <v>255</v>
      </c>
    </row>
    <row r="1280" spans="2:10" x14ac:dyDescent="0.3">
      <c r="B1280" s="13" t="s">
        <v>497</v>
      </c>
      <c r="C1280" s="648">
        <v>2017</v>
      </c>
      <c r="D1280" s="13" t="s">
        <v>53</v>
      </c>
      <c r="E1280" s="13" t="s">
        <v>259</v>
      </c>
      <c r="F1280" s="13" t="s">
        <v>259</v>
      </c>
      <c r="G1280" s="648">
        <v>18</v>
      </c>
      <c r="H1280" s="648">
        <v>4</v>
      </c>
      <c r="I1280" s="648">
        <v>45000</v>
      </c>
      <c r="J1280" s="13" t="s">
        <v>255</v>
      </c>
    </row>
    <row r="1281" spans="2:10" x14ac:dyDescent="0.3">
      <c r="B1281" s="13" t="s">
        <v>497</v>
      </c>
      <c r="C1281" s="648">
        <v>2017</v>
      </c>
      <c r="D1281" s="13" t="s">
        <v>53</v>
      </c>
      <c r="E1281" s="13" t="s">
        <v>259</v>
      </c>
      <c r="F1281" s="13" t="s">
        <v>259</v>
      </c>
      <c r="G1281" s="648">
        <v>18</v>
      </c>
      <c r="H1281" s="648">
        <v>5</v>
      </c>
      <c r="I1281" s="648">
        <v>45000</v>
      </c>
      <c r="J1281" s="13" t="s">
        <v>255</v>
      </c>
    </row>
    <row r="1282" spans="2:10" x14ac:dyDescent="0.3">
      <c r="B1282" s="13" t="s">
        <v>497</v>
      </c>
      <c r="C1282" s="648">
        <v>2017</v>
      </c>
      <c r="D1282" s="13" t="s">
        <v>53</v>
      </c>
      <c r="E1282" s="13" t="s">
        <v>259</v>
      </c>
      <c r="F1282" s="13" t="s">
        <v>259</v>
      </c>
      <c r="G1282" s="648">
        <v>18</v>
      </c>
      <c r="H1282" s="648">
        <v>6</v>
      </c>
      <c r="I1282" s="648">
        <v>55000</v>
      </c>
      <c r="J1282" s="13" t="s">
        <v>255</v>
      </c>
    </row>
    <row r="1283" spans="2:10" x14ac:dyDescent="0.3">
      <c r="B1283" s="13" t="s">
        <v>497</v>
      </c>
      <c r="C1283" s="648">
        <v>2017</v>
      </c>
      <c r="D1283" s="13" t="s">
        <v>53</v>
      </c>
      <c r="E1283" s="13" t="s">
        <v>259</v>
      </c>
      <c r="F1283" s="13" t="s">
        <v>259</v>
      </c>
      <c r="G1283" s="648">
        <v>18</v>
      </c>
      <c r="H1283" s="648">
        <v>7</v>
      </c>
      <c r="I1283" s="648">
        <v>55000</v>
      </c>
      <c r="J1283" s="13" t="s">
        <v>255</v>
      </c>
    </row>
    <row r="1284" spans="2:10" x14ac:dyDescent="0.3">
      <c r="B1284" s="13" t="s">
        <v>497</v>
      </c>
      <c r="C1284" s="648">
        <v>2017</v>
      </c>
      <c r="D1284" s="13" t="s">
        <v>53</v>
      </c>
      <c r="E1284" s="13" t="s">
        <v>259</v>
      </c>
      <c r="F1284" s="13" t="s">
        <v>259</v>
      </c>
      <c r="G1284" s="648">
        <v>18</v>
      </c>
      <c r="H1284" s="648">
        <v>8</v>
      </c>
      <c r="I1284" s="648">
        <v>55000</v>
      </c>
      <c r="J1284" s="13" t="s">
        <v>255</v>
      </c>
    </row>
    <row r="1285" spans="2:10" x14ac:dyDescent="0.3">
      <c r="B1285" s="13" t="s">
        <v>497</v>
      </c>
      <c r="C1285" s="648">
        <v>2017</v>
      </c>
      <c r="D1285" s="13" t="s">
        <v>53</v>
      </c>
      <c r="E1285" s="13" t="s">
        <v>259</v>
      </c>
      <c r="F1285" s="13" t="s">
        <v>259</v>
      </c>
      <c r="G1285" s="648">
        <v>18</v>
      </c>
      <c r="H1285" s="648">
        <v>9</v>
      </c>
      <c r="I1285" s="648">
        <v>55000</v>
      </c>
      <c r="J1285" s="13" t="s">
        <v>255</v>
      </c>
    </row>
    <row r="1286" spans="2:10" x14ac:dyDescent="0.3">
      <c r="B1286" s="13" t="s">
        <v>497</v>
      </c>
      <c r="C1286" s="648">
        <v>2017</v>
      </c>
      <c r="D1286" s="13" t="s">
        <v>53</v>
      </c>
      <c r="E1286" s="13" t="s">
        <v>259</v>
      </c>
      <c r="F1286" s="13" t="s">
        <v>259</v>
      </c>
      <c r="G1286" s="648">
        <v>18</v>
      </c>
      <c r="H1286" s="648">
        <v>10</v>
      </c>
      <c r="I1286" s="648">
        <v>55000</v>
      </c>
      <c r="J1286" s="13" t="s">
        <v>255</v>
      </c>
    </row>
    <row r="1287" spans="2:10" x14ac:dyDescent="0.3">
      <c r="B1287" s="13" t="s">
        <v>497</v>
      </c>
      <c r="C1287" s="648">
        <v>2017</v>
      </c>
      <c r="D1287" s="13" t="s">
        <v>53</v>
      </c>
      <c r="E1287" s="13" t="s">
        <v>259</v>
      </c>
      <c r="F1287" s="13" t="s">
        <v>259</v>
      </c>
      <c r="G1287" s="648">
        <v>18</v>
      </c>
      <c r="H1287" s="648">
        <v>11</v>
      </c>
      <c r="I1287" s="648">
        <v>66000</v>
      </c>
      <c r="J1287" s="13" t="s">
        <v>255</v>
      </c>
    </row>
    <row r="1288" spans="2:10" x14ac:dyDescent="0.3">
      <c r="B1288" s="13" t="s">
        <v>497</v>
      </c>
      <c r="C1288" s="648">
        <v>2017</v>
      </c>
      <c r="D1288" s="13" t="s">
        <v>53</v>
      </c>
      <c r="E1288" s="13" t="s">
        <v>259</v>
      </c>
      <c r="F1288" s="13" t="s">
        <v>259</v>
      </c>
      <c r="G1288" s="648">
        <v>18</v>
      </c>
      <c r="H1288" s="648">
        <v>12</v>
      </c>
      <c r="I1288" s="648">
        <v>66000</v>
      </c>
      <c r="J1288" s="13" t="s">
        <v>255</v>
      </c>
    </row>
    <row r="1289" spans="2:10" x14ac:dyDescent="0.3">
      <c r="B1289" s="13" t="s">
        <v>497</v>
      </c>
      <c r="C1289" s="648">
        <v>2017</v>
      </c>
      <c r="D1289" s="13" t="s">
        <v>53</v>
      </c>
      <c r="E1289" s="13" t="s">
        <v>259</v>
      </c>
      <c r="F1289" s="13" t="s">
        <v>259</v>
      </c>
      <c r="G1289" s="648">
        <v>18</v>
      </c>
      <c r="H1289" s="648">
        <v>13</v>
      </c>
      <c r="I1289" s="648">
        <v>66000</v>
      </c>
      <c r="J1289" s="13" t="s">
        <v>255</v>
      </c>
    </row>
    <row r="1290" spans="2:10" x14ac:dyDescent="0.3">
      <c r="B1290" s="13" t="s">
        <v>497</v>
      </c>
      <c r="C1290" s="648">
        <v>2017</v>
      </c>
      <c r="D1290" s="13" t="s">
        <v>53</v>
      </c>
      <c r="E1290" s="13" t="s">
        <v>259</v>
      </c>
      <c r="F1290" s="13" t="s">
        <v>259</v>
      </c>
      <c r="G1290" s="648">
        <v>18</v>
      </c>
      <c r="H1290" s="648">
        <v>14</v>
      </c>
      <c r="I1290" s="648">
        <v>66000</v>
      </c>
      <c r="J1290" s="13" t="s">
        <v>255</v>
      </c>
    </row>
    <row r="1291" spans="2:10" x14ac:dyDescent="0.3">
      <c r="B1291" s="13" t="s">
        <v>497</v>
      </c>
      <c r="C1291" s="648">
        <v>2017</v>
      </c>
      <c r="D1291" s="13" t="s">
        <v>53</v>
      </c>
      <c r="E1291" s="13" t="s">
        <v>259</v>
      </c>
      <c r="F1291" s="13" t="s">
        <v>259</v>
      </c>
      <c r="G1291" s="648">
        <v>18</v>
      </c>
      <c r="H1291" s="648">
        <v>15</v>
      </c>
      <c r="I1291" s="648">
        <v>66000</v>
      </c>
      <c r="J1291" s="13" t="s">
        <v>255</v>
      </c>
    </row>
    <row r="1292" spans="2:10" x14ac:dyDescent="0.3">
      <c r="B1292" s="13" t="s">
        <v>497</v>
      </c>
      <c r="C1292" s="648">
        <v>2017</v>
      </c>
      <c r="D1292" s="13" t="s">
        <v>53</v>
      </c>
      <c r="E1292" s="13" t="s">
        <v>259</v>
      </c>
      <c r="F1292" s="13" t="s">
        <v>259</v>
      </c>
      <c r="G1292" s="648">
        <v>18</v>
      </c>
      <c r="H1292" s="648">
        <v>16</v>
      </c>
      <c r="I1292" s="648">
        <v>74000</v>
      </c>
      <c r="J1292" s="13" t="s">
        <v>255</v>
      </c>
    </row>
    <row r="1293" spans="2:10" x14ac:dyDescent="0.3">
      <c r="B1293" s="13" t="s">
        <v>497</v>
      </c>
      <c r="C1293" s="648">
        <v>2017</v>
      </c>
      <c r="D1293" s="13" t="s">
        <v>53</v>
      </c>
      <c r="E1293" s="13" t="s">
        <v>259</v>
      </c>
      <c r="F1293" s="13" t="s">
        <v>259</v>
      </c>
      <c r="G1293" s="648">
        <v>18</v>
      </c>
      <c r="H1293" s="648">
        <v>17</v>
      </c>
      <c r="I1293" s="648">
        <v>74000</v>
      </c>
      <c r="J1293" s="13" t="s">
        <v>255</v>
      </c>
    </row>
    <row r="1294" spans="2:10" x14ac:dyDescent="0.3">
      <c r="B1294" s="13" t="s">
        <v>497</v>
      </c>
      <c r="C1294" s="648">
        <v>2017</v>
      </c>
      <c r="D1294" s="13" t="s">
        <v>53</v>
      </c>
      <c r="E1294" s="13" t="s">
        <v>259</v>
      </c>
      <c r="F1294" s="13" t="s">
        <v>259</v>
      </c>
      <c r="G1294" s="648">
        <v>18</v>
      </c>
      <c r="H1294" s="648">
        <v>18</v>
      </c>
      <c r="I1294" s="648">
        <v>74000</v>
      </c>
      <c r="J1294" s="13" t="s">
        <v>255</v>
      </c>
    </row>
    <row r="1295" spans="2:10" x14ac:dyDescent="0.3">
      <c r="B1295" s="13" t="s">
        <v>497</v>
      </c>
      <c r="C1295" s="648">
        <v>2017</v>
      </c>
      <c r="D1295" s="13" t="s">
        <v>53</v>
      </c>
      <c r="E1295" s="13" t="s">
        <v>259</v>
      </c>
      <c r="F1295" s="13" t="s">
        <v>259</v>
      </c>
      <c r="G1295" s="648">
        <v>18</v>
      </c>
      <c r="H1295" s="648">
        <v>19</v>
      </c>
      <c r="I1295" s="648">
        <v>74000</v>
      </c>
      <c r="J1295" s="13" t="s">
        <v>255</v>
      </c>
    </row>
    <row r="1296" spans="2:10" x14ac:dyDescent="0.3">
      <c r="B1296" s="13" t="s">
        <v>497</v>
      </c>
      <c r="C1296" s="648">
        <v>2017</v>
      </c>
      <c r="D1296" s="13" t="s">
        <v>53</v>
      </c>
      <c r="E1296" s="13" t="s">
        <v>259</v>
      </c>
      <c r="F1296" s="13" t="s">
        <v>259</v>
      </c>
      <c r="G1296" s="648">
        <v>18</v>
      </c>
      <c r="H1296" s="648">
        <v>20</v>
      </c>
      <c r="I1296" s="648">
        <v>74000</v>
      </c>
      <c r="J1296" s="13" t="s">
        <v>255</v>
      </c>
    </row>
    <row r="1297" spans="2:10" x14ac:dyDescent="0.3">
      <c r="B1297" s="13" t="s">
        <v>498</v>
      </c>
      <c r="C1297" s="648">
        <v>2017</v>
      </c>
      <c r="D1297" s="13" t="s">
        <v>51</v>
      </c>
      <c r="E1297" s="13" t="s">
        <v>127</v>
      </c>
      <c r="F1297" s="13" t="s">
        <v>307</v>
      </c>
      <c r="G1297" s="648">
        <v>3</v>
      </c>
      <c r="H1297" s="648">
        <v>13</v>
      </c>
      <c r="I1297" s="648">
        <v>34000</v>
      </c>
      <c r="J1297" s="13" t="s">
        <v>255</v>
      </c>
    </row>
    <row r="1298" spans="2:10" x14ac:dyDescent="0.3">
      <c r="B1298" s="13" t="s">
        <v>498</v>
      </c>
      <c r="C1298" s="648">
        <v>2017</v>
      </c>
      <c r="D1298" s="13" t="s">
        <v>51</v>
      </c>
      <c r="E1298" s="13" t="s">
        <v>127</v>
      </c>
      <c r="F1298" s="13" t="s">
        <v>307</v>
      </c>
      <c r="G1298" s="648">
        <v>3</v>
      </c>
      <c r="H1298" s="648">
        <v>14</v>
      </c>
      <c r="I1298" s="648">
        <v>34000</v>
      </c>
      <c r="J1298" s="13" t="s">
        <v>255</v>
      </c>
    </row>
    <row r="1299" spans="2:10" x14ac:dyDescent="0.3">
      <c r="B1299" s="13" t="s">
        <v>498</v>
      </c>
      <c r="C1299" s="648">
        <v>2017</v>
      </c>
      <c r="D1299" s="13" t="s">
        <v>51</v>
      </c>
      <c r="E1299" s="13" t="s">
        <v>127</v>
      </c>
      <c r="F1299" s="13" t="s">
        <v>307</v>
      </c>
      <c r="G1299" s="648">
        <v>3</v>
      </c>
      <c r="H1299" s="648">
        <v>15</v>
      </c>
      <c r="I1299" s="648">
        <v>34000</v>
      </c>
      <c r="J1299" s="13" t="s">
        <v>255</v>
      </c>
    </row>
    <row r="1300" spans="2:10" x14ac:dyDescent="0.3">
      <c r="B1300" s="13" t="s">
        <v>498</v>
      </c>
      <c r="C1300" s="648">
        <v>2017</v>
      </c>
      <c r="D1300" s="13" t="s">
        <v>51</v>
      </c>
      <c r="E1300" s="13" t="s">
        <v>127</v>
      </c>
      <c r="F1300" s="13" t="s">
        <v>307</v>
      </c>
      <c r="G1300" s="648">
        <v>3</v>
      </c>
      <c r="H1300" s="648">
        <v>16</v>
      </c>
      <c r="I1300" s="648">
        <v>34000</v>
      </c>
      <c r="J1300" s="13" t="s">
        <v>255</v>
      </c>
    </row>
    <row r="1301" spans="2:10" x14ac:dyDescent="0.3">
      <c r="B1301" s="13" t="s">
        <v>498</v>
      </c>
      <c r="C1301" s="648">
        <v>2017</v>
      </c>
      <c r="D1301" s="13" t="s">
        <v>51</v>
      </c>
      <c r="E1301" s="13" t="s">
        <v>127</v>
      </c>
      <c r="F1301" s="13" t="s">
        <v>307</v>
      </c>
      <c r="G1301" s="648">
        <v>3</v>
      </c>
      <c r="H1301" s="648">
        <v>17</v>
      </c>
      <c r="I1301" s="648">
        <v>36000</v>
      </c>
      <c r="J1301" s="13" t="s">
        <v>255</v>
      </c>
    </row>
    <row r="1302" spans="2:10" x14ac:dyDescent="0.3">
      <c r="B1302" s="13" t="s">
        <v>498</v>
      </c>
      <c r="C1302" s="648">
        <v>2017</v>
      </c>
      <c r="D1302" s="13" t="s">
        <v>51</v>
      </c>
      <c r="E1302" s="13" t="s">
        <v>127</v>
      </c>
      <c r="F1302" s="13" t="s">
        <v>307</v>
      </c>
      <c r="G1302" s="648">
        <v>3</v>
      </c>
      <c r="H1302" s="648">
        <v>18</v>
      </c>
      <c r="I1302" s="648">
        <v>36000</v>
      </c>
      <c r="J1302" s="13" t="s">
        <v>255</v>
      </c>
    </row>
    <row r="1303" spans="2:10" x14ac:dyDescent="0.3">
      <c r="B1303" s="13" t="s">
        <v>498</v>
      </c>
      <c r="C1303" s="648">
        <v>2017</v>
      </c>
      <c r="D1303" s="13" t="s">
        <v>51</v>
      </c>
      <c r="E1303" s="13" t="s">
        <v>127</v>
      </c>
      <c r="F1303" s="13" t="s">
        <v>307</v>
      </c>
      <c r="G1303" s="648">
        <v>3</v>
      </c>
      <c r="H1303" s="648">
        <v>19</v>
      </c>
      <c r="I1303" s="648">
        <v>36000</v>
      </c>
      <c r="J1303" s="13" t="s">
        <v>255</v>
      </c>
    </row>
    <row r="1304" spans="2:10" x14ac:dyDescent="0.3">
      <c r="B1304" s="13" t="s">
        <v>498</v>
      </c>
      <c r="C1304" s="648">
        <v>2017</v>
      </c>
      <c r="D1304" s="13" t="s">
        <v>51</v>
      </c>
      <c r="E1304" s="13" t="s">
        <v>127</v>
      </c>
      <c r="F1304" s="13" t="s">
        <v>307</v>
      </c>
      <c r="G1304" s="648">
        <v>3</v>
      </c>
      <c r="H1304" s="648">
        <v>20</v>
      </c>
      <c r="I1304" s="648">
        <v>36000</v>
      </c>
      <c r="J1304" s="13" t="s">
        <v>255</v>
      </c>
    </row>
    <row r="1305" spans="2:10" x14ac:dyDescent="0.3">
      <c r="B1305" s="13" t="s">
        <v>504</v>
      </c>
      <c r="C1305" s="648">
        <v>2018</v>
      </c>
      <c r="D1305" s="13" t="s">
        <v>51</v>
      </c>
      <c r="E1305" s="13" t="s">
        <v>63</v>
      </c>
      <c r="F1305" s="13" t="s">
        <v>308</v>
      </c>
      <c r="G1305" s="648">
        <v>4</v>
      </c>
      <c r="H1305" s="648">
        <v>3</v>
      </c>
      <c r="I1305" s="648">
        <v>42000</v>
      </c>
      <c r="J1305" s="13" t="s">
        <v>280</v>
      </c>
    </row>
    <row r="1306" spans="2:10" x14ac:dyDescent="0.3">
      <c r="B1306" s="13" t="s">
        <v>504</v>
      </c>
      <c r="C1306" s="648">
        <v>2018</v>
      </c>
      <c r="D1306" s="13" t="s">
        <v>51</v>
      </c>
      <c r="E1306" s="13" t="s">
        <v>63</v>
      </c>
      <c r="F1306" s="13" t="s">
        <v>308</v>
      </c>
      <c r="G1306" s="648">
        <v>4</v>
      </c>
      <c r="H1306" s="648">
        <v>4</v>
      </c>
      <c r="I1306" s="648">
        <v>42000</v>
      </c>
      <c r="J1306" s="13" t="s">
        <v>280</v>
      </c>
    </row>
    <row r="1307" spans="2:10" x14ac:dyDescent="0.3">
      <c r="B1307" s="13" t="s">
        <v>504</v>
      </c>
      <c r="C1307" s="648">
        <v>2018</v>
      </c>
      <c r="D1307" s="13" t="s">
        <v>51</v>
      </c>
      <c r="E1307" s="13" t="s">
        <v>63</v>
      </c>
      <c r="F1307" s="13" t="s">
        <v>308</v>
      </c>
      <c r="G1307" s="648">
        <v>4</v>
      </c>
      <c r="H1307" s="648">
        <v>5</v>
      </c>
      <c r="I1307" s="648">
        <v>42000</v>
      </c>
      <c r="J1307" s="13" t="s">
        <v>280</v>
      </c>
    </row>
    <row r="1308" spans="2:10" x14ac:dyDescent="0.3">
      <c r="B1308" s="13" t="s">
        <v>504</v>
      </c>
      <c r="C1308" s="648">
        <v>2018</v>
      </c>
      <c r="D1308" s="13" t="s">
        <v>51</v>
      </c>
      <c r="E1308" s="13" t="s">
        <v>63</v>
      </c>
      <c r="F1308" s="13" t="s">
        <v>308</v>
      </c>
      <c r="G1308" s="648">
        <v>4</v>
      </c>
      <c r="H1308" s="648">
        <v>6</v>
      </c>
      <c r="I1308" s="648">
        <v>48000</v>
      </c>
      <c r="J1308" s="13" t="s">
        <v>280</v>
      </c>
    </row>
    <row r="1309" spans="2:10" x14ac:dyDescent="0.3">
      <c r="B1309" s="13" t="s">
        <v>504</v>
      </c>
      <c r="C1309" s="648">
        <v>2018</v>
      </c>
      <c r="D1309" s="13" t="s">
        <v>51</v>
      </c>
      <c r="E1309" s="13" t="s">
        <v>63</v>
      </c>
      <c r="F1309" s="13" t="s">
        <v>308</v>
      </c>
      <c r="G1309" s="648">
        <v>4</v>
      </c>
      <c r="H1309" s="648">
        <v>7</v>
      </c>
      <c r="I1309" s="648">
        <v>48000</v>
      </c>
      <c r="J1309" s="13" t="s">
        <v>280</v>
      </c>
    </row>
    <row r="1310" spans="2:10" x14ac:dyDescent="0.3">
      <c r="B1310" s="13" t="s">
        <v>504</v>
      </c>
      <c r="C1310" s="648">
        <v>2018</v>
      </c>
      <c r="D1310" s="13" t="s">
        <v>51</v>
      </c>
      <c r="E1310" s="13" t="s">
        <v>63</v>
      </c>
      <c r="F1310" s="13" t="s">
        <v>308</v>
      </c>
      <c r="G1310" s="648">
        <v>4</v>
      </c>
      <c r="H1310" s="648">
        <v>8</v>
      </c>
      <c r="I1310" s="648">
        <v>53000</v>
      </c>
      <c r="J1310" s="13" t="s">
        <v>280</v>
      </c>
    </row>
    <row r="1311" spans="2:10" x14ac:dyDescent="0.3">
      <c r="B1311" s="13" t="s">
        <v>504</v>
      </c>
      <c r="C1311" s="648">
        <v>2018</v>
      </c>
      <c r="D1311" s="13" t="s">
        <v>51</v>
      </c>
      <c r="E1311" s="13" t="s">
        <v>63</v>
      </c>
      <c r="F1311" s="13" t="s">
        <v>308</v>
      </c>
      <c r="G1311" s="648">
        <v>4</v>
      </c>
      <c r="H1311" s="648">
        <v>9</v>
      </c>
      <c r="I1311" s="648">
        <v>53000</v>
      </c>
      <c r="J1311" s="13" t="s">
        <v>280</v>
      </c>
    </row>
    <row r="1312" spans="2:10" x14ac:dyDescent="0.3">
      <c r="B1312" s="13" t="s">
        <v>504</v>
      </c>
      <c r="C1312" s="648">
        <v>2018</v>
      </c>
      <c r="D1312" s="13" t="s">
        <v>51</v>
      </c>
      <c r="E1312" s="13" t="s">
        <v>63</v>
      </c>
      <c r="F1312" s="13" t="s">
        <v>308</v>
      </c>
      <c r="G1312" s="648">
        <v>4</v>
      </c>
      <c r="H1312" s="648">
        <v>10</v>
      </c>
      <c r="I1312" s="648">
        <v>53000</v>
      </c>
      <c r="J1312" s="13" t="s">
        <v>280</v>
      </c>
    </row>
    <row r="1313" spans="2:10" x14ac:dyDescent="0.3">
      <c r="B1313" s="13" t="s">
        <v>504</v>
      </c>
      <c r="C1313" s="648">
        <v>2018</v>
      </c>
      <c r="D1313" s="13" t="s">
        <v>51</v>
      </c>
      <c r="E1313" s="13" t="s">
        <v>63</v>
      </c>
      <c r="F1313" s="13" t="s">
        <v>308</v>
      </c>
      <c r="G1313" s="648">
        <v>4</v>
      </c>
      <c r="H1313" s="648">
        <v>11</v>
      </c>
      <c r="I1313" s="648">
        <v>58000</v>
      </c>
      <c r="J1313" s="13" t="s">
        <v>280</v>
      </c>
    </row>
    <row r="1314" spans="2:10" x14ac:dyDescent="0.3">
      <c r="B1314" s="13" t="s">
        <v>504</v>
      </c>
      <c r="C1314" s="648">
        <v>2018</v>
      </c>
      <c r="D1314" s="13" t="s">
        <v>51</v>
      </c>
      <c r="E1314" s="13" t="s">
        <v>63</v>
      </c>
      <c r="F1314" s="13" t="s">
        <v>308</v>
      </c>
      <c r="G1314" s="648">
        <v>4</v>
      </c>
      <c r="H1314" s="648">
        <v>12</v>
      </c>
      <c r="I1314" s="648">
        <v>58000</v>
      </c>
      <c r="J1314" s="13" t="s">
        <v>280</v>
      </c>
    </row>
    <row r="1315" spans="2:10" x14ac:dyDescent="0.3">
      <c r="B1315" s="13" t="s">
        <v>504</v>
      </c>
      <c r="C1315" s="648">
        <v>2018</v>
      </c>
      <c r="D1315" s="13" t="s">
        <v>51</v>
      </c>
      <c r="E1315" s="13" t="s">
        <v>63</v>
      </c>
      <c r="F1315" s="13" t="s">
        <v>308</v>
      </c>
      <c r="G1315" s="648">
        <v>4</v>
      </c>
      <c r="H1315" s="648">
        <v>13</v>
      </c>
      <c r="I1315" s="648">
        <v>58000</v>
      </c>
      <c r="J1315" s="13" t="s">
        <v>280</v>
      </c>
    </row>
    <row r="1316" spans="2:10" x14ac:dyDescent="0.3">
      <c r="B1316" s="13" t="s">
        <v>504</v>
      </c>
      <c r="C1316" s="648">
        <v>2018</v>
      </c>
      <c r="D1316" s="13" t="s">
        <v>51</v>
      </c>
      <c r="E1316" s="13" t="s">
        <v>63</v>
      </c>
      <c r="F1316" s="13" t="s">
        <v>308</v>
      </c>
      <c r="G1316" s="648">
        <v>4</v>
      </c>
      <c r="H1316" s="648">
        <v>14</v>
      </c>
      <c r="I1316" s="648">
        <v>58000</v>
      </c>
      <c r="J1316" s="13" t="s">
        <v>280</v>
      </c>
    </row>
    <row r="1317" spans="2:10" x14ac:dyDescent="0.3">
      <c r="B1317" s="13" t="s">
        <v>504</v>
      </c>
      <c r="C1317" s="648">
        <v>2018</v>
      </c>
      <c r="D1317" s="13" t="s">
        <v>51</v>
      </c>
      <c r="E1317" s="13" t="s">
        <v>63</v>
      </c>
      <c r="F1317" s="13" t="s">
        <v>308</v>
      </c>
      <c r="G1317" s="648">
        <v>4</v>
      </c>
      <c r="H1317" s="648">
        <v>15</v>
      </c>
      <c r="I1317" s="648">
        <v>58000</v>
      </c>
      <c r="J1317" s="13" t="s">
        <v>280</v>
      </c>
    </row>
    <row r="1318" spans="2:10" x14ac:dyDescent="0.3">
      <c r="B1318" s="13" t="s">
        <v>504</v>
      </c>
      <c r="C1318" s="648">
        <v>2018</v>
      </c>
      <c r="D1318" s="13" t="s">
        <v>51</v>
      </c>
      <c r="E1318" s="13" t="s">
        <v>63</v>
      </c>
      <c r="F1318" s="13" t="s">
        <v>308</v>
      </c>
      <c r="G1318" s="648">
        <v>4</v>
      </c>
      <c r="H1318" s="648">
        <v>16</v>
      </c>
      <c r="I1318" s="648">
        <v>65000</v>
      </c>
      <c r="J1318" s="13" t="s">
        <v>280</v>
      </c>
    </row>
    <row r="1319" spans="2:10" x14ac:dyDescent="0.3">
      <c r="B1319" s="13" t="s">
        <v>504</v>
      </c>
      <c r="C1319" s="648">
        <v>2018</v>
      </c>
      <c r="D1319" s="13" t="s">
        <v>51</v>
      </c>
      <c r="E1319" s="13" t="s">
        <v>63</v>
      </c>
      <c r="F1319" s="13" t="s">
        <v>308</v>
      </c>
      <c r="G1319" s="648">
        <v>4</v>
      </c>
      <c r="H1319" s="648">
        <v>17</v>
      </c>
      <c r="I1319" s="648">
        <v>65000</v>
      </c>
      <c r="J1319" s="13" t="s">
        <v>280</v>
      </c>
    </row>
    <row r="1320" spans="2:10" x14ac:dyDescent="0.3">
      <c r="B1320" s="13" t="s">
        <v>504</v>
      </c>
      <c r="C1320" s="648">
        <v>2018</v>
      </c>
      <c r="D1320" s="13" t="s">
        <v>51</v>
      </c>
      <c r="E1320" s="13" t="s">
        <v>63</v>
      </c>
      <c r="F1320" s="13" t="s">
        <v>308</v>
      </c>
      <c r="G1320" s="648">
        <v>4</v>
      </c>
      <c r="H1320" s="648">
        <v>18</v>
      </c>
      <c r="I1320" s="648">
        <v>65000</v>
      </c>
      <c r="J1320" s="13" t="s">
        <v>280</v>
      </c>
    </row>
    <row r="1321" spans="2:10" x14ac:dyDescent="0.3">
      <c r="B1321" s="13" t="s">
        <v>504</v>
      </c>
      <c r="C1321" s="648">
        <v>2018</v>
      </c>
      <c r="D1321" s="13" t="s">
        <v>51</v>
      </c>
      <c r="E1321" s="13" t="s">
        <v>63</v>
      </c>
      <c r="F1321" s="13" t="s">
        <v>308</v>
      </c>
      <c r="G1321" s="648">
        <v>4</v>
      </c>
      <c r="H1321" s="648">
        <v>19</v>
      </c>
      <c r="I1321" s="648">
        <v>65000</v>
      </c>
      <c r="J1321" s="13" t="s">
        <v>280</v>
      </c>
    </row>
    <row r="1322" spans="2:10" x14ac:dyDescent="0.3">
      <c r="B1322" s="13" t="s">
        <v>504</v>
      </c>
      <c r="C1322" s="648">
        <v>2018</v>
      </c>
      <c r="D1322" s="13" t="s">
        <v>51</v>
      </c>
      <c r="E1322" s="13" t="s">
        <v>63</v>
      </c>
      <c r="F1322" s="13" t="s">
        <v>308</v>
      </c>
      <c r="G1322" s="648">
        <v>4</v>
      </c>
      <c r="H1322" s="648">
        <v>20</v>
      </c>
      <c r="I1322" s="648">
        <v>65000</v>
      </c>
      <c r="J1322" s="13" t="s">
        <v>280</v>
      </c>
    </row>
    <row r="1323" spans="2:10" x14ac:dyDescent="0.3">
      <c r="B1323" s="13" t="s">
        <v>505</v>
      </c>
      <c r="C1323" s="648">
        <v>2018</v>
      </c>
      <c r="D1323" s="13" t="s">
        <v>51</v>
      </c>
      <c r="E1323" s="13" t="s">
        <v>52</v>
      </c>
      <c r="F1323" s="13" t="s">
        <v>306</v>
      </c>
      <c r="G1323" s="648">
        <v>3</v>
      </c>
      <c r="H1323" s="648">
        <v>13</v>
      </c>
      <c r="I1323" s="648">
        <v>41000</v>
      </c>
      <c r="J1323" s="13" t="s">
        <v>280</v>
      </c>
    </row>
    <row r="1324" spans="2:10" x14ac:dyDescent="0.3">
      <c r="B1324" s="13" t="s">
        <v>505</v>
      </c>
      <c r="C1324" s="648">
        <v>2018</v>
      </c>
      <c r="D1324" s="13" t="s">
        <v>51</v>
      </c>
      <c r="E1324" s="13" t="s">
        <v>52</v>
      </c>
      <c r="F1324" s="13" t="s">
        <v>306</v>
      </c>
      <c r="G1324" s="648">
        <v>3</v>
      </c>
      <c r="H1324" s="648">
        <v>14</v>
      </c>
      <c r="I1324" s="648">
        <v>41000</v>
      </c>
      <c r="J1324" s="13" t="s">
        <v>280</v>
      </c>
    </row>
    <row r="1325" spans="2:10" x14ac:dyDescent="0.3">
      <c r="B1325" s="13" t="s">
        <v>505</v>
      </c>
      <c r="C1325" s="648">
        <v>2018</v>
      </c>
      <c r="D1325" s="13" t="s">
        <v>51</v>
      </c>
      <c r="E1325" s="13" t="s">
        <v>52</v>
      </c>
      <c r="F1325" s="13" t="s">
        <v>306</v>
      </c>
      <c r="G1325" s="648">
        <v>3</v>
      </c>
      <c r="H1325" s="648">
        <v>15</v>
      </c>
      <c r="I1325" s="648">
        <v>41000</v>
      </c>
      <c r="J1325" s="13" t="s">
        <v>280</v>
      </c>
    </row>
    <row r="1326" spans="2:10" x14ac:dyDescent="0.3">
      <c r="B1326" s="13" t="s">
        <v>505</v>
      </c>
      <c r="C1326" s="648">
        <v>2018</v>
      </c>
      <c r="D1326" s="13" t="s">
        <v>51</v>
      </c>
      <c r="E1326" s="13" t="s">
        <v>52</v>
      </c>
      <c r="F1326" s="13" t="s">
        <v>306</v>
      </c>
      <c r="G1326" s="648">
        <v>3</v>
      </c>
      <c r="H1326" s="648">
        <v>16</v>
      </c>
      <c r="I1326" s="648">
        <v>45000</v>
      </c>
      <c r="J1326" s="13" t="s">
        <v>280</v>
      </c>
    </row>
    <row r="1327" spans="2:10" x14ac:dyDescent="0.3">
      <c r="B1327" s="13" t="s">
        <v>505</v>
      </c>
      <c r="C1327" s="648">
        <v>2018</v>
      </c>
      <c r="D1327" s="13" t="s">
        <v>51</v>
      </c>
      <c r="E1327" s="13" t="s">
        <v>52</v>
      </c>
      <c r="F1327" s="13" t="s">
        <v>306</v>
      </c>
      <c r="G1327" s="648">
        <v>3</v>
      </c>
      <c r="H1327" s="648">
        <v>17</v>
      </c>
      <c r="I1327" s="648">
        <v>45000</v>
      </c>
      <c r="J1327" s="13" t="s">
        <v>280</v>
      </c>
    </row>
    <row r="1328" spans="2:10" x14ac:dyDescent="0.3">
      <c r="B1328" s="13" t="s">
        <v>505</v>
      </c>
      <c r="C1328" s="648">
        <v>2018</v>
      </c>
      <c r="D1328" s="13" t="s">
        <v>51</v>
      </c>
      <c r="E1328" s="13" t="s">
        <v>52</v>
      </c>
      <c r="F1328" s="13" t="s">
        <v>306</v>
      </c>
      <c r="G1328" s="648">
        <v>3</v>
      </c>
      <c r="H1328" s="648">
        <v>18</v>
      </c>
      <c r="I1328" s="648">
        <v>47500</v>
      </c>
      <c r="J1328" s="13" t="s">
        <v>280</v>
      </c>
    </row>
    <row r="1329" spans="2:10" x14ac:dyDescent="0.3">
      <c r="B1329" s="13" t="s">
        <v>505</v>
      </c>
      <c r="C1329" s="648">
        <v>2018</v>
      </c>
      <c r="D1329" s="13" t="s">
        <v>51</v>
      </c>
      <c r="E1329" s="13" t="s">
        <v>52</v>
      </c>
      <c r="F1329" s="13" t="s">
        <v>306</v>
      </c>
      <c r="G1329" s="648">
        <v>3</v>
      </c>
      <c r="H1329" s="648">
        <v>19</v>
      </c>
      <c r="I1329" s="648">
        <v>47500</v>
      </c>
      <c r="J1329" s="13" t="s">
        <v>280</v>
      </c>
    </row>
    <row r="1330" spans="2:10" x14ac:dyDescent="0.3">
      <c r="B1330" s="13" t="s">
        <v>505</v>
      </c>
      <c r="C1330" s="648">
        <v>2018</v>
      </c>
      <c r="D1330" s="13" t="s">
        <v>51</v>
      </c>
      <c r="E1330" s="13" t="s">
        <v>52</v>
      </c>
      <c r="F1330" s="13" t="s">
        <v>306</v>
      </c>
      <c r="G1330" s="648">
        <v>3</v>
      </c>
      <c r="H1330" s="648">
        <v>20</v>
      </c>
      <c r="I1330" s="648">
        <v>47500</v>
      </c>
      <c r="J1330" s="13" t="s">
        <v>280</v>
      </c>
    </row>
    <row r="1331" spans="2:10" x14ac:dyDescent="0.3">
      <c r="B1331" s="13" t="s">
        <v>506</v>
      </c>
      <c r="C1331" s="648">
        <v>2018</v>
      </c>
      <c r="D1331" s="13" t="s">
        <v>51</v>
      </c>
      <c r="E1331" s="13" t="s">
        <v>58</v>
      </c>
      <c r="F1331" s="13" t="s">
        <v>306</v>
      </c>
      <c r="G1331" s="648">
        <v>1</v>
      </c>
      <c r="H1331" s="648">
        <v>2</v>
      </c>
      <c r="I1331" s="648">
        <v>32000</v>
      </c>
      <c r="J1331" s="13" t="s">
        <v>280</v>
      </c>
    </row>
    <row r="1332" spans="2:10" x14ac:dyDescent="0.3">
      <c r="B1332" s="13" t="s">
        <v>506</v>
      </c>
      <c r="C1332" s="648">
        <v>2018</v>
      </c>
      <c r="D1332" s="13" t="s">
        <v>51</v>
      </c>
      <c r="E1332" s="13" t="s">
        <v>58</v>
      </c>
      <c r="F1332" s="13" t="s">
        <v>306</v>
      </c>
      <c r="G1332" s="648">
        <v>1</v>
      </c>
      <c r="H1332" s="648">
        <v>3</v>
      </c>
      <c r="I1332" s="648">
        <v>32480</v>
      </c>
      <c r="J1332" s="13" t="s">
        <v>280</v>
      </c>
    </row>
    <row r="1333" spans="2:10" x14ac:dyDescent="0.3">
      <c r="B1333" s="13" t="s">
        <v>506</v>
      </c>
      <c r="C1333" s="648">
        <v>2018</v>
      </c>
      <c r="D1333" s="13" t="s">
        <v>51</v>
      </c>
      <c r="E1333" s="13" t="s">
        <v>58</v>
      </c>
      <c r="F1333" s="13" t="s">
        <v>306</v>
      </c>
      <c r="G1333" s="648">
        <v>1</v>
      </c>
      <c r="H1333" s="648">
        <v>4</v>
      </c>
      <c r="I1333" s="648">
        <v>38487</v>
      </c>
      <c r="J1333" s="13" t="s">
        <v>280</v>
      </c>
    </row>
    <row r="1334" spans="2:10" x14ac:dyDescent="0.3">
      <c r="B1334" s="13" t="s">
        <v>506</v>
      </c>
      <c r="C1334" s="648">
        <v>2018</v>
      </c>
      <c r="D1334" s="13" t="s">
        <v>51</v>
      </c>
      <c r="E1334" s="13" t="s">
        <v>58</v>
      </c>
      <c r="F1334" s="13" t="s">
        <v>306</v>
      </c>
      <c r="G1334" s="648">
        <v>1</v>
      </c>
      <c r="H1334" s="648">
        <v>5</v>
      </c>
      <c r="I1334" s="648">
        <v>39065</v>
      </c>
      <c r="J1334" s="13" t="s">
        <v>280</v>
      </c>
    </row>
    <row r="1335" spans="2:10" x14ac:dyDescent="0.3">
      <c r="B1335" s="13" t="s">
        <v>506</v>
      </c>
      <c r="C1335" s="648">
        <v>2018</v>
      </c>
      <c r="D1335" s="13" t="s">
        <v>51</v>
      </c>
      <c r="E1335" s="13" t="s">
        <v>58</v>
      </c>
      <c r="F1335" s="13" t="s">
        <v>306</v>
      </c>
      <c r="G1335" s="648">
        <v>1</v>
      </c>
      <c r="H1335" s="648">
        <v>6</v>
      </c>
      <c r="I1335" s="648">
        <v>39650</v>
      </c>
      <c r="J1335" s="13" t="s">
        <v>280</v>
      </c>
    </row>
    <row r="1336" spans="2:10" x14ac:dyDescent="0.3">
      <c r="B1336" s="13" t="s">
        <v>506</v>
      </c>
      <c r="C1336" s="648">
        <v>2018</v>
      </c>
      <c r="D1336" s="13" t="s">
        <v>51</v>
      </c>
      <c r="E1336" s="13" t="s">
        <v>58</v>
      </c>
      <c r="F1336" s="13" t="s">
        <v>306</v>
      </c>
      <c r="G1336" s="648">
        <v>1</v>
      </c>
      <c r="H1336" s="648">
        <v>7</v>
      </c>
      <c r="I1336" s="648">
        <v>40245</v>
      </c>
      <c r="J1336" s="13" t="s">
        <v>280</v>
      </c>
    </row>
    <row r="1337" spans="2:10" x14ac:dyDescent="0.3">
      <c r="B1337" s="13" t="s">
        <v>506</v>
      </c>
      <c r="C1337" s="648">
        <v>2018</v>
      </c>
      <c r="D1337" s="13" t="s">
        <v>51</v>
      </c>
      <c r="E1337" s="13" t="s">
        <v>58</v>
      </c>
      <c r="F1337" s="13" t="s">
        <v>306</v>
      </c>
      <c r="G1337" s="648">
        <v>1</v>
      </c>
      <c r="H1337" s="648">
        <v>8</v>
      </c>
      <c r="I1337" s="648">
        <v>43000</v>
      </c>
      <c r="J1337" s="13" t="s">
        <v>280</v>
      </c>
    </row>
    <row r="1338" spans="2:10" x14ac:dyDescent="0.3">
      <c r="B1338" s="13" t="s">
        <v>506</v>
      </c>
      <c r="C1338" s="648">
        <v>2018</v>
      </c>
      <c r="D1338" s="13" t="s">
        <v>51</v>
      </c>
      <c r="E1338" s="13" t="s">
        <v>58</v>
      </c>
      <c r="F1338" s="13" t="s">
        <v>306</v>
      </c>
      <c r="G1338" s="648">
        <v>1</v>
      </c>
      <c r="H1338" s="648">
        <v>9</v>
      </c>
      <c r="I1338" s="648">
        <v>43645</v>
      </c>
      <c r="J1338" s="13" t="s">
        <v>280</v>
      </c>
    </row>
    <row r="1339" spans="2:10" x14ac:dyDescent="0.3">
      <c r="B1339" s="13" t="s">
        <v>506</v>
      </c>
      <c r="C1339" s="648">
        <v>2018</v>
      </c>
      <c r="D1339" s="13" t="s">
        <v>51</v>
      </c>
      <c r="E1339" s="13" t="s">
        <v>58</v>
      </c>
      <c r="F1339" s="13" t="s">
        <v>306</v>
      </c>
      <c r="G1339" s="648">
        <v>1</v>
      </c>
      <c r="H1339" s="648">
        <v>10</v>
      </c>
      <c r="I1339" s="648">
        <v>45655</v>
      </c>
      <c r="J1339" s="13" t="s">
        <v>280</v>
      </c>
    </row>
    <row r="1340" spans="2:10" x14ac:dyDescent="0.3">
      <c r="B1340" s="13" t="s">
        <v>506</v>
      </c>
      <c r="C1340" s="648">
        <v>2018</v>
      </c>
      <c r="D1340" s="13" t="s">
        <v>51</v>
      </c>
      <c r="E1340" s="13" t="s">
        <v>58</v>
      </c>
      <c r="F1340" s="13" t="s">
        <v>306</v>
      </c>
      <c r="G1340" s="648">
        <v>1</v>
      </c>
      <c r="H1340" s="648">
        <v>11</v>
      </c>
      <c r="I1340" s="648">
        <v>46339</v>
      </c>
      <c r="J1340" s="13" t="s">
        <v>280</v>
      </c>
    </row>
    <row r="1341" spans="2:10" x14ac:dyDescent="0.3">
      <c r="B1341" s="13" t="s">
        <v>506</v>
      </c>
      <c r="C1341" s="648">
        <v>2018</v>
      </c>
      <c r="D1341" s="13" t="s">
        <v>51</v>
      </c>
      <c r="E1341" s="13" t="s">
        <v>58</v>
      </c>
      <c r="F1341" s="13" t="s">
        <v>306</v>
      </c>
      <c r="G1341" s="648">
        <v>1</v>
      </c>
      <c r="H1341" s="648">
        <v>12</v>
      </c>
      <c r="I1341" s="648">
        <v>47035</v>
      </c>
      <c r="J1341" s="13" t="s">
        <v>280</v>
      </c>
    </row>
    <row r="1342" spans="2:10" x14ac:dyDescent="0.3">
      <c r="B1342" s="13" t="s">
        <v>506</v>
      </c>
      <c r="C1342" s="648">
        <v>2018</v>
      </c>
      <c r="D1342" s="13" t="s">
        <v>51</v>
      </c>
      <c r="E1342" s="13" t="s">
        <v>58</v>
      </c>
      <c r="F1342" s="13" t="s">
        <v>306</v>
      </c>
      <c r="G1342" s="648">
        <v>1</v>
      </c>
      <c r="H1342" s="648">
        <v>13</v>
      </c>
      <c r="I1342" s="648">
        <v>47740</v>
      </c>
      <c r="J1342" s="13" t="s">
        <v>280</v>
      </c>
    </row>
    <row r="1343" spans="2:10" x14ac:dyDescent="0.3">
      <c r="B1343" s="13" t="s">
        <v>506</v>
      </c>
      <c r="C1343" s="648">
        <v>2018</v>
      </c>
      <c r="D1343" s="13" t="s">
        <v>51</v>
      </c>
      <c r="E1343" s="13" t="s">
        <v>58</v>
      </c>
      <c r="F1343" s="13" t="s">
        <v>306</v>
      </c>
      <c r="G1343" s="648">
        <v>1</v>
      </c>
      <c r="H1343" s="648">
        <v>14</v>
      </c>
      <c r="I1343" s="648">
        <v>48456</v>
      </c>
      <c r="J1343" s="13" t="s">
        <v>280</v>
      </c>
    </row>
    <row r="1344" spans="2:10" x14ac:dyDescent="0.3">
      <c r="B1344" s="13" t="s">
        <v>506</v>
      </c>
      <c r="C1344" s="648">
        <v>2018</v>
      </c>
      <c r="D1344" s="13" t="s">
        <v>51</v>
      </c>
      <c r="E1344" s="13" t="s">
        <v>58</v>
      </c>
      <c r="F1344" s="13" t="s">
        <v>306</v>
      </c>
      <c r="G1344" s="648">
        <v>1</v>
      </c>
      <c r="H1344" s="648">
        <v>15</v>
      </c>
      <c r="I1344" s="648">
        <v>54000</v>
      </c>
      <c r="J1344" s="13" t="s">
        <v>280</v>
      </c>
    </row>
    <row r="1345" spans="2:10" x14ac:dyDescent="0.3">
      <c r="B1345" s="13" t="s">
        <v>506</v>
      </c>
      <c r="C1345" s="648">
        <v>2018</v>
      </c>
      <c r="D1345" s="13" t="s">
        <v>51</v>
      </c>
      <c r="E1345" s="13" t="s">
        <v>58</v>
      </c>
      <c r="F1345" s="13" t="s">
        <v>306</v>
      </c>
      <c r="G1345" s="648">
        <v>1</v>
      </c>
      <c r="H1345" s="648">
        <v>16</v>
      </c>
      <c r="I1345" s="648">
        <v>54810</v>
      </c>
      <c r="J1345" s="13" t="s">
        <v>280</v>
      </c>
    </row>
    <row r="1346" spans="2:10" x14ac:dyDescent="0.3">
      <c r="B1346" s="13" t="s">
        <v>506</v>
      </c>
      <c r="C1346" s="648">
        <v>2018</v>
      </c>
      <c r="D1346" s="13" t="s">
        <v>51</v>
      </c>
      <c r="E1346" s="13" t="s">
        <v>58</v>
      </c>
      <c r="F1346" s="13" t="s">
        <v>306</v>
      </c>
      <c r="G1346" s="648">
        <v>1</v>
      </c>
      <c r="H1346" s="648">
        <v>17</v>
      </c>
      <c r="I1346" s="648">
        <v>55632</v>
      </c>
      <c r="J1346" s="13" t="s">
        <v>280</v>
      </c>
    </row>
    <row r="1347" spans="2:10" x14ac:dyDescent="0.3">
      <c r="B1347" s="13" t="s">
        <v>506</v>
      </c>
      <c r="C1347" s="648">
        <v>2018</v>
      </c>
      <c r="D1347" s="13" t="s">
        <v>51</v>
      </c>
      <c r="E1347" s="13" t="s">
        <v>58</v>
      </c>
      <c r="F1347" s="13" t="s">
        <v>306</v>
      </c>
      <c r="G1347" s="648">
        <v>1</v>
      </c>
      <c r="H1347" s="648">
        <v>18</v>
      </c>
      <c r="I1347" s="648">
        <v>56467</v>
      </c>
      <c r="J1347" s="13" t="s">
        <v>280</v>
      </c>
    </row>
    <row r="1348" spans="2:10" x14ac:dyDescent="0.3">
      <c r="B1348" s="13" t="s">
        <v>506</v>
      </c>
      <c r="C1348" s="648">
        <v>2018</v>
      </c>
      <c r="D1348" s="13" t="s">
        <v>51</v>
      </c>
      <c r="E1348" s="13" t="s">
        <v>58</v>
      </c>
      <c r="F1348" s="13" t="s">
        <v>306</v>
      </c>
      <c r="G1348" s="648">
        <v>1</v>
      </c>
      <c r="H1348" s="648">
        <v>19</v>
      </c>
      <c r="I1348" s="648">
        <v>57314</v>
      </c>
      <c r="J1348" s="13" t="s">
        <v>280</v>
      </c>
    </row>
    <row r="1349" spans="2:10" x14ac:dyDescent="0.3">
      <c r="B1349" s="13" t="s">
        <v>506</v>
      </c>
      <c r="C1349" s="648">
        <v>2018</v>
      </c>
      <c r="D1349" s="13" t="s">
        <v>51</v>
      </c>
      <c r="E1349" s="13" t="s">
        <v>58</v>
      </c>
      <c r="F1349" s="13" t="s">
        <v>306</v>
      </c>
      <c r="G1349" s="648">
        <v>1</v>
      </c>
      <c r="H1349" s="648">
        <v>20</v>
      </c>
      <c r="I1349" s="648">
        <v>58173</v>
      </c>
      <c r="J1349" s="13" t="s">
        <v>280</v>
      </c>
    </row>
    <row r="1350" spans="2:10" x14ac:dyDescent="0.3">
      <c r="B1350" s="13"/>
      <c r="D1350" s="13"/>
      <c r="E1350" s="13"/>
      <c r="F1350" s="13"/>
      <c r="J1350" s="13"/>
    </row>
  </sheetData>
  <mergeCells count="2">
    <mergeCell ref="H2:J2"/>
    <mergeCell ref="B2:F2"/>
  </mergeCells>
  <pageMargins left="0.7" right="0.7" top="0.78740157499999996" bottom="0.78740157499999996" header="0.3" footer="0.3"/>
  <pageSetup paperSize="9" orientation="portrait" horizontalDpi="0" verticalDpi="0" r:id="rId4"/>
  <drawing r:id="rId5"/>
  <tableParts count="1">
    <tablePart r:id="rId6"/>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5"/>
  <dimension ref="B1:S35"/>
  <sheetViews>
    <sheetView workbookViewId="0">
      <selection activeCell="G35" sqref="G35:M35"/>
    </sheetView>
  </sheetViews>
  <sheetFormatPr baseColWidth="10" defaultRowHeight="14.4" x14ac:dyDescent="0.3"/>
  <cols>
    <col min="2" max="2" width="10.33203125" customWidth="1"/>
    <col min="3" max="3" width="12" customWidth="1"/>
    <col min="4" max="4" width="12.88671875" customWidth="1"/>
    <col min="7" max="7" width="18.88671875" customWidth="1"/>
    <col min="9" max="9" width="13.88671875" customWidth="1"/>
    <col min="10" max="10" width="17" customWidth="1"/>
    <col min="11" max="11" width="20.6640625" customWidth="1"/>
    <col min="12" max="12" width="15.6640625" customWidth="1"/>
    <col min="13" max="15" width="17.6640625" customWidth="1"/>
    <col min="16" max="17" width="13.44140625" customWidth="1"/>
    <col min="18" max="18" width="14.44140625" customWidth="1"/>
    <col min="19" max="19" width="13.5546875" customWidth="1"/>
    <col min="20" max="20" width="13.88671875" customWidth="1"/>
    <col min="21" max="21" width="15.109375" customWidth="1"/>
    <col min="22" max="22" width="17.44140625" customWidth="1"/>
  </cols>
  <sheetData>
    <row r="1" spans="2:19" x14ac:dyDescent="0.3">
      <c r="B1" s="125" t="s">
        <v>105</v>
      </c>
      <c r="C1" s="125"/>
      <c r="G1" s="125" t="s">
        <v>132</v>
      </c>
      <c r="S1" s="125"/>
    </row>
    <row r="2" spans="2:19" ht="10.5" customHeight="1" x14ac:dyDescent="0.3"/>
    <row r="3" spans="2:19" x14ac:dyDescent="0.3">
      <c r="B3" t="s">
        <v>51</v>
      </c>
      <c r="C3" t="s">
        <v>53</v>
      </c>
      <c r="D3" t="s">
        <v>54</v>
      </c>
      <c r="G3" t="s">
        <v>115</v>
      </c>
      <c r="H3" t="s">
        <v>62</v>
      </c>
      <c r="I3" t="s">
        <v>305</v>
      </c>
      <c r="J3" t="s">
        <v>397</v>
      </c>
      <c r="K3" t="s">
        <v>422</v>
      </c>
      <c r="L3" t="s">
        <v>424</v>
      </c>
      <c r="M3" s="392" t="s">
        <v>425</v>
      </c>
    </row>
    <row r="4" spans="2:19" x14ac:dyDescent="0.3">
      <c r="B4" s="267" t="s">
        <v>52</v>
      </c>
      <c r="C4" s="267" t="s">
        <v>69</v>
      </c>
      <c r="D4" s="267" t="s">
        <v>388</v>
      </c>
      <c r="G4" s="267" t="s">
        <v>52</v>
      </c>
      <c r="H4" s="267">
        <v>2050</v>
      </c>
      <c r="I4" s="267" t="s">
        <v>306</v>
      </c>
      <c r="J4" s="267">
        <v>28100</v>
      </c>
      <c r="K4" s="267">
        <f>Tabelle4[[#This Row],[Leistung]]*0.7*2+(100-MOD(Tabelle4[[#This Row],[Leistung]]*0.7*2,100))</f>
        <v>2900</v>
      </c>
      <c r="L4" s="267">
        <f>25800-1000</f>
        <v>24800</v>
      </c>
      <c r="M4" s="393">
        <f>100/Tabelle4[[#This Row],[Premium neu]]*Tabelle4[[#This Row],[Premium]]-100</f>
        <v>13.306451612903217</v>
      </c>
    </row>
    <row r="5" spans="2:19" x14ac:dyDescent="0.3">
      <c r="B5" s="267" t="s">
        <v>126</v>
      </c>
      <c r="C5" s="267" t="s">
        <v>125</v>
      </c>
      <c r="D5" s="267" t="s">
        <v>129</v>
      </c>
      <c r="G5" s="267" t="s">
        <v>126</v>
      </c>
      <c r="H5" s="267">
        <v>1500</v>
      </c>
      <c r="I5" s="267" t="s">
        <v>307</v>
      </c>
      <c r="J5" s="267">
        <v>26600</v>
      </c>
      <c r="K5" s="267">
        <f>Tabelle4[[#This Row],[Leistung]]*0.7*2+(100-MOD(Tabelle4[[#This Row],[Leistung]]*0.7*2,100))</f>
        <v>2200</v>
      </c>
      <c r="L5" s="267">
        <f>24300-900</f>
        <v>23400</v>
      </c>
      <c r="M5" s="393">
        <f>100/Tabelle4[[#This Row],[Premium neu]]*Tabelle4[[#This Row],[Premium]]-100</f>
        <v>13.675213675213683</v>
      </c>
    </row>
    <row r="6" spans="2:19" x14ac:dyDescent="0.3">
      <c r="B6" s="267" t="s">
        <v>56</v>
      </c>
      <c r="C6" s="267" t="s">
        <v>57</v>
      </c>
      <c r="D6" s="267" t="s">
        <v>130</v>
      </c>
      <c r="G6" s="267" t="s">
        <v>56</v>
      </c>
      <c r="H6" s="267">
        <v>2050</v>
      </c>
      <c r="I6" s="267" t="s">
        <v>306</v>
      </c>
      <c r="J6" s="267">
        <v>29000</v>
      </c>
      <c r="K6" s="267">
        <f>Tabelle4[[#This Row],[Leistung]]*0.7*2+(100-MOD(Tabelle4[[#This Row],[Leistung]]*0.7*2,100))</f>
        <v>2900</v>
      </c>
      <c r="L6" s="267">
        <f>25800-1000</f>
        <v>24800</v>
      </c>
      <c r="M6" s="393">
        <f>100/Tabelle4[[#This Row],[Premium neu]]*Tabelle4[[#This Row],[Premium]]-100</f>
        <v>16.935483870967744</v>
      </c>
    </row>
    <row r="7" spans="2:19" x14ac:dyDescent="0.3">
      <c r="B7" s="267" t="s">
        <v>58</v>
      </c>
      <c r="C7" s="267" t="s">
        <v>73</v>
      </c>
      <c r="D7" s="267" t="s">
        <v>385</v>
      </c>
      <c r="G7" s="267" t="s">
        <v>58</v>
      </c>
      <c r="H7" s="267">
        <v>2000</v>
      </c>
      <c r="I7" s="267" t="s">
        <v>306</v>
      </c>
      <c r="J7" s="267">
        <v>29500</v>
      </c>
      <c r="K7" s="267">
        <f>Tabelle4[[#This Row],[Leistung]]*0.7*2+(100-MOD(Tabelle4[[#This Row],[Leistung]]*0.7*2,100))</f>
        <v>2900</v>
      </c>
      <c r="L7" s="267">
        <f>25800-1000</f>
        <v>24800</v>
      </c>
      <c r="M7" s="393">
        <f>100/Tabelle4[[#This Row],[Premium neu]]*Tabelle4[[#This Row],[Premium]]-100</f>
        <v>18.951612903225808</v>
      </c>
    </row>
    <row r="8" spans="2:19" x14ac:dyDescent="0.3">
      <c r="B8" s="267" t="s">
        <v>63</v>
      </c>
      <c r="C8" s="267" t="s">
        <v>70</v>
      </c>
      <c r="D8" s="267" t="s">
        <v>386</v>
      </c>
      <c r="G8" s="267" t="s">
        <v>63</v>
      </c>
      <c r="H8" s="267">
        <v>3200</v>
      </c>
      <c r="I8" s="267" t="s">
        <v>308</v>
      </c>
      <c r="J8" s="267">
        <v>47000</v>
      </c>
      <c r="K8" s="267">
        <f>Tabelle4[[#This Row],[Leistung]]*0.7*2+(100-MOD(Tabelle4[[#This Row],[Leistung]]*0.7*2,100))</f>
        <v>4500</v>
      </c>
      <c r="L8" s="267">
        <f>39700-5550</f>
        <v>34150</v>
      </c>
      <c r="M8" s="393">
        <f>100/Tabelle4[[#This Row],[Premium neu]]*Tabelle4[[#This Row],[Premium]]-100</f>
        <v>37.628111273792086</v>
      </c>
    </row>
    <row r="9" spans="2:19" x14ac:dyDescent="0.3">
      <c r="B9" s="267" t="s">
        <v>68</v>
      </c>
      <c r="C9" s="267" t="s">
        <v>242</v>
      </c>
      <c r="D9" s="267" t="s">
        <v>387</v>
      </c>
      <c r="G9" s="267" t="s">
        <v>69</v>
      </c>
      <c r="H9" s="267">
        <v>2400</v>
      </c>
      <c r="I9" s="267" t="s">
        <v>259</v>
      </c>
      <c r="J9" s="267">
        <v>35750</v>
      </c>
      <c r="K9" s="267">
        <f>Tabelle4[[#This Row],[Leistung]]*0.7*2+(100-MOD(Tabelle4[[#This Row],[Leistung]]*0.7*2,100))</f>
        <v>3400</v>
      </c>
      <c r="L9" s="267">
        <f>32500-2500</f>
        <v>30000</v>
      </c>
      <c r="M9" s="393">
        <f>100/Tabelle4[[#This Row],[Premium neu]]*Tabelle4[[#This Row],[Premium]]-100</f>
        <v>19.166666666666671</v>
      </c>
    </row>
    <row r="10" spans="2:19" x14ac:dyDescent="0.3">
      <c r="B10" s="267" t="s">
        <v>127</v>
      </c>
      <c r="C10" s="267" t="s">
        <v>72</v>
      </c>
      <c r="G10" s="267" t="s">
        <v>388</v>
      </c>
      <c r="H10" s="267">
        <v>2500</v>
      </c>
      <c r="I10" s="267" t="s">
        <v>55</v>
      </c>
      <c r="J10" s="267">
        <v>46600</v>
      </c>
      <c r="K10" s="267">
        <f>Tabelle4[[#This Row],[Leistung]]*0.7*2+(100-MOD(Tabelle4[[#This Row],[Leistung]]*0.7*2,100))</f>
        <v>3600</v>
      </c>
      <c r="L10" s="267">
        <f>37800-370</f>
        <v>37430</v>
      </c>
      <c r="M10" s="393">
        <f>100/Tabelle4[[#This Row],[Premium neu]]*Tabelle4[[#This Row],[Premium]]-100</f>
        <v>24.499064921186203</v>
      </c>
    </row>
    <row r="11" spans="2:19" x14ac:dyDescent="0.3">
      <c r="B11" s="267" t="s">
        <v>64</v>
      </c>
      <c r="C11" s="267" t="s">
        <v>128</v>
      </c>
      <c r="G11" s="267" t="s">
        <v>57</v>
      </c>
      <c r="H11" s="267">
        <v>1300</v>
      </c>
      <c r="I11" s="267" t="s">
        <v>57</v>
      </c>
      <c r="J11" s="267">
        <v>18100</v>
      </c>
      <c r="K11" s="267">
        <f>Tabelle4[[#This Row],[Leistung]]*0.7*2+(100-MOD(Tabelle4[[#This Row],[Leistung]]*0.7*2,100))</f>
        <v>1900</v>
      </c>
      <c r="L11" s="267">
        <f>18500-330</f>
        <v>18170</v>
      </c>
      <c r="M11" s="393">
        <f>100/Tabelle4[[#This Row],[Premium neu]]*Tabelle4[[#This Row],[Premium]]-100</f>
        <v>-0.38525041276830052</v>
      </c>
    </row>
    <row r="12" spans="2:19" x14ac:dyDescent="0.3">
      <c r="B12" s="267" t="s">
        <v>65</v>
      </c>
      <c r="C12" s="267" t="s">
        <v>243</v>
      </c>
      <c r="G12" s="267" t="s">
        <v>73</v>
      </c>
      <c r="H12" s="267">
        <v>2500</v>
      </c>
      <c r="I12" s="267" t="s">
        <v>71</v>
      </c>
      <c r="J12" s="267">
        <v>34900</v>
      </c>
      <c r="K12" s="267">
        <f>Tabelle4[[#This Row],[Leistung]]*0.7*2+(100-MOD(Tabelle4[[#This Row],[Leistung]]*0.7*2,100))</f>
        <v>3600</v>
      </c>
      <c r="L12" s="267">
        <f>32500-2500</f>
        <v>30000</v>
      </c>
      <c r="M12" s="393">
        <f>100/Tabelle4[[#This Row],[Premium neu]]*Tabelle4[[#This Row],[Premium]]-100</f>
        <v>16.333333333333343</v>
      </c>
    </row>
    <row r="13" spans="2:19" x14ac:dyDescent="0.3">
      <c r="B13" s="267" t="s">
        <v>66</v>
      </c>
      <c r="C13" s="267" t="s">
        <v>437</v>
      </c>
      <c r="G13" s="267" t="s">
        <v>64</v>
      </c>
      <c r="H13" s="267">
        <v>3400</v>
      </c>
      <c r="I13" s="267" t="s">
        <v>308</v>
      </c>
      <c r="J13" s="267">
        <v>47000</v>
      </c>
      <c r="K13" s="267">
        <f>Tabelle4[[#This Row],[Leistung]]*0.7*2+(100-MOD(Tabelle4[[#This Row],[Leistung]]*0.7*2,100))</f>
        <v>4800</v>
      </c>
      <c r="L13" s="267">
        <f>39700-5550</f>
        <v>34150</v>
      </c>
      <c r="M13" s="393">
        <f>100/Tabelle4[[#This Row],[Premium neu]]*Tabelle4[[#This Row],[Premium]]-100</f>
        <v>37.628111273792086</v>
      </c>
    </row>
    <row r="14" spans="2:19" x14ac:dyDescent="0.3">
      <c r="B14" s="267" t="s">
        <v>67</v>
      </c>
      <c r="C14" s="267" t="s">
        <v>438</v>
      </c>
      <c r="G14" s="267" t="s">
        <v>65</v>
      </c>
      <c r="H14" s="267">
        <v>3400</v>
      </c>
      <c r="I14" s="267" t="s">
        <v>308</v>
      </c>
      <c r="J14" s="267">
        <v>47000</v>
      </c>
      <c r="K14" s="267">
        <f>Tabelle4[[#This Row],[Leistung]]*0.7*2+(100-MOD(Tabelle4[[#This Row],[Leistung]]*0.7*2,100))</f>
        <v>4800</v>
      </c>
      <c r="L14" s="267">
        <f>39700-5550</f>
        <v>34150</v>
      </c>
      <c r="M14" s="393">
        <f>100/Tabelle4[[#This Row],[Premium neu]]*Tabelle4[[#This Row],[Premium]]-100</f>
        <v>37.628111273792086</v>
      </c>
    </row>
    <row r="15" spans="2:19" x14ac:dyDescent="0.3">
      <c r="B15" s="267" t="s">
        <v>393</v>
      </c>
      <c r="C15" s="267" t="s">
        <v>439</v>
      </c>
      <c r="G15" s="267" t="s">
        <v>66</v>
      </c>
      <c r="H15" s="267">
        <v>3400</v>
      </c>
      <c r="I15" s="267" t="s">
        <v>308</v>
      </c>
      <c r="J15" s="267">
        <v>47000</v>
      </c>
      <c r="K15" s="267">
        <f>Tabelle4[[#This Row],[Leistung]]*0.7*2+(100-MOD(Tabelle4[[#This Row],[Leistung]]*0.7*2,100))</f>
        <v>4800</v>
      </c>
      <c r="L15" s="267">
        <f>39700-5550</f>
        <v>34150</v>
      </c>
      <c r="M15" s="393">
        <f>100/Tabelle4[[#This Row],[Premium neu]]*Tabelle4[[#This Row],[Premium]]-100</f>
        <v>37.628111273792086</v>
      </c>
    </row>
    <row r="16" spans="2:19" x14ac:dyDescent="0.3">
      <c r="B16" s="267" t="s">
        <v>447</v>
      </c>
      <c r="G16" s="267" t="s">
        <v>67</v>
      </c>
      <c r="H16" s="267">
        <v>3600</v>
      </c>
      <c r="I16" s="267" t="s">
        <v>308</v>
      </c>
      <c r="J16" s="267">
        <v>47000</v>
      </c>
      <c r="K16" s="267">
        <f>Tabelle4[[#This Row],[Leistung]]*0.7*2+(100-MOD(Tabelle4[[#This Row],[Leistung]]*0.7*2,100))</f>
        <v>5100</v>
      </c>
      <c r="L16" s="267">
        <f>39700-5550</f>
        <v>34150</v>
      </c>
      <c r="M16" s="393">
        <f>100/Tabelle4[[#This Row],[Premium neu]]*Tabelle4[[#This Row],[Premium]]-100</f>
        <v>37.628111273792086</v>
      </c>
    </row>
    <row r="17" spans="2:13" x14ac:dyDescent="0.3">
      <c r="G17" s="267" t="s">
        <v>68</v>
      </c>
      <c r="H17" s="267">
        <v>3600</v>
      </c>
      <c r="I17" s="267" t="s">
        <v>308</v>
      </c>
      <c r="J17" s="267">
        <v>47000</v>
      </c>
      <c r="K17" s="267">
        <f>Tabelle4[[#This Row],[Leistung]]*0.7*2+(100-MOD(Tabelle4[[#This Row],[Leistung]]*0.7*2,100))</f>
        <v>5100</v>
      </c>
      <c r="L17" s="267">
        <f>39700-5550</f>
        <v>34150</v>
      </c>
      <c r="M17" s="393">
        <f>100/Tabelle4[[#This Row],[Premium neu]]*Tabelle4[[#This Row],[Premium]]-100</f>
        <v>37.628111273792086</v>
      </c>
    </row>
    <row r="18" spans="2:13" x14ac:dyDescent="0.3">
      <c r="G18" s="267" t="s">
        <v>70</v>
      </c>
      <c r="H18" s="267">
        <v>3000</v>
      </c>
      <c r="I18" s="267" t="s">
        <v>259</v>
      </c>
      <c r="J18" s="267">
        <v>35750</v>
      </c>
      <c r="K18" s="267">
        <f>Tabelle4[[#This Row],[Leistung]]*0.7*2+(100-MOD(Tabelle4[[#This Row],[Leistung]]*0.7*2,100))</f>
        <v>4300</v>
      </c>
      <c r="L18" s="267">
        <f>32500-2500</f>
        <v>30000</v>
      </c>
      <c r="M18" s="393">
        <f>100/Tabelle4[[#This Row],[Premium neu]]*Tabelle4[[#This Row],[Premium]]-100</f>
        <v>19.166666666666671</v>
      </c>
    </row>
    <row r="19" spans="2:13" x14ac:dyDescent="0.3">
      <c r="B19" t="s">
        <v>104</v>
      </c>
      <c r="C19" t="s">
        <v>184</v>
      </c>
      <c r="G19" s="267" t="s">
        <v>242</v>
      </c>
      <c r="H19" s="267">
        <v>2300</v>
      </c>
      <c r="I19" s="267" t="s">
        <v>71</v>
      </c>
      <c r="J19" s="267">
        <v>34900</v>
      </c>
      <c r="K19" s="267">
        <f>Tabelle4[[#This Row],[Leistung]]*0.7*2+(100-MOD(Tabelle4[[#This Row],[Leistung]]*0.7*2,100))</f>
        <v>3300</v>
      </c>
      <c r="L19" s="267">
        <f>32500-2500</f>
        <v>30000</v>
      </c>
      <c r="M19" s="393">
        <f>100/Tabelle4[[#This Row],[Premium neu]]*Tabelle4[[#This Row],[Premium]]-100</f>
        <v>16.333333333333343</v>
      </c>
    </row>
    <row r="20" spans="2:13" x14ac:dyDescent="0.3">
      <c r="B20" s="267" t="s">
        <v>81</v>
      </c>
      <c r="C20" s="267" t="s">
        <v>185</v>
      </c>
      <c r="G20" s="267" t="s">
        <v>72</v>
      </c>
      <c r="H20" s="267">
        <v>2500</v>
      </c>
      <c r="I20" s="267" t="s">
        <v>71</v>
      </c>
      <c r="J20" s="267">
        <v>34900</v>
      </c>
      <c r="K20" s="267">
        <f>Tabelle4[[#This Row],[Leistung]]*0.7*2+(100-MOD(Tabelle4[[#This Row],[Leistung]]*0.7*2,100))</f>
        <v>3600</v>
      </c>
      <c r="L20" s="267">
        <f>32500-2500</f>
        <v>30000</v>
      </c>
      <c r="M20" s="393">
        <f>100/Tabelle4[[#This Row],[Premium neu]]*Tabelle4[[#This Row],[Premium]]-100</f>
        <v>16.333333333333343</v>
      </c>
    </row>
    <row r="21" spans="2:13" x14ac:dyDescent="0.3">
      <c r="B21" s="267" t="s">
        <v>80</v>
      </c>
      <c r="C21" s="267" t="s">
        <v>186</v>
      </c>
      <c r="G21" s="267" t="s">
        <v>127</v>
      </c>
      <c r="H21" s="267">
        <v>1500</v>
      </c>
      <c r="I21" s="267" t="s">
        <v>307</v>
      </c>
      <c r="J21" s="267">
        <v>26600</v>
      </c>
      <c r="K21" s="267">
        <f>Tabelle4[[#This Row],[Leistung]]*0.7*2+(100-MOD(Tabelle4[[#This Row],[Leistung]]*0.7*2,100))</f>
        <v>2200</v>
      </c>
      <c r="L21" s="267">
        <f>24300-900</f>
        <v>23400</v>
      </c>
      <c r="M21" s="393">
        <f>100/Tabelle4[[#This Row],[Premium neu]]*Tabelle4[[#This Row],[Premium]]-100</f>
        <v>13.675213675213683</v>
      </c>
    </row>
    <row r="22" spans="2:13" x14ac:dyDescent="0.3">
      <c r="G22" s="267" t="s">
        <v>129</v>
      </c>
      <c r="H22" s="267">
        <v>1500</v>
      </c>
      <c r="I22" s="267" t="s">
        <v>307</v>
      </c>
      <c r="J22" s="267">
        <v>26600</v>
      </c>
      <c r="K22" s="267">
        <f>Tabelle4[[#This Row],[Leistung]]*0.7*2+(100-MOD(Tabelle4[[#This Row],[Leistung]]*0.7*2,100))</f>
        <v>2200</v>
      </c>
      <c r="L22" s="267">
        <f>24300-900</f>
        <v>23400</v>
      </c>
      <c r="M22" s="393">
        <f>100/Tabelle4[[#This Row],[Premium neu]]*Tabelle4[[#This Row],[Premium]]-100</f>
        <v>13.675213675213683</v>
      </c>
    </row>
    <row r="23" spans="2:13" x14ac:dyDescent="0.3">
      <c r="G23" s="267" t="s">
        <v>130</v>
      </c>
      <c r="H23" s="267">
        <v>1500</v>
      </c>
      <c r="I23" s="267" t="s">
        <v>307</v>
      </c>
      <c r="J23" s="267">
        <v>26600</v>
      </c>
      <c r="K23" s="267">
        <f>Tabelle4[[#This Row],[Leistung]]*0.7*2+(100-MOD(Tabelle4[[#This Row],[Leistung]]*0.7*2,100))</f>
        <v>2200</v>
      </c>
      <c r="L23" s="267">
        <f>24300-900</f>
        <v>23400</v>
      </c>
      <c r="M23" s="393">
        <f>100/Tabelle4[[#This Row],[Premium neu]]*Tabelle4[[#This Row],[Premium]]-100</f>
        <v>13.675213675213683</v>
      </c>
    </row>
    <row r="24" spans="2:13" x14ac:dyDescent="0.3">
      <c r="G24" s="267" t="s">
        <v>125</v>
      </c>
      <c r="H24" s="267">
        <v>1500</v>
      </c>
      <c r="I24" s="267" t="s">
        <v>307</v>
      </c>
      <c r="J24" s="267">
        <v>26600</v>
      </c>
      <c r="K24" s="267">
        <f>Tabelle4[[#This Row],[Leistung]]*0.7*2+(100-MOD(Tabelle4[[#This Row],[Leistung]]*0.7*2,100))</f>
        <v>2200</v>
      </c>
      <c r="L24" s="267">
        <f>24300-900</f>
        <v>23400</v>
      </c>
      <c r="M24" s="393">
        <f>100/Tabelle4[[#This Row],[Premium neu]]*Tabelle4[[#This Row],[Premium]]-100</f>
        <v>13.675213675213683</v>
      </c>
    </row>
    <row r="25" spans="2:13" x14ac:dyDescent="0.3">
      <c r="G25" s="267" t="s">
        <v>128</v>
      </c>
      <c r="H25" s="267">
        <v>1500</v>
      </c>
      <c r="I25" s="267" t="s">
        <v>307</v>
      </c>
      <c r="J25" s="267">
        <v>26600</v>
      </c>
      <c r="K25" s="267">
        <f>Tabelle4[[#This Row],[Leistung]]*0.7*2+(100-MOD(Tabelle4[[#This Row],[Leistung]]*0.7*2,100))</f>
        <v>2200</v>
      </c>
      <c r="L25" s="267">
        <f>24300-900</f>
        <v>23400</v>
      </c>
      <c r="M25" s="393">
        <f>100/Tabelle4[[#This Row],[Premium neu]]*Tabelle4[[#This Row],[Premium]]-100</f>
        <v>13.675213675213683</v>
      </c>
    </row>
    <row r="26" spans="2:13" x14ac:dyDescent="0.3">
      <c r="G26" s="267" t="s">
        <v>243</v>
      </c>
      <c r="H26" s="267">
        <v>2500</v>
      </c>
      <c r="I26" s="267" t="s">
        <v>71</v>
      </c>
      <c r="J26" s="267">
        <v>34900</v>
      </c>
      <c r="K26" s="267">
        <f>Tabelle4[[#This Row],[Leistung]]*0.7*2+(100-MOD(Tabelle4[[#This Row],[Leistung]]*0.7*2,100))</f>
        <v>3600</v>
      </c>
      <c r="L26" s="267">
        <f>32500-2500</f>
        <v>30000</v>
      </c>
      <c r="M26" s="393">
        <f>100/Tabelle4[[#This Row],[Premium neu]]*Tabelle4[[#This Row],[Premium]]-100</f>
        <v>16.333333333333343</v>
      </c>
    </row>
    <row r="27" spans="2:13" x14ac:dyDescent="0.3">
      <c r="G27" s="267" t="s">
        <v>385</v>
      </c>
      <c r="H27" s="267">
        <v>2500</v>
      </c>
      <c r="I27" s="267" t="s">
        <v>55</v>
      </c>
      <c r="J27" s="267">
        <v>46600</v>
      </c>
      <c r="K27" s="267">
        <f>Tabelle4[[#This Row],[Leistung]]*0.7*2+(100-MOD(Tabelle4[[#This Row],[Leistung]]*0.7*2,100))</f>
        <v>3600</v>
      </c>
      <c r="L27" s="267">
        <f>37800-370</f>
        <v>37430</v>
      </c>
      <c r="M27" s="393">
        <f>100/Tabelle4[[#This Row],[Premium neu]]*Tabelle4[[#This Row],[Premium]]-100</f>
        <v>24.499064921186203</v>
      </c>
    </row>
    <row r="28" spans="2:13" x14ac:dyDescent="0.3">
      <c r="G28" s="267" t="s">
        <v>386</v>
      </c>
      <c r="H28" s="267">
        <v>2500</v>
      </c>
      <c r="I28" s="267" t="s">
        <v>55</v>
      </c>
      <c r="J28" s="267">
        <v>46600</v>
      </c>
      <c r="K28" s="267">
        <f>Tabelle4[[#This Row],[Leistung]]*0.7*2+(100-MOD(Tabelle4[[#This Row],[Leistung]]*0.7*2,100))</f>
        <v>3600</v>
      </c>
      <c r="L28" s="267">
        <f>37800-370</f>
        <v>37430</v>
      </c>
      <c r="M28" s="393">
        <f>100/Tabelle4[[#This Row],[Premium neu]]*Tabelle4[[#This Row],[Premium]]-100</f>
        <v>24.499064921186203</v>
      </c>
    </row>
    <row r="29" spans="2:13" x14ac:dyDescent="0.3">
      <c r="G29" s="267" t="s">
        <v>387</v>
      </c>
      <c r="H29" s="267">
        <v>2500</v>
      </c>
      <c r="I29" s="267" t="s">
        <v>55</v>
      </c>
      <c r="J29" s="267">
        <v>46600</v>
      </c>
      <c r="K29" s="267">
        <f>Tabelle4[[#This Row],[Leistung]]*0.7*2+(100-MOD(Tabelle4[[#This Row],[Leistung]]*0.7*2,100))</f>
        <v>3600</v>
      </c>
      <c r="L29" s="267">
        <f>37800-370</f>
        <v>37430</v>
      </c>
      <c r="M29" s="393">
        <f>100/Tabelle4[[#This Row],[Premium neu]]*Tabelle4[[#This Row],[Premium]]-100</f>
        <v>24.499064921186203</v>
      </c>
    </row>
    <row r="30" spans="2:13" x14ac:dyDescent="0.3">
      <c r="G30" s="267" t="s">
        <v>407</v>
      </c>
      <c r="H30" s="267">
        <v>3200</v>
      </c>
      <c r="I30" s="267" t="s">
        <v>308</v>
      </c>
      <c r="J30" s="267">
        <v>47000</v>
      </c>
      <c r="K30" s="267">
        <f>Tabelle4[[#This Row],[Leistung]]*0.7*2+(100-MOD(Tabelle4[[#This Row],[Leistung]]*0.7*2,100))</f>
        <v>4500</v>
      </c>
      <c r="L30" s="267">
        <f>39700-5550</f>
        <v>34150</v>
      </c>
      <c r="M30" s="393">
        <f>100/Tabelle4[[#This Row],[Premium neu]]*Tabelle4[[#This Row],[Premium]]-100</f>
        <v>37.628111273792086</v>
      </c>
    </row>
    <row r="31" spans="2:13" x14ac:dyDescent="0.3">
      <c r="G31" s="267" t="s">
        <v>439</v>
      </c>
      <c r="H31" s="267">
        <v>3000</v>
      </c>
      <c r="I31" s="267" t="s">
        <v>259</v>
      </c>
      <c r="J31" s="267"/>
      <c r="K31" s="267">
        <f>Tabelle4[[#This Row],[Leistung]]*0.7*2+(100-MOD(Tabelle4[[#This Row],[Leistung]]*0.7*2,100))</f>
        <v>4300</v>
      </c>
      <c r="L31" s="267"/>
      <c r="M31" s="267" t="e">
        <f>100/Tabelle4[[#This Row],[Premium neu]]*Tabelle4[[#This Row],[Premium]]-100</f>
        <v>#DIV/0!</v>
      </c>
    </row>
    <row r="32" spans="2:13" x14ac:dyDescent="0.3">
      <c r="G32" s="267" t="s">
        <v>437</v>
      </c>
      <c r="H32" s="267">
        <v>3300</v>
      </c>
      <c r="I32" s="267" t="s">
        <v>259</v>
      </c>
      <c r="J32" s="267"/>
      <c r="K32" s="267">
        <f>Tabelle4[[#This Row],[Leistung]]*0.7*2+(100-MOD(Tabelle4[[#This Row],[Leistung]]*0.7*2,100))</f>
        <v>4700</v>
      </c>
      <c r="L32" s="267"/>
      <c r="M32" s="267" t="e">
        <f>100/Tabelle4[[#This Row],[Premium neu]]*Tabelle4[[#This Row],[Premium]]-100</f>
        <v>#DIV/0!</v>
      </c>
    </row>
    <row r="33" spans="7:13" x14ac:dyDescent="0.3">
      <c r="G33" s="267" t="s">
        <v>438</v>
      </c>
      <c r="H33" s="267">
        <v>3600</v>
      </c>
      <c r="I33" s="267" t="s">
        <v>259</v>
      </c>
      <c r="J33" s="267"/>
      <c r="K33" s="267">
        <f>Tabelle4[[#This Row],[Leistung]]*0.7*2+(100-MOD(Tabelle4[[#This Row],[Leistung]]*0.7*2,100))</f>
        <v>5100</v>
      </c>
      <c r="L33" s="267"/>
      <c r="M33" s="267" t="e">
        <f>100/Tabelle4[[#This Row],[Premium neu]]*Tabelle4[[#This Row],[Premium]]-100</f>
        <v>#DIV/0!</v>
      </c>
    </row>
    <row r="34" spans="7:13" x14ac:dyDescent="0.3">
      <c r="G34" s="267" t="s">
        <v>393</v>
      </c>
      <c r="H34" s="267">
        <v>3400</v>
      </c>
      <c r="I34" s="267" t="s">
        <v>308</v>
      </c>
      <c r="J34" s="267">
        <v>47000</v>
      </c>
      <c r="K34" s="267">
        <f>Tabelle4[[#This Row],[Leistung]]*0.7*2+(100-MOD(Tabelle4[[#This Row],[Leistung]]*0.7*2,100))</f>
        <v>4800</v>
      </c>
      <c r="L34" s="267">
        <f>39700-5550</f>
        <v>34150</v>
      </c>
      <c r="M34" s="393">
        <f>100/Tabelle4[[#This Row],[Premium neu]]*Tabelle4[[#This Row],[Premium]]-100</f>
        <v>37.628111273792086</v>
      </c>
    </row>
    <row r="35" spans="7:13" x14ac:dyDescent="0.3">
      <c r="G35" s="267" t="s">
        <v>447</v>
      </c>
      <c r="H35" s="267">
        <v>3700</v>
      </c>
      <c r="I35" s="267" t="s">
        <v>308</v>
      </c>
      <c r="J35" s="267">
        <v>47000</v>
      </c>
      <c r="K35" s="267">
        <f>Tabelle4[[#This Row],[Leistung]]*0.7*2+(100-MOD(Tabelle4[[#This Row],[Leistung]]*0.7*2,100))</f>
        <v>5200</v>
      </c>
      <c r="L35" s="267">
        <v>34150</v>
      </c>
      <c r="M35" s="393">
        <f>100/Tabelle4[[#This Row],[Premium neu]]*Tabelle4[[#This Row],[Premium]]-100</f>
        <v>37.628111273792086</v>
      </c>
    </row>
  </sheetData>
  <conditionalFormatting sqref="G4:H35">
    <cfRule type="expression" dxfId="231" priority="113">
      <formula>MOD(ROW(),2)=0</formula>
    </cfRule>
  </conditionalFormatting>
  <conditionalFormatting sqref="B20:C21 B4:C14 D4:D9">
    <cfRule type="expression" dxfId="230" priority="111">
      <formula>MOD(ROW(),2)=0</formula>
    </cfRule>
    <cfRule type="expression" priority="112">
      <formula>MOD(ROW(),2)=0</formula>
    </cfRule>
  </conditionalFormatting>
  <conditionalFormatting sqref="I4:I33">
    <cfRule type="expression" dxfId="229" priority="110">
      <formula>MOD(ROW(),2)=0</formula>
    </cfRule>
  </conditionalFormatting>
  <conditionalFormatting sqref="J4">
    <cfRule type="expression" dxfId="228" priority="105">
      <formula>MOD(ROW(),2)=0</formula>
    </cfRule>
  </conditionalFormatting>
  <conditionalFormatting sqref="J6">
    <cfRule type="expression" dxfId="227" priority="104">
      <formula>MOD(ROW(),2)=0</formula>
    </cfRule>
  </conditionalFormatting>
  <conditionalFormatting sqref="J8">
    <cfRule type="expression" dxfId="226" priority="103">
      <formula>MOD(ROW(),2)=0</formula>
    </cfRule>
  </conditionalFormatting>
  <conditionalFormatting sqref="J10">
    <cfRule type="expression" dxfId="225" priority="102">
      <formula>MOD(ROW(),2)=0</formula>
    </cfRule>
  </conditionalFormatting>
  <conditionalFormatting sqref="J12">
    <cfRule type="expression" dxfId="224" priority="101">
      <formula>MOD(ROW(),2)=0</formula>
    </cfRule>
  </conditionalFormatting>
  <conditionalFormatting sqref="J14">
    <cfRule type="expression" dxfId="223" priority="100">
      <formula>MOD(ROW(),2)=0</formula>
    </cfRule>
  </conditionalFormatting>
  <conditionalFormatting sqref="J16">
    <cfRule type="expression" dxfId="222" priority="99">
      <formula>MOD(ROW(),2)=0</formula>
    </cfRule>
  </conditionalFormatting>
  <conditionalFormatting sqref="J18">
    <cfRule type="expression" dxfId="221" priority="98">
      <formula>MOD(ROW(),2)=0</formula>
    </cfRule>
  </conditionalFormatting>
  <conditionalFormatting sqref="J20">
    <cfRule type="expression" dxfId="220" priority="97">
      <formula>MOD(ROW(),2)=0</formula>
    </cfRule>
  </conditionalFormatting>
  <conditionalFormatting sqref="J22">
    <cfRule type="expression" dxfId="219" priority="96">
      <formula>MOD(ROW(),2)=0</formula>
    </cfRule>
  </conditionalFormatting>
  <conditionalFormatting sqref="J24">
    <cfRule type="expression" dxfId="218" priority="95">
      <formula>MOD(ROW(),2)=0</formula>
    </cfRule>
  </conditionalFormatting>
  <conditionalFormatting sqref="J26">
    <cfRule type="expression" dxfId="217" priority="94">
      <formula>MOD(ROW(),2)=0</formula>
    </cfRule>
  </conditionalFormatting>
  <conditionalFormatting sqref="J28">
    <cfRule type="expression" dxfId="216" priority="93">
      <formula>MOD(ROW(),2)=0</formula>
    </cfRule>
  </conditionalFormatting>
  <conditionalFormatting sqref="J30">
    <cfRule type="expression" dxfId="215" priority="92">
      <formula>MOD(ROW(),2)=0</formula>
    </cfRule>
  </conditionalFormatting>
  <conditionalFormatting sqref="L8">
    <cfRule type="expression" dxfId="214" priority="35">
      <formula>MOD(ROW(),2)=0</formula>
    </cfRule>
  </conditionalFormatting>
  <conditionalFormatting sqref="K4">
    <cfRule type="expression" dxfId="213" priority="77">
      <formula>MOD(ROW(),2)=0</formula>
    </cfRule>
  </conditionalFormatting>
  <conditionalFormatting sqref="K6">
    <cfRule type="expression" dxfId="212" priority="76">
      <formula>MOD(ROW(),2)=0</formula>
    </cfRule>
  </conditionalFormatting>
  <conditionalFormatting sqref="K8">
    <cfRule type="expression" dxfId="211" priority="75">
      <formula>MOD(ROW(),2)=0</formula>
    </cfRule>
  </conditionalFormatting>
  <conditionalFormatting sqref="K10">
    <cfRule type="expression" dxfId="210" priority="74">
      <formula>MOD(ROW(),2)=0</formula>
    </cfRule>
  </conditionalFormatting>
  <conditionalFormatting sqref="K12">
    <cfRule type="expression" dxfId="209" priority="73">
      <formula>MOD(ROW(),2)=0</formula>
    </cfRule>
  </conditionalFormatting>
  <conditionalFormatting sqref="K14">
    <cfRule type="expression" dxfId="208" priority="72">
      <formula>MOD(ROW(),2)=0</formula>
    </cfRule>
  </conditionalFormatting>
  <conditionalFormatting sqref="K16">
    <cfRule type="expression" dxfId="207" priority="71">
      <formula>MOD(ROW(),2)=0</formula>
    </cfRule>
  </conditionalFormatting>
  <conditionalFormatting sqref="K18">
    <cfRule type="expression" dxfId="206" priority="70">
      <formula>MOD(ROW(),2)=0</formula>
    </cfRule>
  </conditionalFormatting>
  <conditionalFormatting sqref="K20">
    <cfRule type="expression" dxfId="205" priority="69">
      <formula>MOD(ROW(),2)=0</formula>
    </cfRule>
  </conditionalFormatting>
  <conditionalFormatting sqref="K22">
    <cfRule type="expression" dxfId="204" priority="68">
      <formula>MOD(ROW(),2)=0</formula>
    </cfRule>
  </conditionalFormatting>
  <conditionalFormatting sqref="K24">
    <cfRule type="expression" dxfId="203" priority="67">
      <formula>MOD(ROW(),2)=0</formula>
    </cfRule>
  </conditionalFormatting>
  <conditionalFormatting sqref="K26">
    <cfRule type="expression" dxfId="202" priority="66">
      <formula>MOD(ROW(),2)=0</formula>
    </cfRule>
  </conditionalFormatting>
  <conditionalFormatting sqref="K28">
    <cfRule type="expression" dxfId="201" priority="65">
      <formula>MOD(ROW(),2)=0</formula>
    </cfRule>
  </conditionalFormatting>
  <conditionalFormatting sqref="K30">
    <cfRule type="expression" dxfId="200" priority="64">
      <formula>MOD(ROW(),2)=0</formula>
    </cfRule>
  </conditionalFormatting>
  <conditionalFormatting sqref="L4">
    <cfRule type="expression" dxfId="199" priority="63">
      <formula>MOD(ROW(),2)=0</formula>
    </cfRule>
  </conditionalFormatting>
  <conditionalFormatting sqref="L6">
    <cfRule type="expression" dxfId="198" priority="62">
      <formula>MOD(ROW(),2)=0</formula>
    </cfRule>
  </conditionalFormatting>
  <conditionalFormatting sqref="L10">
    <cfRule type="expression" dxfId="197" priority="60">
      <formula>MOD(ROW(),2)=0</formula>
    </cfRule>
  </conditionalFormatting>
  <conditionalFormatting sqref="L12">
    <cfRule type="expression" dxfId="196" priority="59">
      <formula>MOD(ROW(),2)=0</formula>
    </cfRule>
  </conditionalFormatting>
  <conditionalFormatting sqref="L14">
    <cfRule type="expression" dxfId="195" priority="58">
      <formula>MOD(ROW(),2)=0</formula>
    </cfRule>
  </conditionalFormatting>
  <conditionalFormatting sqref="L16">
    <cfRule type="expression" dxfId="194" priority="57">
      <formula>MOD(ROW(),2)=0</formula>
    </cfRule>
  </conditionalFormatting>
  <conditionalFormatting sqref="L18">
    <cfRule type="expression" dxfId="193" priority="56">
      <formula>MOD(ROW(),2)=0</formula>
    </cfRule>
  </conditionalFormatting>
  <conditionalFormatting sqref="L20">
    <cfRule type="expression" dxfId="192" priority="55">
      <formula>MOD(ROW(),2)=0</formula>
    </cfRule>
  </conditionalFormatting>
  <conditionalFormatting sqref="L22">
    <cfRule type="expression" dxfId="191" priority="54">
      <formula>MOD(ROW(),2)=0</formula>
    </cfRule>
  </conditionalFormatting>
  <conditionalFormatting sqref="L24">
    <cfRule type="expression" dxfId="190" priority="53">
      <formula>MOD(ROW(),2)=0</formula>
    </cfRule>
  </conditionalFormatting>
  <conditionalFormatting sqref="L26">
    <cfRule type="expression" dxfId="189" priority="52">
      <formula>MOD(ROW(),2)=0</formula>
    </cfRule>
  </conditionalFormatting>
  <conditionalFormatting sqref="L28">
    <cfRule type="expression" dxfId="188" priority="51">
      <formula>MOD(ROW(),2)=0</formula>
    </cfRule>
  </conditionalFormatting>
  <conditionalFormatting sqref="L30">
    <cfRule type="expression" dxfId="187" priority="50">
      <formula>MOD(ROW(),2)=0</formula>
    </cfRule>
  </conditionalFormatting>
  <conditionalFormatting sqref="M8">
    <cfRule type="expression" dxfId="186" priority="21">
      <formula>MOD(ROW(),2)=0</formula>
    </cfRule>
  </conditionalFormatting>
  <conditionalFormatting sqref="M4">
    <cfRule type="expression" dxfId="185" priority="34">
      <formula>MOD(ROW(),2)=0</formula>
    </cfRule>
  </conditionalFormatting>
  <conditionalFormatting sqref="M6">
    <cfRule type="expression" dxfId="184" priority="33">
      <formula>MOD(ROW(),2)=0</formula>
    </cfRule>
  </conditionalFormatting>
  <conditionalFormatting sqref="M10">
    <cfRule type="expression" dxfId="183" priority="32">
      <formula>MOD(ROW(),2)=0</formula>
    </cfRule>
  </conditionalFormatting>
  <conditionalFormatting sqref="M12">
    <cfRule type="expression" dxfId="182" priority="31">
      <formula>MOD(ROW(),2)=0</formula>
    </cfRule>
  </conditionalFormatting>
  <conditionalFormatting sqref="M14">
    <cfRule type="expression" dxfId="181" priority="30">
      <formula>MOD(ROW(),2)=0</formula>
    </cfRule>
  </conditionalFormatting>
  <conditionalFormatting sqref="M16">
    <cfRule type="expression" dxfId="180" priority="29">
      <formula>MOD(ROW(),2)=0</formula>
    </cfRule>
  </conditionalFormatting>
  <conditionalFormatting sqref="M18">
    <cfRule type="expression" dxfId="179" priority="28">
      <formula>MOD(ROW(),2)=0</formula>
    </cfRule>
  </conditionalFormatting>
  <conditionalFormatting sqref="M20">
    <cfRule type="expression" dxfId="178" priority="27">
      <formula>MOD(ROW(),2)=0</formula>
    </cfRule>
  </conditionalFormatting>
  <conditionalFormatting sqref="M22">
    <cfRule type="expression" dxfId="177" priority="26">
      <formula>MOD(ROW(),2)=0</formula>
    </cfRule>
  </conditionalFormatting>
  <conditionalFormatting sqref="M24">
    <cfRule type="expression" dxfId="176" priority="25">
      <formula>MOD(ROW(),2)=0</formula>
    </cfRule>
  </conditionalFormatting>
  <conditionalFormatting sqref="M26">
    <cfRule type="expression" dxfId="175" priority="24">
      <formula>MOD(ROW(),2)=0</formula>
    </cfRule>
  </conditionalFormatting>
  <conditionalFormatting sqref="M28">
    <cfRule type="expression" dxfId="174" priority="23">
      <formula>MOD(ROW(),2)=0</formula>
    </cfRule>
  </conditionalFormatting>
  <conditionalFormatting sqref="M30">
    <cfRule type="expression" dxfId="173" priority="22">
      <formula>MOD(ROW(),2)=0</formula>
    </cfRule>
  </conditionalFormatting>
  <conditionalFormatting sqref="J31:M33">
    <cfRule type="expression" dxfId="172" priority="6">
      <formula>MOD(ROW(),2)=0</formula>
    </cfRule>
  </conditionalFormatting>
  <conditionalFormatting sqref="I34">
    <cfRule type="expression" dxfId="171" priority="5">
      <formula>MOD(ROW(),2)=0</formula>
    </cfRule>
  </conditionalFormatting>
  <conditionalFormatting sqref="J34">
    <cfRule type="expression" dxfId="170" priority="4">
      <formula>MOD(ROW(),2)=0</formula>
    </cfRule>
  </conditionalFormatting>
  <conditionalFormatting sqref="K34">
    <cfRule type="expression" dxfId="169" priority="3">
      <formula>MOD(ROW(),2)=0</formula>
    </cfRule>
  </conditionalFormatting>
  <conditionalFormatting sqref="L34">
    <cfRule type="expression" dxfId="168" priority="2">
      <formula>MOD(ROW(),2)=0</formula>
    </cfRule>
  </conditionalFormatting>
  <conditionalFormatting sqref="M34">
    <cfRule type="expression" dxfId="167" priority="1">
      <formula>MOD(ROW(),2)=0</formula>
    </cfRule>
  </conditionalFormatting>
  <pageMargins left="0.7" right="0.7" top="0.78740157499999996" bottom="0.78740157499999996" header="0.3" footer="0.3"/>
  <pageSetup paperSize="9" orientation="portrait" horizontalDpi="0" verticalDpi="0" r:id="rId1"/>
  <tableParts count="5">
    <tablePart r:id="rId2"/>
    <tablePart r:id="rId3"/>
    <tablePart r:id="rId4"/>
    <tablePart r:id="rId5"/>
    <tablePart r:id="rId6"/>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B1:AE45"/>
  <sheetViews>
    <sheetView topLeftCell="A4" workbookViewId="0">
      <selection activeCell="F13" sqref="F13"/>
    </sheetView>
  </sheetViews>
  <sheetFormatPr baseColWidth="10" defaultRowHeight="14.4" x14ac:dyDescent="0.3"/>
  <cols>
    <col min="2" max="2" width="4.44140625" customWidth="1"/>
    <col min="3" max="3" width="18.5546875" customWidth="1"/>
    <col min="4" max="4" width="11.33203125" customWidth="1"/>
    <col min="5" max="6" width="10.6640625" customWidth="1"/>
    <col min="7" max="12" width="12" customWidth="1"/>
    <col min="13" max="13" width="20.6640625" customWidth="1"/>
    <col min="14" max="14" width="7.88671875" customWidth="1"/>
    <col min="15" max="15" width="19.88671875" customWidth="1"/>
    <col min="16" max="16" width="10.44140625" customWidth="1"/>
    <col min="17" max="18" width="9.33203125" customWidth="1"/>
    <col min="19" max="24" width="10" customWidth="1"/>
    <col min="25" max="25" width="18.88671875" customWidth="1"/>
    <col min="26" max="26" width="27.44140625" customWidth="1"/>
    <col min="27" max="27" width="4.33203125" customWidth="1"/>
    <col min="28" max="28" width="7.88671875" customWidth="1"/>
    <col min="29" max="29" width="3.33203125" customWidth="1"/>
    <col min="30" max="30" width="27.44140625" customWidth="1"/>
    <col min="31" max="31" width="3.33203125" customWidth="1"/>
  </cols>
  <sheetData>
    <row r="1" spans="2:31" ht="15" thickBot="1" x14ac:dyDescent="0.35"/>
    <row r="2" spans="2:31" x14ac:dyDescent="0.3">
      <c r="B2" s="220"/>
      <c r="C2" s="221"/>
      <c r="D2" s="221"/>
      <c r="E2" s="221"/>
      <c r="F2" s="221"/>
      <c r="G2" s="221"/>
      <c r="H2" s="221"/>
      <c r="I2" s="221"/>
      <c r="J2" s="221"/>
      <c r="K2" s="221"/>
      <c r="L2" s="221"/>
      <c r="M2" s="221"/>
      <c r="N2" s="221"/>
      <c r="O2" s="221"/>
      <c r="P2" s="221"/>
      <c r="Q2" s="221"/>
      <c r="R2" s="221"/>
      <c r="S2" s="221"/>
      <c r="T2" s="221"/>
      <c r="U2" s="221"/>
      <c r="V2" s="221"/>
      <c r="W2" s="221"/>
      <c r="X2" s="221"/>
      <c r="Y2" s="221"/>
      <c r="Z2" s="221"/>
      <c r="AA2" s="222"/>
      <c r="AC2" s="220"/>
      <c r="AD2" s="221"/>
      <c r="AE2" s="222"/>
    </row>
    <row r="3" spans="2:31" ht="18.75" customHeight="1" x14ac:dyDescent="0.35">
      <c r="B3" s="223"/>
      <c r="C3" s="229" t="s">
        <v>116</v>
      </c>
      <c r="D3" s="162"/>
      <c r="E3" s="162"/>
      <c r="F3" s="162"/>
      <c r="G3" s="162"/>
      <c r="H3" s="162"/>
      <c r="I3" s="162"/>
      <c r="J3" s="162"/>
      <c r="K3" s="162"/>
      <c r="L3" s="162"/>
      <c r="M3" s="162"/>
      <c r="N3" s="162"/>
      <c r="O3" s="229" t="s">
        <v>118</v>
      </c>
      <c r="P3" s="162"/>
      <c r="Q3" s="162"/>
      <c r="R3" s="162"/>
      <c r="S3" s="162"/>
      <c r="T3" s="162"/>
      <c r="U3" s="162"/>
      <c r="V3" s="162"/>
      <c r="W3" s="162"/>
      <c r="X3" s="162"/>
      <c r="Y3" s="162"/>
      <c r="Z3" s="162"/>
      <c r="AA3" s="224"/>
      <c r="AC3" s="223"/>
      <c r="AD3" s="1019" t="s">
        <v>241</v>
      </c>
      <c r="AE3" s="224"/>
    </row>
    <row r="4" spans="2:31" x14ac:dyDescent="0.3">
      <c r="B4" s="223"/>
      <c r="C4" s="162"/>
      <c r="D4" s="162"/>
      <c r="E4" s="162"/>
      <c r="F4" s="162"/>
      <c r="G4" s="162"/>
      <c r="H4" s="162"/>
      <c r="I4" s="162"/>
      <c r="J4" s="162"/>
      <c r="K4" s="162"/>
      <c r="L4" s="162"/>
      <c r="M4" s="162"/>
      <c r="N4" s="162"/>
      <c r="O4" s="162"/>
      <c r="P4" s="162"/>
      <c r="Q4" s="162"/>
      <c r="R4" s="162"/>
      <c r="S4" s="162"/>
      <c r="T4" s="162"/>
      <c r="U4" s="162"/>
      <c r="V4" s="162"/>
      <c r="W4" s="162"/>
      <c r="X4" s="162"/>
      <c r="Y4" s="162"/>
      <c r="Z4" s="162"/>
      <c r="AA4" s="224"/>
      <c r="AC4" s="223"/>
      <c r="AD4" s="1019"/>
      <c r="AE4" s="224"/>
    </row>
    <row r="5" spans="2:31" ht="15" thickBot="1" x14ac:dyDescent="0.35">
      <c r="B5" s="223"/>
      <c r="C5" s="102" t="s">
        <v>115</v>
      </c>
      <c r="D5" s="162" t="s">
        <v>121</v>
      </c>
      <c r="E5" s="162" t="s">
        <v>122</v>
      </c>
      <c r="F5" s="162" t="s">
        <v>406</v>
      </c>
      <c r="G5" s="162" t="s">
        <v>398</v>
      </c>
      <c r="H5" s="162" t="s">
        <v>399</v>
      </c>
      <c r="I5" s="162" t="s">
        <v>400</v>
      </c>
      <c r="J5" s="162" t="s">
        <v>401</v>
      </c>
      <c r="K5" s="162" t="s">
        <v>402</v>
      </c>
      <c r="L5" s="162" t="s">
        <v>403</v>
      </c>
      <c r="M5" s="162" t="s">
        <v>120</v>
      </c>
      <c r="N5" s="162"/>
      <c r="O5" s="102" t="s">
        <v>115</v>
      </c>
      <c r="P5" s="162" t="s">
        <v>121</v>
      </c>
      <c r="Q5" s="162" t="s">
        <v>122</v>
      </c>
      <c r="R5" s="162" t="s">
        <v>406</v>
      </c>
      <c r="S5" s="162" t="s">
        <v>398</v>
      </c>
      <c r="T5" s="162" t="s">
        <v>399</v>
      </c>
      <c r="U5" s="162" t="s">
        <v>400</v>
      </c>
      <c r="V5" s="162" t="s">
        <v>401</v>
      </c>
      <c r="W5" s="162" t="s">
        <v>402</v>
      </c>
      <c r="X5" s="162" t="s">
        <v>403</v>
      </c>
      <c r="Y5" s="162" t="s">
        <v>119</v>
      </c>
      <c r="Z5" s="162" t="s">
        <v>124</v>
      </c>
      <c r="AA5" s="224"/>
      <c r="AC5" s="223"/>
      <c r="AD5" s="1019"/>
      <c r="AE5" s="224"/>
    </row>
    <row r="6" spans="2:31" ht="15" thickTop="1" x14ac:dyDescent="0.3">
      <c r="B6" s="223"/>
      <c r="C6" s="257" t="s">
        <v>63</v>
      </c>
      <c r="D6" s="262">
        <v>852</v>
      </c>
      <c r="E6" s="262">
        <v>3852</v>
      </c>
      <c r="F6" s="262">
        <v>0</v>
      </c>
      <c r="G6" s="262">
        <v>0</v>
      </c>
      <c r="H6" s="262">
        <v>9250</v>
      </c>
      <c r="I6" s="262">
        <v>0</v>
      </c>
      <c r="J6" s="262">
        <v>1100</v>
      </c>
      <c r="K6" s="262">
        <v>1300</v>
      </c>
      <c r="L6" s="262">
        <v>6850</v>
      </c>
      <c r="M6" s="369">
        <v>9000</v>
      </c>
      <c r="N6" s="162"/>
      <c r="O6" s="257" t="s">
        <v>63</v>
      </c>
      <c r="P6" s="262">
        <v>53</v>
      </c>
      <c r="Q6" s="262">
        <v>80</v>
      </c>
      <c r="R6" s="262">
        <v>0</v>
      </c>
      <c r="S6" s="262">
        <v>31</v>
      </c>
      <c r="T6" s="262">
        <v>10</v>
      </c>
      <c r="U6" s="262">
        <v>6</v>
      </c>
      <c r="V6" s="262">
        <v>16</v>
      </c>
      <c r="W6" s="262">
        <v>4</v>
      </c>
      <c r="X6" s="262">
        <v>27</v>
      </c>
      <c r="Y6" s="369">
        <v>80</v>
      </c>
      <c r="Z6" s="320">
        <f>WartungMannstunden[[#This Row],[Störungsaufwand]]/5</f>
        <v>16</v>
      </c>
      <c r="AA6" s="224"/>
      <c r="AC6" s="223"/>
      <c r="AD6" s="1019"/>
      <c r="AE6" s="224"/>
    </row>
    <row r="7" spans="2:31" x14ac:dyDescent="0.3">
      <c r="B7" s="223"/>
      <c r="C7" s="254" t="s">
        <v>64</v>
      </c>
      <c r="D7" s="262">
        <v>852</v>
      </c>
      <c r="E7" s="262">
        <v>3852</v>
      </c>
      <c r="F7" s="262">
        <v>0</v>
      </c>
      <c r="G7" s="262">
        <v>0</v>
      </c>
      <c r="H7" s="262">
        <v>9250</v>
      </c>
      <c r="I7" s="262">
        <v>0</v>
      </c>
      <c r="J7" s="262">
        <v>1100</v>
      </c>
      <c r="K7" s="262">
        <v>1300</v>
      </c>
      <c r="L7" s="262">
        <v>6850</v>
      </c>
      <c r="M7" s="369">
        <v>9000</v>
      </c>
      <c r="N7" s="162"/>
      <c r="O7" s="254" t="s">
        <v>64</v>
      </c>
      <c r="P7" s="262">
        <v>53</v>
      </c>
      <c r="Q7" s="262">
        <v>80</v>
      </c>
      <c r="R7" s="262">
        <v>0</v>
      </c>
      <c r="S7" s="262">
        <v>31</v>
      </c>
      <c r="T7" s="262">
        <v>10</v>
      </c>
      <c r="U7" s="262">
        <v>6</v>
      </c>
      <c r="V7" s="262">
        <v>16</v>
      </c>
      <c r="W7" s="262">
        <v>4</v>
      </c>
      <c r="X7" s="262">
        <v>27</v>
      </c>
      <c r="Y7" s="369">
        <v>80</v>
      </c>
      <c r="Z7" s="320">
        <f>WartungMannstunden[[#This Row],[Störungsaufwand]]/5</f>
        <v>16</v>
      </c>
      <c r="AA7" s="224"/>
      <c r="AC7" s="223"/>
      <c r="AD7" s="1019"/>
      <c r="AE7" s="224"/>
    </row>
    <row r="8" spans="2:31" x14ac:dyDescent="0.3">
      <c r="B8" s="223"/>
      <c r="C8" s="257" t="s">
        <v>65</v>
      </c>
      <c r="D8" s="262">
        <v>852</v>
      </c>
      <c r="E8" s="262">
        <v>3852</v>
      </c>
      <c r="F8" s="262">
        <v>0</v>
      </c>
      <c r="G8" s="262">
        <v>0</v>
      </c>
      <c r="H8" s="262">
        <v>9250</v>
      </c>
      <c r="I8" s="262">
        <v>0</v>
      </c>
      <c r="J8" s="262">
        <v>1100</v>
      </c>
      <c r="K8" s="262">
        <v>1300</v>
      </c>
      <c r="L8" s="262">
        <v>6850</v>
      </c>
      <c r="M8" s="369">
        <v>9000</v>
      </c>
      <c r="N8" s="162"/>
      <c r="O8" s="257" t="s">
        <v>65</v>
      </c>
      <c r="P8" s="262">
        <v>53</v>
      </c>
      <c r="Q8" s="262">
        <v>80</v>
      </c>
      <c r="R8" s="262">
        <v>0</v>
      </c>
      <c r="S8" s="262">
        <v>31</v>
      </c>
      <c r="T8" s="262">
        <v>10</v>
      </c>
      <c r="U8" s="262">
        <v>6</v>
      </c>
      <c r="V8" s="262">
        <v>16</v>
      </c>
      <c r="W8" s="262">
        <v>4</v>
      </c>
      <c r="X8" s="262">
        <v>27</v>
      </c>
      <c r="Y8" s="369">
        <v>80</v>
      </c>
      <c r="Z8" s="320">
        <f>WartungMannstunden[[#This Row],[Störungsaufwand]]/5</f>
        <v>16</v>
      </c>
      <c r="AA8" s="224"/>
      <c r="AC8" s="223"/>
      <c r="AD8" s="1019"/>
      <c r="AE8" s="224"/>
    </row>
    <row r="9" spans="2:31" x14ac:dyDescent="0.3">
      <c r="B9" s="223"/>
      <c r="C9" s="254" t="s">
        <v>66</v>
      </c>
      <c r="D9" s="262">
        <v>852</v>
      </c>
      <c r="E9" s="262">
        <v>3852</v>
      </c>
      <c r="F9" s="262">
        <v>0</v>
      </c>
      <c r="G9" s="262">
        <v>0</v>
      </c>
      <c r="H9" s="262">
        <v>9250</v>
      </c>
      <c r="I9" s="262">
        <v>0</v>
      </c>
      <c r="J9" s="262">
        <v>1100</v>
      </c>
      <c r="K9" s="262">
        <v>1300</v>
      </c>
      <c r="L9" s="262">
        <v>6850</v>
      </c>
      <c r="M9" s="369">
        <v>9000</v>
      </c>
      <c r="N9" s="162"/>
      <c r="O9" s="254" t="s">
        <v>66</v>
      </c>
      <c r="P9" s="262">
        <v>53</v>
      </c>
      <c r="Q9" s="262">
        <v>80</v>
      </c>
      <c r="R9" s="262">
        <v>0</v>
      </c>
      <c r="S9" s="262">
        <v>31</v>
      </c>
      <c r="T9" s="262">
        <v>10</v>
      </c>
      <c r="U9" s="262">
        <v>6</v>
      </c>
      <c r="V9" s="262">
        <v>16</v>
      </c>
      <c r="W9" s="262">
        <v>4</v>
      </c>
      <c r="X9" s="262">
        <v>27</v>
      </c>
      <c r="Y9" s="369">
        <v>80</v>
      </c>
      <c r="Z9" s="320">
        <f>WartungMannstunden[[#This Row],[Störungsaufwand]]/5</f>
        <v>16</v>
      </c>
      <c r="AA9" s="224"/>
      <c r="AC9" s="223"/>
      <c r="AD9" s="1019"/>
      <c r="AE9" s="224"/>
    </row>
    <row r="10" spans="2:31" x14ac:dyDescent="0.3">
      <c r="B10" s="223"/>
      <c r="C10" s="257" t="s">
        <v>67</v>
      </c>
      <c r="D10" s="320">
        <v>852</v>
      </c>
      <c r="E10" s="262">
        <v>3852</v>
      </c>
      <c r="F10" s="369">
        <v>0</v>
      </c>
      <c r="G10" s="262">
        <v>0</v>
      </c>
      <c r="H10" s="262">
        <v>9250</v>
      </c>
      <c r="I10" s="262">
        <v>0</v>
      </c>
      <c r="J10" s="262">
        <v>1100</v>
      </c>
      <c r="K10" s="262">
        <v>1300</v>
      </c>
      <c r="L10" s="262">
        <v>6850</v>
      </c>
      <c r="M10" s="369">
        <v>9000</v>
      </c>
      <c r="N10" s="162"/>
      <c r="O10" s="257" t="s">
        <v>67</v>
      </c>
      <c r="P10" s="262">
        <v>53</v>
      </c>
      <c r="Q10" s="262">
        <v>80</v>
      </c>
      <c r="R10" s="262">
        <v>0</v>
      </c>
      <c r="S10" s="262">
        <v>31</v>
      </c>
      <c r="T10" s="262">
        <v>10</v>
      </c>
      <c r="U10" s="262">
        <v>6</v>
      </c>
      <c r="V10" s="262">
        <v>16</v>
      </c>
      <c r="W10" s="262">
        <v>4</v>
      </c>
      <c r="X10" s="262">
        <v>27</v>
      </c>
      <c r="Y10" s="369">
        <v>80</v>
      </c>
      <c r="Z10" s="320">
        <f>WartungMannstunden[[#This Row],[Störungsaufwand]]/5</f>
        <v>16</v>
      </c>
      <c r="AA10" s="224"/>
      <c r="AC10" s="223"/>
      <c r="AD10" s="1019"/>
      <c r="AE10" s="224"/>
    </row>
    <row r="11" spans="2:31" x14ac:dyDescent="0.3">
      <c r="B11" s="223"/>
      <c r="C11" s="257" t="s">
        <v>407</v>
      </c>
      <c r="D11" s="320">
        <v>852</v>
      </c>
      <c r="E11" s="262">
        <v>3852</v>
      </c>
      <c r="F11" s="369">
        <v>0</v>
      </c>
      <c r="G11" s="262">
        <v>0</v>
      </c>
      <c r="H11" s="262">
        <v>9250</v>
      </c>
      <c r="I11" s="262">
        <v>0</v>
      </c>
      <c r="J11" s="262">
        <v>1100</v>
      </c>
      <c r="K11" s="262">
        <v>1300</v>
      </c>
      <c r="L11" s="262">
        <v>6850</v>
      </c>
      <c r="M11" s="369">
        <v>9000</v>
      </c>
      <c r="N11" s="162"/>
      <c r="O11" s="257" t="s">
        <v>407</v>
      </c>
      <c r="P11" s="262">
        <v>53</v>
      </c>
      <c r="Q11" s="262">
        <v>80</v>
      </c>
      <c r="R11" s="262">
        <v>0</v>
      </c>
      <c r="S11" s="262">
        <v>31</v>
      </c>
      <c r="T11" s="262">
        <v>10</v>
      </c>
      <c r="U11" s="262">
        <v>6</v>
      </c>
      <c r="V11" s="262">
        <v>16</v>
      </c>
      <c r="W11" s="262">
        <v>4</v>
      </c>
      <c r="X11" s="262">
        <v>27</v>
      </c>
      <c r="Y11" s="369">
        <v>80</v>
      </c>
      <c r="Z11" s="321">
        <f>WartungMannstunden[[#This Row],[Störungsaufwand]]/5</f>
        <v>16</v>
      </c>
      <c r="AA11" s="224"/>
      <c r="AC11" s="223"/>
      <c r="AD11" s="1019"/>
      <c r="AE11" s="224"/>
    </row>
    <row r="12" spans="2:31" x14ac:dyDescent="0.3">
      <c r="B12" s="223"/>
      <c r="C12" s="254" t="s">
        <v>68</v>
      </c>
      <c r="D12" s="320">
        <v>852</v>
      </c>
      <c r="E12" s="262">
        <v>3852</v>
      </c>
      <c r="F12" s="369">
        <v>0</v>
      </c>
      <c r="G12" s="262">
        <v>0</v>
      </c>
      <c r="H12" s="262">
        <v>9250</v>
      </c>
      <c r="I12" s="262">
        <v>0</v>
      </c>
      <c r="J12" s="262">
        <v>1100</v>
      </c>
      <c r="K12" s="262">
        <v>1300</v>
      </c>
      <c r="L12" s="262">
        <v>6850</v>
      </c>
      <c r="M12" s="369">
        <v>9000</v>
      </c>
      <c r="N12" s="162"/>
      <c r="O12" s="254" t="s">
        <v>68</v>
      </c>
      <c r="P12" s="262">
        <v>53</v>
      </c>
      <c r="Q12" s="262">
        <v>80</v>
      </c>
      <c r="R12" s="262">
        <v>0</v>
      </c>
      <c r="S12" s="262">
        <v>31</v>
      </c>
      <c r="T12" s="262">
        <v>10</v>
      </c>
      <c r="U12" s="262">
        <v>6</v>
      </c>
      <c r="V12" s="262">
        <v>16</v>
      </c>
      <c r="W12" s="262">
        <v>4</v>
      </c>
      <c r="X12" s="262">
        <v>27</v>
      </c>
      <c r="Y12" s="369">
        <v>80</v>
      </c>
      <c r="Z12" s="320">
        <f>WartungMannstunden[[#This Row],[Störungsaufwand]]/5</f>
        <v>16</v>
      </c>
      <c r="AA12" s="224"/>
      <c r="AC12" s="223"/>
      <c r="AD12" s="1019"/>
      <c r="AE12" s="224"/>
    </row>
    <row r="13" spans="2:31" x14ac:dyDescent="0.3">
      <c r="B13" s="223"/>
      <c r="C13" s="257" t="s">
        <v>387</v>
      </c>
      <c r="D13" s="262">
        <v>900</v>
      </c>
      <c r="E13" s="262">
        <v>900</v>
      </c>
      <c r="F13" s="262">
        <v>0</v>
      </c>
      <c r="G13" s="369">
        <v>0</v>
      </c>
      <c r="H13" s="369">
        <v>0</v>
      </c>
      <c r="I13" s="369">
        <v>0</v>
      </c>
      <c r="J13" s="262">
        <v>0</v>
      </c>
      <c r="K13" s="369">
        <v>0</v>
      </c>
      <c r="L13" s="369">
        <v>0</v>
      </c>
      <c r="M13" s="320">
        <v>8000</v>
      </c>
      <c r="N13" s="162"/>
      <c r="O13" s="257" t="s">
        <v>387</v>
      </c>
      <c r="P13" s="262">
        <v>76</v>
      </c>
      <c r="Q13" s="262">
        <v>99</v>
      </c>
      <c r="R13" s="262">
        <v>37</v>
      </c>
      <c r="S13" s="262">
        <v>0</v>
      </c>
      <c r="T13" s="262">
        <v>0</v>
      </c>
      <c r="U13" s="262">
        <v>0</v>
      </c>
      <c r="V13" s="262">
        <v>0</v>
      </c>
      <c r="W13" s="262">
        <v>0</v>
      </c>
      <c r="X13" s="262">
        <v>0</v>
      </c>
      <c r="Y13" s="320">
        <v>120</v>
      </c>
      <c r="Z13" s="320">
        <f>WartungMannstunden[[#This Row],[Störungsaufwand]]/5</f>
        <v>24</v>
      </c>
      <c r="AA13" s="224"/>
      <c r="AC13" s="223"/>
      <c r="AD13" s="1019"/>
      <c r="AE13" s="224"/>
    </row>
    <row r="14" spans="2:31" x14ac:dyDescent="0.3">
      <c r="B14" s="223"/>
      <c r="C14" s="257" t="s">
        <v>388</v>
      </c>
      <c r="D14" s="262">
        <v>900</v>
      </c>
      <c r="E14" s="262">
        <v>900</v>
      </c>
      <c r="F14" s="262">
        <v>0</v>
      </c>
      <c r="G14" s="369">
        <v>0</v>
      </c>
      <c r="H14" s="369">
        <v>0</v>
      </c>
      <c r="I14" s="369">
        <v>0</v>
      </c>
      <c r="J14" s="262">
        <v>0</v>
      </c>
      <c r="K14" s="369">
        <v>0</v>
      </c>
      <c r="L14" s="369">
        <v>0</v>
      </c>
      <c r="M14" s="320">
        <v>8000</v>
      </c>
      <c r="N14" s="162"/>
      <c r="O14" s="257" t="s">
        <v>388</v>
      </c>
      <c r="P14" s="262">
        <v>76</v>
      </c>
      <c r="Q14" s="262">
        <v>99</v>
      </c>
      <c r="R14" s="262">
        <v>37</v>
      </c>
      <c r="S14" s="262">
        <v>0</v>
      </c>
      <c r="T14" s="262">
        <v>0</v>
      </c>
      <c r="U14" s="262">
        <v>0</v>
      </c>
      <c r="V14" s="262">
        <v>0</v>
      </c>
      <c r="W14" s="262">
        <v>0</v>
      </c>
      <c r="X14" s="262">
        <v>0</v>
      </c>
      <c r="Y14" s="320">
        <v>120</v>
      </c>
      <c r="Z14" s="320">
        <f>WartungMannstunden[[#This Row],[Störungsaufwand]]/5</f>
        <v>24</v>
      </c>
      <c r="AA14" s="224"/>
      <c r="AC14" s="223"/>
      <c r="AD14" s="1019"/>
      <c r="AE14" s="224"/>
    </row>
    <row r="15" spans="2:31" x14ac:dyDescent="0.3">
      <c r="B15" s="223"/>
      <c r="C15" s="257" t="s">
        <v>385</v>
      </c>
      <c r="D15" s="262">
        <v>900</v>
      </c>
      <c r="E15" s="262">
        <v>900</v>
      </c>
      <c r="F15" s="262">
        <v>0</v>
      </c>
      <c r="G15" s="369">
        <v>0</v>
      </c>
      <c r="H15" s="369">
        <v>0</v>
      </c>
      <c r="I15" s="369">
        <v>0</v>
      </c>
      <c r="J15" s="262">
        <v>0</v>
      </c>
      <c r="K15" s="369">
        <v>0</v>
      </c>
      <c r="L15" s="369">
        <v>0</v>
      </c>
      <c r="M15" s="320">
        <v>8000</v>
      </c>
      <c r="N15" s="162"/>
      <c r="O15" s="257" t="s">
        <v>385</v>
      </c>
      <c r="P15" s="262">
        <v>76</v>
      </c>
      <c r="Q15" s="262">
        <v>99</v>
      </c>
      <c r="R15" s="262">
        <v>37</v>
      </c>
      <c r="S15" s="262">
        <v>0</v>
      </c>
      <c r="T15" s="262">
        <v>0</v>
      </c>
      <c r="U15" s="262">
        <v>0</v>
      </c>
      <c r="V15" s="262">
        <v>0</v>
      </c>
      <c r="W15" s="262">
        <v>0</v>
      </c>
      <c r="X15" s="262">
        <v>0</v>
      </c>
      <c r="Y15" s="320">
        <v>120</v>
      </c>
      <c r="Z15" s="320">
        <f>WartungMannstunden[[#This Row],[Störungsaufwand]]/5</f>
        <v>24</v>
      </c>
      <c r="AA15" s="224"/>
      <c r="AC15" s="223"/>
      <c r="AD15" s="1019"/>
      <c r="AE15" s="224"/>
    </row>
    <row r="16" spans="2:31" x14ac:dyDescent="0.3">
      <c r="B16" s="223"/>
      <c r="C16" s="257" t="s">
        <v>386</v>
      </c>
      <c r="D16" s="262">
        <v>900</v>
      </c>
      <c r="E16" s="262">
        <v>900</v>
      </c>
      <c r="F16" s="262">
        <v>0</v>
      </c>
      <c r="G16" s="369">
        <v>0</v>
      </c>
      <c r="H16" s="369">
        <v>0</v>
      </c>
      <c r="I16" s="369">
        <v>0</v>
      </c>
      <c r="J16" s="262">
        <v>0</v>
      </c>
      <c r="K16" s="369">
        <v>0</v>
      </c>
      <c r="L16" s="369">
        <v>0</v>
      </c>
      <c r="M16" s="320">
        <v>8000</v>
      </c>
      <c r="N16" s="162"/>
      <c r="O16" s="257" t="s">
        <v>386</v>
      </c>
      <c r="P16" s="262">
        <v>76</v>
      </c>
      <c r="Q16" s="262">
        <v>99</v>
      </c>
      <c r="R16" s="262">
        <v>37</v>
      </c>
      <c r="S16" s="262">
        <v>0</v>
      </c>
      <c r="T16" s="262">
        <v>0</v>
      </c>
      <c r="U16" s="262">
        <v>0</v>
      </c>
      <c r="V16" s="262">
        <v>0</v>
      </c>
      <c r="W16" s="262">
        <v>0</v>
      </c>
      <c r="X16" s="262">
        <v>0</v>
      </c>
      <c r="Y16" s="320">
        <v>120</v>
      </c>
      <c r="Z16" s="320">
        <f>WartungMannstunden[[#This Row],[Störungsaufwand]]/5</f>
        <v>24</v>
      </c>
      <c r="AA16" s="224"/>
      <c r="AC16" s="223"/>
      <c r="AD16" s="162"/>
      <c r="AE16" s="224"/>
    </row>
    <row r="17" spans="2:31" x14ac:dyDescent="0.3">
      <c r="B17" s="223"/>
      <c r="C17" s="257" t="s">
        <v>129</v>
      </c>
      <c r="D17" s="262">
        <v>600</v>
      </c>
      <c r="E17" s="262">
        <v>600</v>
      </c>
      <c r="F17" s="262">
        <v>2500</v>
      </c>
      <c r="G17" s="369">
        <v>0</v>
      </c>
      <c r="H17" s="369">
        <v>0</v>
      </c>
      <c r="I17" s="369">
        <v>0</v>
      </c>
      <c r="J17" s="262">
        <v>0</v>
      </c>
      <c r="K17" s="369">
        <v>0</v>
      </c>
      <c r="L17" s="369">
        <v>0</v>
      </c>
      <c r="M17" s="262">
        <v>5000</v>
      </c>
      <c r="N17" s="162"/>
      <c r="O17" s="257" t="s">
        <v>129</v>
      </c>
      <c r="P17" s="262">
        <v>41</v>
      </c>
      <c r="Q17" s="262">
        <v>58</v>
      </c>
      <c r="R17" s="262">
        <v>60</v>
      </c>
      <c r="S17" s="262">
        <v>0</v>
      </c>
      <c r="T17" s="262">
        <v>0</v>
      </c>
      <c r="U17" s="262">
        <v>0</v>
      </c>
      <c r="V17" s="262">
        <v>0</v>
      </c>
      <c r="W17" s="262">
        <v>0</v>
      </c>
      <c r="X17" s="262">
        <v>0</v>
      </c>
      <c r="Y17" s="262">
        <v>80</v>
      </c>
      <c r="Z17" s="321">
        <f>WartungMannstunden[[#This Row],[Störungsaufwand]]/5</f>
        <v>16</v>
      </c>
      <c r="AA17" s="224"/>
      <c r="AC17" s="223"/>
      <c r="AD17" s="242" t="s">
        <v>239</v>
      </c>
      <c r="AE17" s="224"/>
    </row>
    <row r="18" spans="2:31" x14ac:dyDescent="0.3">
      <c r="B18" s="223"/>
      <c r="C18" s="254" t="s">
        <v>130</v>
      </c>
      <c r="D18" s="262">
        <v>600</v>
      </c>
      <c r="E18" s="262">
        <v>600</v>
      </c>
      <c r="F18" s="262">
        <v>2500</v>
      </c>
      <c r="G18" s="369">
        <v>0</v>
      </c>
      <c r="H18" s="369">
        <v>0</v>
      </c>
      <c r="I18" s="369">
        <v>0</v>
      </c>
      <c r="J18" s="262">
        <v>0</v>
      </c>
      <c r="K18" s="369">
        <v>0</v>
      </c>
      <c r="L18" s="369">
        <v>0</v>
      </c>
      <c r="M18" s="262">
        <v>5000</v>
      </c>
      <c r="N18" s="162"/>
      <c r="O18" s="254" t="s">
        <v>130</v>
      </c>
      <c r="P18" s="262">
        <v>41</v>
      </c>
      <c r="Q18" s="262">
        <v>58</v>
      </c>
      <c r="R18" s="262">
        <v>60</v>
      </c>
      <c r="S18" s="262">
        <v>0</v>
      </c>
      <c r="T18" s="262">
        <v>0</v>
      </c>
      <c r="U18" s="262">
        <v>0</v>
      </c>
      <c r="V18" s="262">
        <v>0</v>
      </c>
      <c r="W18" s="262">
        <v>0</v>
      </c>
      <c r="X18" s="262">
        <v>0</v>
      </c>
      <c r="Y18" s="262">
        <v>80</v>
      </c>
      <c r="Z18" s="320">
        <f>WartungMannstunden[[#This Row],[Störungsaufwand]]/5</f>
        <v>16</v>
      </c>
      <c r="AA18" s="224"/>
      <c r="AC18" s="223"/>
      <c r="AD18" s="1020"/>
      <c r="AE18" s="224"/>
    </row>
    <row r="19" spans="2:31" x14ac:dyDescent="0.3">
      <c r="B19" s="223"/>
      <c r="C19" s="254" t="s">
        <v>126</v>
      </c>
      <c r="D19" s="262">
        <v>600</v>
      </c>
      <c r="E19" s="262">
        <v>600</v>
      </c>
      <c r="F19" s="262">
        <v>2500</v>
      </c>
      <c r="G19" s="262">
        <v>0</v>
      </c>
      <c r="H19" s="262">
        <v>0</v>
      </c>
      <c r="I19" s="262">
        <v>0</v>
      </c>
      <c r="J19" s="262">
        <v>0</v>
      </c>
      <c r="K19" s="262">
        <v>0</v>
      </c>
      <c r="L19" s="262">
        <v>0</v>
      </c>
      <c r="M19" s="262">
        <v>5000</v>
      </c>
      <c r="N19" s="162"/>
      <c r="O19" s="254" t="s">
        <v>126</v>
      </c>
      <c r="P19" s="262">
        <v>41</v>
      </c>
      <c r="Q19" s="262">
        <v>58</v>
      </c>
      <c r="R19" s="262">
        <v>60</v>
      </c>
      <c r="S19" s="262">
        <v>0</v>
      </c>
      <c r="T19" s="262">
        <v>0</v>
      </c>
      <c r="U19" s="262">
        <v>0</v>
      </c>
      <c r="V19" s="262">
        <v>0</v>
      </c>
      <c r="W19" s="262">
        <v>0</v>
      </c>
      <c r="X19" s="262">
        <v>0</v>
      </c>
      <c r="Y19" s="262">
        <v>80</v>
      </c>
      <c r="Z19" s="320">
        <f>WartungMannstunden[[#This Row],[Störungsaufwand]]/5</f>
        <v>16</v>
      </c>
      <c r="AA19" s="224"/>
      <c r="AC19" s="223"/>
      <c r="AD19" s="1020"/>
      <c r="AE19" s="224"/>
    </row>
    <row r="20" spans="2:31" x14ac:dyDescent="0.3">
      <c r="B20" s="223"/>
      <c r="C20" s="254" t="s">
        <v>127</v>
      </c>
      <c r="D20" s="262">
        <v>600</v>
      </c>
      <c r="E20" s="262">
        <v>600</v>
      </c>
      <c r="F20" s="262">
        <v>2500</v>
      </c>
      <c r="G20" s="369">
        <v>0</v>
      </c>
      <c r="H20" s="369">
        <v>0</v>
      </c>
      <c r="I20" s="369">
        <v>0</v>
      </c>
      <c r="J20" s="262">
        <v>0</v>
      </c>
      <c r="K20" s="369">
        <v>0</v>
      </c>
      <c r="L20" s="369">
        <v>0</v>
      </c>
      <c r="M20" s="262">
        <v>5000</v>
      </c>
      <c r="N20" s="162"/>
      <c r="O20" s="254" t="s">
        <v>127</v>
      </c>
      <c r="P20" s="262">
        <v>41</v>
      </c>
      <c r="Q20" s="262">
        <v>58</v>
      </c>
      <c r="R20" s="262">
        <v>60</v>
      </c>
      <c r="S20" s="262">
        <v>0</v>
      </c>
      <c r="T20" s="262">
        <v>0</v>
      </c>
      <c r="U20" s="262">
        <v>0</v>
      </c>
      <c r="V20" s="262">
        <v>0</v>
      </c>
      <c r="W20" s="262">
        <v>0</v>
      </c>
      <c r="X20" s="262">
        <v>0</v>
      </c>
      <c r="Y20" s="262">
        <v>80</v>
      </c>
      <c r="Z20" s="320">
        <f>WartungMannstunden[[#This Row],[Störungsaufwand]]/5</f>
        <v>16</v>
      </c>
      <c r="AA20" s="224"/>
      <c r="AC20" s="223"/>
      <c r="AD20" s="1020"/>
      <c r="AE20" s="224"/>
    </row>
    <row r="21" spans="2:31" x14ac:dyDescent="0.3">
      <c r="B21" s="223"/>
      <c r="C21" s="254" t="s">
        <v>58</v>
      </c>
      <c r="D21" s="262">
        <v>725</v>
      </c>
      <c r="E21" s="262">
        <v>725</v>
      </c>
      <c r="F21" s="262">
        <v>3000</v>
      </c>
      <c r="G21" s="262">
        <v>0</v>
      </c>
      <c r="H21" s="262">
        <v>0</v>
      </c>
      <c r="I21" s="262">
        <v>0</v>
      </c>
      <c r="J21" s="262">
        <v>0</v>
      </c>
      <c r="K21" s="262">
        <v>0</v>
      </c>
      <c r="L21" s="262">
        <v>0</v>
      </c>
      <c r="M21" s="262">
        <v>6000</v>
      </c>
      <c r="N21" s="162"/>
      <c r="O21" s="254" t="s">
        <v>58</v>
      </c>
      <c r="P21" s="262">
        <v>41</v>
      </c>
      <c r="Q21" s="262">
        <v>55</v>
      </c>
      <c r="R21" s="262">
        <v>60</v>
      </c>
      <c r="S21" s="262">
        <v>0</v>
      </c>
      <c r="T21" s="262">
        <v>0</v>
      </c>
      <c r="U21" s="262">
        <v>0</v>
      </c>
      <c r="V21" s="262">
        <v>0</v>
      </c>
      <c r="W21" s="262">
        <v>0</v>
      </c>
      <c r="X21" s="262">
        <v>0</v>
      </c>
      <c r="Y21" s="262">
        <v>80</v>
      </c>
      <c r="Z21" s="320">
        <f>WartungMannstunden[[#This Row],[Störungsaufwand]]/5</f>
        <v>16</v>
      </c>
      <c r="AA21" s="224"/>
      <c r="AC21" s="223"/>
      <c r="AD21" s="1020"/>
      <c r="AE21" s="224"/>
    </row>
    <row r="22" spans="2:31" x14ac:dyDescent="0.3">
      <c r="B22" s="223"/>
      <c r="C22" s="257" t="s">
        <v>52</v>
      </c>
      <c r="D22" s="262">
        <v>725</v>
      </c>
      <c r="E22" s="262">
        <v>725</v>
      </c>
      <c r="F22" s="262">
        <v>3000</v>
      </c>
      <c r="G22" s="262">
        <v>0</v>
      </c>
      <c r="H22" s="262">
        <v>0</v>
      </c>
      <c r="I22" s="262">
        <v>0</v>
      </c>
      <c r="J22" s="262">
        <v>0</v>
      </c>
      <c r="K22" s="262">
        <v>0</v>
      </c>
      <c r="L22" s="262">
        <v>0</v>
      </c>
      <c r="M22" s="262">
        <v>5000</v>
      </c>
      <c r="N22" s="162"/>
      <c r="O22" s="257" t="s">
        <v>52</v>
      </c>
      <c r="P22" s="262">
        <v>41</v>
      </c>
      <c r="Q22" s="262">
        <v>55</v>
      </c>
      <c r="R22" s="262">
        <v>60</v>
      </c>
      <c r="S22" s="262">
        <v>0</v>
      </c>
      <c r="T22" s="262">
        <v>0</v>
      </c>
      <c r="U22" s="262">
        <v>0</v>
      </c>
      <c r="V22" s="262">
        <v>0</v>
      </c>
      <c r="W22" s="262">
        <v>0</v>
      </c>
      <c r="X22" s="262">
        <v>0</v>
      </c>
      <c r="Y22" s="262">
        <v>80</v>
      </c>
      <c r="Z22" s="320">
        <f>WartungMannstunden[[#This Row],[Störungsaufwand]]/5</f>
        <v>16</v>
      </c>
      <c r="AA22" s="224"/>
      <c r="AC22" s="223"/>
      <c r="AD22" s="1020"/>
      <c r="AE22" s="224"/>
    </row>
    <row r="23" spans="2:31" x14ac:dyDescent="0.3">
      <c r="B23" s="223"/>
      <c r="C23" s="264" t="s">
        <v>56</v>
      </c>
      <c r="D23" s="262">
        <v>725</v>
      </c>
      <c r="E23" s="262">
        <v>725</v>
      </c>
      <c r="F23" s="262">
        <v>3000</v>
      </c>
      <c r="G23" s="262">
        <v>0</v>
      </c>
      <c r="H23" s="262">
        <v>0</v>
      </c>
      <c r="I23" s="262">
        <v>0</v>
      </c>
      <c r="J23" s="262">
        <v>0</v>
      </c>
      <c r="K23" s="262">
        <v>0</v>
      </c>
      <c r="L23" s="262">
        <v>0</v>
      </c>
      <c r="M23" s="262">
        <v>6000</v>
      </c>
      <c r="N23" s="162"/>
      <c r="O23" s="264" t="s">
        <v>56</v>
      </c>
      <c r="P23" s="262">
        <v>41</v>
      </c>
      <c r="Q23" s="262">
        <v>55</v>
      </c>
      <c r="R23" s="262">
        <v>60</v>
      </c>
      <c r="S23" s="262">
        <v>0</v>
      </c>
      <c r="T23" s="262">
        <v>0</v>
      </c>
      <c r="U23" s="262">
        <v>0</v>
      </c>
      <c r="V23" s="262">
        <v>0</v>
      </c>
      <c r="W23" s="262">
        <v>0</v>
      </c>
      <c r="X23" s="262">
        <v>0</v>
      </c>
      <c r="Y23" s="262">
        <v>80</v>
      </c>
      <c r="Z23" s="320">
        <f>WartungMannstunden[[#This Row],[Störungsaufwand]]/5</f>
        <v>16</v>
      </c>
      <c r="AA23" s="224"/>
      <c r="AC23" s="223"/>
      <c r="AD23" s="1020"/>
      <c r="AE23" s="224"/>
    </row>
    <row r="24" spans="2:31" x14ac:dyDescent="0.3">
      <c r="B24" s="223"/>
      <c r="C24" s="257" t="s">
        <v>72</v>
      </c>
      <c r="D24" s="262">
        <v>550</v>
      </c>
      <c r="E24" s="262">
        <v>550</v>
      </c>
      <c r="F24" s="262">
        <v>9400</v>
      </c>
      <c r="G24" s="369">
        <v>0</v>
      </c>
      <c r="H24" s="369">
        <v>0</v>
      </c>
      <c r="I24" s="369">
        <v>0</v>
      </c>
      <c r="J24" s="262">
        <v>0</v>
      </c>
      <c r="K24" s="369">
        <v>0</v>
      </c>
      <c r="L24" s="369">
        <v>0</v>
      </c>
      <c r="M24" s="320">
        <v>7500</v>
      </c>
      <c r="N24" s="162"/>
      <c r="O24" s="257" t="s">
        <v>72</v>
      </c>
      <c r="P24" s="262">
        <v>54</v>
      </c>
      <c r="Q24" s="262">
        <v>71</v>
      </c>
      <c r="R24" s="262">
        <v>71</v>
      </c>
      <c r="S24" s="262">
        <v>0</v>
      </c>
      <c r="T24" s="262">
        <v>0</v>
      </c>
      <c r="U24" s="262">
        <v>0</v>
      </c>
      <c r="V24" s="262">
        <v>0</v>
      </c>
      <c r="W24" s="262">
        <v>0</v>
      </c>
      <c r="X24" s="262">
        <v>0</v>
      </c>
      <c r="Y24" s="320">
        <v>100</v>
      </c>
      <c r="Z24" s="320">
        <f>WartungMannstunden[[#This Row],[Störungsaufwand]]/5</f>
        <v>20</v>
      </c>
      <c r="AA24" s="224"/>
      <c r="AC24" s="223"/>
      <c r="AD24" s="1020"/>
      <c r="AE24" s="224"/>
    </row>
    <row r="25" spans="2:31" x14ac:dyDescent="0.3">
      <c r="B25" s="223"/>
      <c r="C25" s="259" t="s">
        <v>69</v>
      </c>
      <c r="D25" s="262">
        <v>550</v>
      </c>
      <c r="E25" s="262">
        <v>550</v>
      </c>
      <c r="F25" s="320">
        <v>9400</v>
      </c>
      <c r="G25" s="369">
        <v>0</v>
      </c>
      <c r="H25" s="369">
        <v>0</v>
      </c>
      <c r="I25" s="369">
        <v>0</v>
      </c>
      <c r="J25" s="369">
        <v>0</v>
      </c>
      <c r="K25" s="369">
        <v>0</v>
      </c>
      <c r="L25" s="369">
        <v>0</v>
      </c>
      <c r="M25" s="320">
        <v>7500</v>
      </c>
      <c r="N25" s="162"/>
      <c r="O25" s="259" t="s">
        <v>69</v>
      </c>
      <c r="P25" s="262">
        <v>52</v>
      </c>
      <c r="Q25" s="262">
        <v>50</v>
      </c>
      <c r="R25" s="262">
        <v>71</v>
      </c>
      <c r="S25" s="262">
        <v>0</v>
      </c>
      <c r="T25" s="262">
        <v>0</v>
      </c>
      <c r="U25" s="262">
        <v>0</v>
      </c>
      <c r="V25" s="262">
        <v>0</v>
      </c>
      <c r="W25" s="262">
        <v>0</v>
      </c>
      <c r="X25" s="262">
        <v>0</v>
      </c>
      <c r="Y25" s="320">
        <v>100</v>
      </c>
      <c r="Z25" s="320">
        <f>WartungMannstunden[[#This Row],[Störungsaufwand]]/5</f>
        <v>20</v>
      </c>
      <c r="AA25" s="224"/>
      <c r="AC25" s="223"/>
      <c r="AD25" s="1020"/>
      <c r="AE25" s="224"/>
    </row>
    <row r="26" spans="2:31" x14ac:dyDescent="0.3">
      <c r="B26" s="223"/>
      <c r="C26" s="257" t="s">
        <v>70</v>
      </c>
      <c r="D26" s="262">
        <v>550</v>
      </c>
      <c r="E26" s="262">
        <v>550</v>
      </c>
      <c r="F26" s="320">
        <v>9400</v>
      </c>
      <c r="G26" s="369">
        <v>0</v>
      </c>
      <c r="H26" s="369">
        <v>0</v>
      </c>
      <c r="I26" s="369">
        <v>0</v>
      </c>
      <c r="J26" s="369">
        <v>0</v>
      </c>
      <c r="K26" s="369">
        <v>0</v>
      </c>
      <c r="L26" s="369">
        <v>0</v>
      </c>
      <c r="M26" s="320">
        <v>9000</v>
      </c>
      <c r="N26" s="162"/>
      <c r="O26" s="257" t="s">
        <v>70</v>
      </c>
      <c r="P26" s="262">
        <v>52</v>
      </c>
      <c r="Q26" s="262">
        <v>50</v>
      </c>
      <c r="R26" s="262">
        <v>71</v>
      </c>
      <c r="S26" s="262">
        <v>0</v>
      </c>
      <c r="T26" s="262">
        <v>0</v>
      </c>
      <c r="U26" s="262">
        <v>0</v>
      </c>
      <c r="V26" s="262">
        <v>0</v>
      </c>
      <c r="W26" s="262">
        <v>0</v>
      </c>
      <c r="X26" s="262">
        <v>0</v>
      </c>
      <c r="Y26" s="320">
        <v>100</v>
      </c>
      <c r="Z26" s="320">
        <f>WartungMannstunden[[#This Row],[Störungsaufwand]]/5</f>
        <v>20</v>
      </c>
      <c r="AA26" s="224"/>
      <c r="AC26" s="223"/>
      <c r="AD26" s="1020"/>
      <c r="AE26" s="224"/>
    </row>
    <row r="27" spans="2:31" x14ac:dyDescent="0.3">
      <c r="B27" s="223"/>
      <c r="C27" s="259" t="s">
        <v>57</v>
      </c>
      <c r="D27" s="262">
        <v>250</v>
      </c>
      <c r="E27" s="262">
        <v>250</v>
      </c>
      <c r="F27" s="320">
        <v>2000</v>
      </c>
      <c r="G27" s="369">
        <v>0</v>
      </c>
      <c r="H27" s="369">
        <v>0</v>
      </c>
      <c r="I27" s="369">
        <v>0</v>
      </c>
      <c r="J27" s="369">
        <v>0</v>
      </c>
      <c r="K27" s="369">
        <v>0</v>
      </c>
      <c r="L27" s="369">
        <v>0</v>
      </c>
      <c r="M27" s="320">
        <v>5000</v>
      </c>
      <c r="N27" s="162"/>
      <c r="O27" s="259" t="s">
        <v>57</v>
      </c>
      <c r="P27" s="262">
        <v>28</v>
      </c>
      <c r="Q27" s="262">
        <v>41</v>
      </c>
      <c r="R27" s="262">
        <v>0</v>
      </c>
      <c r="S27" s="262">
        <v>0</v>
      </c>
      <c r="T27" s="262">
        <v>0</v>
      </c>
      <c r="U27" s="262">
        <v>0</v>
      </c>
      <c r="V27" s="262">
        <v>0</v>
      </c>
      <c r="W27" s="262">
        <v>0</v>
      </c>
      <c r="X27" s="262">
        <v>0</v>
      </c>
      <c r="Y27" s="320">
        <v>60</v>
      </c>
      <c r="Z27" s="320">
        <f>WartungMannstunden[[#This Row],[Störungsaufwand]]/5</f>
        <v>12</v>
      </c>
      <c r="AA27" s="224"/>
      <c r="AC27" s="223"/>
      <c r="AD27" s="1020"/>
      <c r="AE27" s="224"/>
    </row>
    <row r="28" spans="2:31" x14ac:dyDescent="0.3">
      <c r="B28" s="223"/>
      <c r="C28" s="257" t="s">
        <v>73</v>
      </c>
      <c r="D28" s="262">
        <v>550</v>
      </c>
      <c r="E28" s="262">
        <v>550</v>
      </c>
      <c r="F28" s="320">
        <v>9400</v>
      </c>
      <c r="G28" s="369">
        <v>0</v>
      </c>
      <c r="H28" s="369">
        <v>0</v>
      </c>
      <c r="I28" s="369">
        <v>0</v>
      </c>
      <c r="J28" s="369">
        <v>0</v>
      </c>
      <c r="K28" s="369">
        <v>0</v>
      </c>
      <c r="L28" s="369">
        <v>0</v>
      </c>
      <c r="M28" s="320">
        <v>7500</v>
      </c>
      <c r="N28" s="162"/>
      <c r="O28" s="257" t="s">
        <v>73</v>
      </c>
      <c r="P28" s="262">
        <v>54</v>
      </c>
      <c r="Q28" s="262">
        <v>71</v>
      </c>
      <c r="R28" s="262">
        <v>71</v>
      </c>
      <c r="S28" s="262">
        <v>0</v>
      </c>
      <c r="T28" s="262">
        <v>0</v>
      </c>
      <c r="U28" s="262">
        <v>0</v>
      </c>
      <c r="V28" s="262">
        <v>0</v>
      </c>
      <c r="W28" s="262">
        <v>0</v>
      </c>
      <c r="X28" s="262">
        <v>0</v>
      </c>
      <c r="Y28" s="320">
        <v>120</v>
      </c>
      <c r="Z28" s="320">
        <f>WartungMannstunden[[#This Row],[Störungsaufwand]]/5</f>
        <v>24</v>
      </c>
      <c r="AA28" s="224"/>
      <c r="AC28" s="223"/>
      <c r="AD28" s="1020"/>
      <c r="AE28" s="224"/>
    </row>
    <row r="29" spans="2:31" x14ac:dyDescent="0.3">
      <c r="B29" s="223"/>
      <c r="C29" s="370" t="s">
        <v>242</v>
      </c>
      <c r="D29" s="262">
        <v>550</v>
      </c>
      <c r="E29" s="262">
        <v>550</v>
      </c>
      <c r="F29" s="262">
        <v>9400</v>
      </c>
      <c r="G29" s="369">
        <v>0</v>
      </c>
      <c r="H29" s="369">
        <v>0</v>
      </c>
      <c r="I29" s="369">
        <v>0</v>
      </c>
      <c r="J29" s="262">
        <v>0</v>
      </c>
      <c r="K29" s="369">
        <v>0</v>
      </c>
      <c r="L29" s="369">
        <v>0</v>
      </c>
      <c r="M29" s="262">
        <v>7500</v>
      </c>
      <c r="N29" s="162"/>
      <c r="O29" s="370" t="s">
        <v>242</v>
      </c>
      <c r="P29" s="262">
        <v>54</v>
      </c>
      <c r="Q29" s="262">
        <v>71</v>
      </c>
      <c r="R29" s="262">
        <v>71</v>
      </c>
      <c r="S29" s="262">
        <v>0</v>
      </c>
      <c r="T29" s="262">
        <v>0</v>
      </c>
      <c r="U29" s="262">
        <v>0</v>
      </c>
      <c r="V29" s="262">
        <v>0</v>
      </c>
      <c r="W29" s="262">
        <v>0</v>
      </c>
      <c r="X29" s="262">
        <v>0</v>
      </c>
      <c r="Y29" s="262">
        <v>120</v>
      </c>
      <c r="Z29" s="320">
        <f>WartungMannstunden[[#This Row],[Störungsaufwand]]/5</f>
        <v>24</v>
      </c>
      <c r="AA29" s="224"/>
      <c r="AC29" s="223"/>
      <c r="AD29" s="1020"/>
      <c r="AE29" s="224"/>
    </row>
    <row r="30" spans="2:31" x14ac:dyDescent="0.3">
      <c r="B30" s="223"/>
      <c r="C30" s="263" t="s">
        <v>243</v>
      </c>
      <c r="D30" s="262">
        <v>550</v>
      </c>
      <c r="E30" s="262">
        <v>550</v>
      </c>
      <c r="F30" s="262">
        <v>9400</v>
      </c>
      <c r="G30" s="369">
        <v>0</v>
      </c>
      <c r="H30" s="369">
        <v>0</v>
      </c>
      <c r="I30" s="369">
        <v>0</v>
      </c>
      <c r="J30" s="262">
        <v>0</v>
      </c>
      <c r="K30" s="369">
        <v>0</v>
      </c>
      <c r="L30" s="369">
        <v>0</v>
      </c>
      <c r="M30" s="262">
        <v>7500</v>
      </c>
      <c r="N30" s="162"/>
      <c r="O30" s="263" t="s">
        <v>243</v>
      </c>
      <c r="P30" s="262">
        <v>54</v>
      </c>
      <c r="Q30" s="262">
        <v>71</v>
      </c>
      <c r="R30" s="262">
        <v>71</v>
      </c>
      <c r="S30" s="262">
        <v>0</v>
      </c>
      <c r="T30" s="262">
        <v>0</v>
      </c>
      <c r="U30" s="262">
        <v>0</v>
      </c>
      <c r="V30" s="262">
        <v>0</v>
      </c>
      <c r="W30" s="262">
        <v>0</v>
      </c>
      <c r="X30" s="262">
        <v>0</v>
      </c>
      <c r="Y30" s="262">
        <v>120</v>
      </c>
      <c r="Z30" s="321">
        <f>WartungMannstunden[[#This Row],[Störungsaufwand]]/5</f>
        <v>24</v>
      </c>
      <c r="AA30" s="224"/>
      <c r="AC30" s="223"/>
      <c r="AD30" s="1020"/>
      <c r="AE30" s="224"/>
    </row>
    <row r="31" spans="2:31" x14ac:dyDescent="0.3">
      <c r="B31" s="223"/>
      <c r="C31" s="263" t="s">
        <v>125</v>
      </c>
      <c r="D31" s="262">
        <v>600</v>
      </c>
      <c r="E31" s="262">
        <v>600</v>
      </c>
      <c r="F31" s="262">
        <v>2500</v>
      </c>
      <c r="G31" s="369">
        <v>0</v>
      </c>
      <c r="H31" s="369">
        <v>0</v>
      </c>
      <c r="I31" s="369">
        <v>0</v>
      </c>
      <c r="J31" s="262">
        <v>0</v>
      </c>
      <c r="K31" s="369">
        <v>0</v>
      </c>
      <c r="L31" s="369">
        <v>0</v>
      </c>
      <c r="M31" s="262">
        <v>5000</v>
      </c>
      <c r="N31" s="162"/>
      <c r="O31" s="263" t="s">
        <v>125</v>
      </c>
      <c r="P31" s="262">
        <v>41</v>
      </c>
      <c r="Q31" s="262">
        <v>58</v>
      </c>
      <c r="R31" s="262">
        <v>60</v>
      </c>
      <c r="S31" s="262">
        <v>0</v>
      </c>
      <c r="T31" s="262">
        <v>0</v>
      </c>
      <c r="U31" s="262">
        <v>0</v>
      </c>
      <c r="V31" s="262">
        <v>0</v>
      </c>
      <c r="W31" s="262">
        <v>0</v>
      </c>
      <c r="X31" s="262">
        <v>0</v>
      </c>
      <c r="Y31" s="262">
        <v>80</v>
      </c>
      <c r="Z31" s="321">
        <f>WartungMannstunden[[#This Row],[Störungsaufwand]]/5</f>
        <v>16</v>
      </c>
      <c r="AA31" s="224"/>
      <c r="AC31" s="223"/>
      <c r="AD31" s="1020"/>
      <c r="AE31" s="224"/>
    </row>
    <row r="32" spans="2:31" x14ac:dyDescent="0.3">
      <c r="B32" s="223"/>
      <c r="C32" s="370" t="s">
        <v>128</v>
      </c>
      <c r="D32" s="262">
        <v>600</v>
      </c>
      <c r="E32" s="262">
        <v>600</v>
      </c>
      <c r="F32" s="262">
        <v>2500</v>
      </c>
      <c r="G32" s="369">
        <v>0</v>
      </c>
      <c r="H32" s="369">
        <v>0</v>
      </c>
      <c r="I32" s="369">
        <v>0</v>
      </c>
      <c r="J32" s="262">
        <v>0</v>
      </c>
      <c r="K32" s="369">
        <v>0</v>
      </c>
      <c r="L32" s="369">
        <v>0</v>
      </c>
      <c r="M32" s="262">
        <v>5000</v>
      </c>
      <c r="N32" s="162"/>
      <c r="O32" s="370" t="s">
        <v>128</v>
      </c>
      <c r="P32" s="262">
        <v>41</v>
      </c>
      <c r="Q32" s="262">
        <v>58</v>
      </c>
      <c r="R32" s="262">
        <v>60</v>
      </c>
      <c r="S32" s="262">
        <v>0</v>
      </c>
      <c r="T32" s="262">
        <v>0</v>
      </c>
      <c r="U32" s="262">
        <v>0</v>
      </c>
      <c r="V32" s="262">
        <v>0</v>
      </c>
      <c r="W32" s="262">
        <v>0</v>
      </c>
      <c r="X32" s="262">
        <v>0</v>
      </c>
      <c r="Y32" s="262">
        <v>80</v>
      </c>
      <c r="Z32" s="320">
        <f>WartungMannstunden[[#This Row],[Störungsaufwand]]/5</f>
        <v>16</v>
      </c>
      <c r="AA32" s="224"/>
      <c r="AC32" s="223"/>
      <c r="AD32" s="1020"/>
      <c r="AE32" s="224"/>
    </row>
    <row r="33" spans="2:31" ht="15" thickBot="1" x14ac:dyDescent="0.35">
      <c r="B33" s="223"/>
      <c r="C33" s="263" t="s">
        <v>393</v>
      </c>
      <c r="D33" s="320">
        <v>852</v>
      </c>
      <c r="E33" s="262">
        <v>3852</v>
      </c>
      <c r="F33" s="369">
        <v>0</v>
      </c>
      <c r="G33" s="262">
        <v>0</v>
      </c>
      <c r="H33" s="262">
        <v>9250</v>
      </c>
      <c r="I33" s="262">
        <v>0</v>
      </c>
      <c r="J33" s="262">
        <v>1100</v>
      </c>
      <c r="K33" s="262">
        <v>1300</v>
      </c>
      <c r="L33" s="262">
        <v>6850</v>
      </c>
      <c r="M33" s="369">
        <v>9000</v>
      </c>
      <c r="N33" s="162"/>
      <c r="O33" s="263" t="s">
        <v>393</v>
      </c>
      <c r="P33" s="262">
        <v>53</v>
      </c>
      <c r="Q33" s="262">
        <v>80</v>
      </c>
      <c r="R33" s="262">
        <v>0</v>
      </c>
      <c r="S33" s="262">
        <v>31</v>
      </c>
      <c r="T33" s="262">
        <v>10</v>
      </c>
      <c r="U33" s="262">
        <v>6</v>
      </c>
      <c r="V33" s="262">
        <v>16</v>
      </c>
      <c r="W33" s="262">
        <v>4</v>
      </c>
      <c r="X33" s="262">
        <v>27</v>
      </c>
      <c r="Y33" s="369">
        <v>80</v>
      </c>
      <c r="Z33" s="321">
        <f>WartungMannstunden[[#This Row],[Störungsaufwand]]/5</f>
        <v>16</v>
      </c>
      <c r="AA33" s="224"/>
      <c r="AC33" s="226"/>
      <c r="AD33" s="227"/>
      <c r="AE33" s="228"/>
    </row>
    <row r="34" spans="2:31" x14ac:dyDescent="0.3">
      <c r="B34" s="223"/>
      <c r="C34" s="396" t="s">
        <v>439</v>
      </c>
      <c r="D34" s="262">
        <v>550</v>
      </c>
      <c r="E34" s="262">
        <v>550</v>
      </c>
      <c r="F34" s="320">
        <v>9400</v>
      </c>
      <c r="G34" s="369">
        <v>0</v>
      </c>
      <c r="H34" s="369">
        <v>0</v>
      </c>
      <c r="I34" s="369">
        <v>0</v>
      </c>
      <c r="J34" s="369">
        <v>0</v>
      </c>
      <c r="K34" s="369">
        <v>0</v>
      </c>
      <c r="L34" s="369">
        <v>0</v>
      </c>
      <c r="M34" s="320">
        <v>9000</v>
      </c>
      <c r="N34" s="162"/>
      <c r="O34" s="396" t="s">
        <v>439</v>
      </c>
      <c r="P34" s="262">
        <v>52</v>
      </c>
      <c r="Q34" s="262">
        <v>50</v>
      </c>
      <c r="R34" s="262">
        <v>71</v>
      </c>
      <c r="S34" s="262">
        <v>0</v>
      </c>
      <c r="T34" s="262">
        <v>0</v>
      </c>
      <c r="U34" s="262">
        <v>0</v>
      </c>
      <c r="V34" s="262">
        <v>0</v>
      </c>
      <c r="W34" s="262">
        <v>0</v>
      </c>
      <c r="X34" s="262">
        <v>0</v>
      </c>
      <c r="Y34" s="320">
        <v>100</v>
      </c>
      <c r="Z34" s="320">
        <f>WartungMannstunden[[#This Row],[Störungsaufwand]]/5</f>
        <v>20</v>
      </c>
      <c r="AA34" s="224"/>
    </row>
    <row r="35" spans="2:31" x14ac:dyDescent="0.3">
      <c r="B35" s="223"/>
      <c r="C35" s="396" t="s">
        <v>437</v>
      </c>
      <c r="D35" s="262">
        <v>550</v>
      </c>
      <c r="E35" s="262">
        <v>550</v>
      </c>
      <c r="F35" s="320">
        <v>9400</v>
      </c>
      <c r="G35" s="369">
        <v>0</v>
      </c>
      <c r="H35" s="369">
        <v>0</v>
      </c>
      <c r="I35" s="369">
        <v>0</v>
      </c>
      <c r="J35" s="369">
        <v>0</v>
      </c>
      <c r="K35" s="369">
        <v>0</v>
      </c>
      <c r="L35" s="369">
        <v>0</v>
      </c>
      <c r="M35" s="320">
        <v>9000</v>
      </c>
      <c r="N35" s="162"/>
      <c r="O35" s="396" t="s">
        <v>437</v>
      </c>
      <c r="P35" s="262">
        <v>52</v>
      </c>
      <c r="Q35" s="262">
        <v>50</v>
      </c>
      <c r="R35" s="262">
        <v>71</v>
      </c>
      <c r="S35" s="262">
        <v>0</v>
      </c>
      <c r="T35" s="262">
        <v>0</v>
      </c>
      <c r="U35" s="262">
        <v>0</v>
      </c>
      <c r="V35" s="262">
        <v>0</v>
      </c>
      <c r="W35" s="262">
        <v>0</v>
      </c>
      <c r="X35" s="262">
        <v>0</v>
      </c>
      <c r="Y35" s="320">
        <v>100</v>
      </c>
      <c r="Z35" s="320">
        <f>WartungMannstunden[[#This Row],[Störungsaufwand]]/5</f>
        <v>20</v>
      </c>
      <c r="AA35" s="224"/>
    </row>
    <row r="36" spans="2:31" x14ac:dyDescent="0.3">
      <c r="B36" s="223"/>
      <c r="C36" s="396" t="s">
        <v>438</v>
      </c>
      <c r="D36" s="262">
        <v>550</v>
      </c>
      <c r="E36" s="262">
        <v>550</v>
      </c>
      <c r="F36" s="320">
        <v>9400</v>
      </c>
      <c r="G36" s="369">
        <v>0</v>
      </c>
      <c r="H36" s="369">
        <v>0</v>
      </c>
      <c r="I36" s="369">
        <v>0</v>
      </c>
      <c r="J36" s="369">
        <v>0</v>
      </c>
      <c r="K36" s="369">
        <v>0</v>
      </c>
      <c r="L36" s="369">
        <v>0</v>
      </c>
      <c r="M36" s="320">
        <v>9000</v>
      </c>
      <c r="N36" s="162"/>
      <c r="O36" s="396" t="s">
        <v>438</v>
      </c>
      <c r="P36" s="262">
        <v>52</v>
      </c>
      <c r="Q36" s="262">
        <v>50</v>
      </c>
      <c r="R36" s="262">
        <v>71</v>
      </c>
      <c r="S36" s="262">
        <v>0</v>
      </c>
      <c r="T36" s="262">
        <v>0</v>
      </c>
      <c r="U36" s="262">
        <v>0</v>
      </c>
      <c r="V36" s="262">
        <v>0</v>
      </c>
      <c r="W36" s="262">
        <v>0</v>
      </c>
      <c r="X36" s="262">
        <v>0</v>
      </c>
      <c r="Y36" s="320">
        <v>100</v>
      </c>
      <c r="Z36" s="320">
        <f>WartungMannstunden[[#This Row],[Störungsaufwand]]/5</f>
        <v>20</v>
      </c>
      <c r="AA36" s="224"/>
    </row>
    <row r="37" spans="2:31" x14ac:dyDescent="0.3">
      <c r="B37" s="223"/>
      <c r="C37" s="396" t="s">
        <v>393</v>
      </c>
      <c r="D37" s="262">
        <v>852</v>
      </c>
      <c r="E37" s="262">
        <v>3852</v>
      </c>
      <c r="F37" s="262">
        <v>0</v>
      </c>
      <c r="G37" s="262">
        <v>0</v>
      </c>
      <c r="H37" s="262">
        <v>9250</v>
      </c>
      <c r="I37" s="262">
        <v>0</v>
      </c>
      <c r="J37" s="262">
        <v>1100</v>
      </c>
      <c r="K37" s="262">
        <v>1300</v>
      </c>
      <c r="L37" s="262">
        <v>6850</v>
      </c>
      <c r="M37" s="369">
        <v>9000</v>
      </c>
      <c r="N37" s="162"/>
      <c r="O37" s="396" t="s">
        <v>393</v>
      </c>
      <c r="P37" s="262">
        <v>53</v>
      </c>
      <c r="Q37" s="262">
        <v>80</v>
      </c>
      <c r="R37" s="262">
        <v>0</v>
      </c>
      <c r="S37" s="262">
        <v>31</v>
      </c>
      <c r="T37" s="262">
        <v>10</v>
      </c>
      <c r="U37" s="262">
        <v>6</v>
      </c>
      <c r="V37" s="262">
        <v>16</v>
      </c>
      <c r="W37" s="262">
        <v>4</v>
      </c>
      <c r="X37" s="262">
        <v>27</v>
      </c>
      <c r="Y37" s="369">
        <v>80</v>
      </c>
      <c r="Z37" s="321">
        <f>WartungMannstunden[[#This Row],[Störungsaufwand]]/5</f>
        <v>16</v>
      </c>
      <c r="AA37" s="224"/>
    </row>
    <row r="38" spans="2:31" x14ac:dyDescent="0.3">
      <c r="B38" s="223"/>
      <c r="C38" s="396" t="s">
        <v>447</v>
      </c>
      <c r="D38" s="262">
        <v>852</v>
      </c>
      <c r="E38" s="262">
        <v>3852</v>
      </c>
      <c r="F38" s="262">
        <v>0</v>
      </c>
      <c r="G38" s="262">
        <v>0</v>
      </c>
      <c r="H38" s="262">
        <v>9250</v>
      </c>
      <c r="I38" s="262">
        <v>0</v>
      </c>
      <c r="J38" s="262">
        <v>1100</v>
      </c>
      <c r="K38" s="262">
        <v>1300</v>
      </c>
      <c r="L38" s="262">
        <v>6850</v>
      </c>
      <c r="M38" s="369">
        <v>9000</v>
      </c>
      <c r="N38" s="162"/>
      <c r="O38" s="396" t="s">
        <v>447</v>
      </c>
      <c r="P38" s="262">
        <v>53</v>
      </c>
      <c r="Q38" s="262">
        <v>80</v>
      </c>
      <c r="R38" s="262">
        <v>0</v>
      </c>
      <c r="S38" s="262">
        <v>31</v>
      </c>
      <c r="T38" s="262">
        <v>10</v>
      </c>
      <c r="U38" s="262">
        <v>6</v>
      </c>
      <c r="V38" s="262">
        <v>16</v>
      </c>
      <c r="W38" s="262">
        <v>4</v>
      </c>
      <c r="X38" s="262">
        <v>27</v>
      </c>
      <c r="Y38" s="369">
        <v>80</v>
      </c>
      <c r="Z38" s="321">
        <f>WartungMannstunden[[#This Row],[Störungsaufwand]]/5</f>
        <v>16</v>
      </c>
      <c r="AA38" s="224"/>
    </row>
    <row r="39" spans="2:31" ht="15" thickBot="1" x14ac:dyDescent="0.35">
      <c r="B39" s="223"/>
      <c r="C39" s="162"/>
      <c r="D39" s="225"/>
      <c r="E39" s="162"/>
      <c r="F39" s="162"/>
      <c r="G39" s="162"/>
      <c r="H39" s="162"/>
      <c r="I39" s="162"/>
      <c r="J39" s="162"/>
      <c r="K39" s="162"/>
      <c r="L39" s="162"/>
      <c r="M39" s="162"/>
      <c r="N39" s="162"/>
      <c r="O39" s="162"/>
      <c r="P39" s="162"/>
      <c r="Q39" s="162"/>
      <c r="R39" s="162"/>
      <c r="S39" s="162"/>
      <c r="T39" s="162"/>
      <c r="U39" s="162"/>
      <c r="V39" s="162"/>
      <c r="W39" s="162"/>
      <c r="X39" s="162"/>
      <c r="Y39" s="162"/>
      <c r="Z39" s="162"/>
      <c r="AA39" s="224"/>
    </row>
    <row r="40" spans="2:31" x14ac:dyDescent="0.3">
      <c r="B40" s="223"/>
      <c r="C40" s="230" t="s">
        <v>234</v>
      </c>
      <c r="D40" s="231">
        <v>42873</v>
      </c>
      <c r="E40" s="232" t="s">
        <v>231</v>
      </c>
      <c r="F40" s="233" t="s">
        <v>233</v>
      </c>
      <c r="G40" s="162"/>
      <c r="H40" s="162"/>
      <c r="I40" s="162"/>
      <c r="J40" s="162"/>
      <c r="K40" s="162"/>
      <c r="L40" s="162"/>
      <c r="M40" s="162"/>
      <c r="N40" s="162"/>
      <c r="O40" s="230" t="s">
        <v>234</v>
      </c>
      <c r="P40" s="231">
        <v>42934</v>
      </c>
      <c r="Q40" s="232" t="s">
        <v>231</v>
      </c>
      <c r="R40" s="233" t="s">
        <v>233</v>
      </c>
      <c r="S40" s="162"/>
      <c r="T40" s="162"/>
      <c r="U40" s="162"/>
      <c r="V40" s="162"/>
      <c r="W40" s="162"/>
      <c r="X40" s="162"/>
      <c r="Y40" s="311">
        <v>2000</v>
      </c>
      <c r="Z40" s="312" t="s">
        <v>377</v>
      </c>
      <c r="AA40" s="224"/>
    </row>
    <row r="41" spans="2:31" ht="15" thickBot="1" x14ac:dyDescent="0.35">
      <c r="B41" s="223"/>
      <c r="C41" s="234" t="s">
        <v>232</v>
      </c>
      <c r="D41" s="235"/>
      <c r="E41" s="235" t="s">
        <v>231</v>
      </c>
      <c r="F41" s="236"/>
      <c r="G41" s="162"/>
      <c r="H41" s="162"/>
      <c r="I41" s="162"/>
      <c r="J41" s="162"/>
      <c r="K41" s="162"/>
      <c r="L41" s="162"/>
      <c r="M41" s="162"/>
      <c r="N41" s="162"/>
      <c r="O41" s="234" t="s">
        <v>232</v>
      </c>
      <c r="P41" s="235"/>
      <c r="Q41" s="235" t="s">
        <v>231</v>
      </c>
      <c r="R41" s="236"/>
      <c r="S41" s="162"/>
      <c r="T41" s="162"/>
      <c r="U41" s="162"/>
      <c r="V41" s="162"/>
      <c r="W41" s="162"/>
      <c r="X41" s="162"/>
      <c r="Y41" s="313">
        <v>2000</v>
      </c>
      <c r="Z41" s="312" t="s">
        <v>378</v>
      </c>
      <c r="AA41" s="224"/>
    </row>
    <row r="42" spans="2:31" x14ac:dyDescent="0.3">
      <c r="B42" s="223"/>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224"/>
    </row>
    <row r="43" spans="2:31" ht="15" thickBot="1" x14ac:dyDescent="0.35">
      <c r="B43" s="226"/>
      <c r="C43" s="227"/>
      <c r="D43" s="227"/>
      <c r="E43" s="227"/>
      <c r="F43" s="227"/>
      <c r="G43" s="227"/>
      <c r="H43" s="227"/>
      <c r="I43" s="227"/>
      <c r="J43" s="227"/>
      <c r="K43" s="227"/>
      <c r="L43" s="227"/>
      <c r="M43" s="227"/>
      <c r="N43" s="227"/>
      <c r="O43" s="227"/>
      <c r="P43" s="227"/>
      <c r="Q43" s="227"/>
      <c r="R43" s="227"/>
      <c r="S43" s="227"/>
      <c r="T43" s="227"/>
      <c r="U43" s="227"/>
      <c r="V43" s="227"/>
      <c r="W43" s="227"/>
      <c r="X43" s="227"/>
      <c r="Y43" s="227"/>
      <c r="Z43" s="227"/>
      <c r="AA43" s="228"/>
    </row>
    <row r="44" spans="2:31" x14ac:dyDescent="0.3">
      <c r="B44" s="162"/>
      <c r="N44" s="162"/>
      <c r="AA44" s="162"/>
    </row>
    <row r="45" spans="2:31" x14ac:dyDescent="0.3">
      <c r="B45" s="162"/>
      <c r="N45" s="162"/>
      <c r="AA45" s="162"/>
    </row>
  </sheetData>
  <mergeCells count="2">
    <mergeCell ref="AD3:AD15"/>
    <mergeCell ref="AD18:AD32"/>
  </mergeCells>
  <conditionalFormatting sqref="O6:Z38 C6:M38">
    <cfRule type="expression" dxfId="149" priority="5">
      <formula>MOD(ROW(),2)=0</formula>
    </cfRule>
  </conditionalFormatting>
  <conditionalFormatting sqref="C34:C36">
    <cfRule type="expression" dxfId="148" priority="4">
      <formula>MOD(ROW(),2)=0</formula>
    </cfRule>
  </conditionalFormatting>
  <conditionalFormatting sqref="O34:O36">
    <cfRule type="expression" dxfId="147" priority="3">
      <formula>MOD(ROW(),2)=0</formula>
    </cfRule>
  </conditionalFormatting>
  <conditionalFormatting sqref="C37">
    <cfRule type="expression" dxfId="146" priority="2">
      <formula>MOD(ROW(),2)=0</formula>
    </cfRule>
  </conditionalFormatting>
  <conditionalFormatting sqref="C38">
    <cfRule type="expression" dxfId="145" priority="1">
      <formula>MOD(ROW(),2)=0</formula>
    </cfRule>
  </conditionalFormatting>
  <pageMargins left="0.7" right="0.7" top="0.78740157499999996" bottom="0.78740157499999996" header="0.3" footer="0.3"/>
  <pageSetup paperSize="9" orientation="portrait" r:id="rId1"/>
  <legacyDrawing r:id="rId2"/>
  <tableParts count="2">
    <tablePart r:id="rId3"/>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B1:S42"/>
  <sheetViews>
    <sheetView topLeftCell="A4" workbookViewId="0">
      <selection activeCell="G12" sqref="G12"/>
    </sheetView>
  </sheetViews>
  <sheetFormatPr baseColWidth="10" defaultRowHeight="14.4" x14ac:dyDescent="0.3"/>
  <cols>
    <col min="2" max="2" width="4" customWidth="1"/>
    <col min="3" max="3" width="27.44140625" customWidth="1"/>
    <col min="4" max="5" width="21.5546875" customWidth="1"/>
    <col min="6" max="6" width="15.44140625" customWidth="1"/>
    <col min="7" max="7" width="16" customWidth="1"/>
    <col min="8" max="8" width="6.109375" customWidth="1"/>
    <col min="9" max="9" width="7.5546875" customWidth="1"/>
    <col min="10" max="10" width="12.5546875" customWidth="1"/>
    <col min="11" max="11" width="14.5546875" customWidth="1"/>
    <col min="12" max="12" width="5.44140625" customWidth="1"/>
    <col min="13" max="13" width="16" customWidth="1"/>
    <col min="15" max="15" width="2.6640625" customWidth="1"/>
    <col min="16" max="16" width="6.44140625" customWidth="1"/>
    <col min="17" max="17" width="3.44140625" customWidth="1"/>
    <col min="18" max="18" width="32.88671875" customWidth="1"/>
    <col min="19" max="19" width="3.109375" customWidth="1"/>
    <col min="20" max="20" width="5.5546875" customWidth="1"/>
    <col min="21" max="21" width="3.5546875" customWidth="1"/>
    <col min="22" max="22" width="19.88671875" customWidth="1"/>
    <col min="23" max="24" width="16.88671875" customWidth="1"/>
    <col min="25" max="25" width="18.5546875" customWidth="1"/>
    <col min="26" max="27" width="21.44140625" customWidth="1"/>
    <col min="28" max="29" width="15.109375" customWidth="1"/>
    <col min="30" max="30" width="14.33203125" customWidth="1"/>
    <col min="31" max="31" width="3.44140625" customWidth="1"/>
  </cols>
  <sheetData>
    <row r="1" spans="2:19" ht="15" thickBot="1" x14ac:dyDescent="0.35"/>
    <row r="2" spans="2:19" x14ac:dyDescent="0.3">
      <c r="B2" s="220"/>
      <c r="C2" s="221"/>
      <c r="D2" s="221"/>
      <c r="E2" s="221"/>
      <c r="F2" s="221"/>
      <c r="G2" s="221"/>
      <c r="H2" s="221"/>
      <c r="I2" s="221"/>
      <c r="J2" s="221"/>
      <c r="K2" s="221"/>
      <c r="L2" s="221"/>
      <c r="M2" s="221"/>
      <c r="N2" s="221"/>
      <c r="O2" s="222"/>
      <c r="Q2" s="220"/>
      <c r="R2" s="221"/>
      <c r="S2" s="222"/>
    </row>
    <row r="3" spans="2:19" ht="18.75" customHeight="1" x14ac:dyDescent="0.35">
      <c r="B3" s="223"/>
      <c r="C3" s="229" t="s">
        <v>219</v>
      </c>
      <c r="D3" s="162"/>
      <c r="E3" s="162"/>
      <c r="F3" s="162"/>
      <c r="G3" s="162"/>
      <c r="H3" s="162"/>
      <c r="I3" s="162"/>
      <c r="J3" s="162"/>
      <c r="K3" s="162"/>
      <c r="L3" s="162"/>
      <c r="M3" s="229" t="s">
        <v>215</v>
      </c>
      <c r="N3" s="162"/>
      <c r="O3" s="224"/>
      <c r="Q3" s="223"/>
      <c r="R3" s="1019" t="s">
        <v>240</v>
      </c>
      <c r="S3" s="224"/>
    </row>
    <row r="4" spans="2:19" x14ac:dyDescent="0.3">
      <c r="B4" s="223"/>
      <c r="C4" s="162"/>
      <c r="D4" s="162"/>
      <c r="E4" s="162"/>
      <c r="F4" s="162"/>
      <c r="G4" s="162"/>
      <c r="H4" s="162"/>
      <c r="I4" s="162"/>
      <c r="J4" s="162"/>
      <c r="K4" s="162"/>
      <c r="L4" s="162"/>
      <c r="M4" s="162"/>
      <c r="N4" s="162"/>
      <c r="O4" s="224"/>
      <c r="Q4" s="223"/>
      <c r="R4" s="1019"/>
      <c r="S4" s="224"/>
    </row>
    <row r="5" spans="2:19" x14ac:dyDescent="0.3">
      <c r="B5" s="223"/>
      <c r="C5" s="162" t="s">
        <v>115</v>
      </c>
      <c r="D5" s="162" t="s">
        <v>98</v>
      </c>
      <c r="E5" s="162" t="s">
        <v>99</v>
      </c>
      <c r="F5" s="162" t="s">
        <v>100</v>
      </c>
      <c r="G5" s="162" t="s">
        <v>117</v>
      </c>
      <c r="H5" s="162" t="s">
        <v>434</v>
      </c>
      <c r="I5" s="162" t="s">
        <v>433</v>
      </c>
      <c r="J5" s="162" t="s">
        <v>426</v>
      </c>
      <c r="K5" s="162" t="s">
        <v>432</v>
      </c>
      <c r="L5" s="162"/>
      <c r="M5" s="162" t="s">
        <v>115</v>
      </c>
      <c r="N5" s="162" t="s">
        <v>43</v>
      </c>
      <c r="O5" s="224"/>
      <c r="Q5" s="223"/>
      <c r="R5" s="1019"/>
      <c r="S5" s="224"/>
    </row>
    <row r="6" spans="2:19" x14ac:dyDescent="0.3">
      <c r="B6" s="223"/>
      <c r="C6" s="262" t="s">
        <v>52</v>
      </c>
      <c r="D6" s="262">
        <v>1075</v>
      </c>
      <c r="E6" s="262">
        <v>1200</v>
      </c>
      <c r="F6" s="262">
        <v>1050</v>
      </c>
      <c r="G6" s="262">
        <v>4300</v>
      </c>
      <c r="H6" s="262">
        <v>600</v>
      </c>
      <c r="I6" s="262">
        <v>900</v>
      </c>
      <c r="J6" s="262">
        <v>1125</v>
      </c>
      <c r="K6" s="262">
        <v>1052</v>
      </c>
      <c r="L6" s="162"/>
      <c r="M6" s="262" t="s">
        <v>388</v>
      </c>
      <c r="N6" s="262">
        <v>1750</v>
      </c>
      <c r="O6" s="224"/>
      <c r="Q6" s="223"/>
      <c r="R6" s="1019"/>
      <c r="S6" s="224"/>
    </row>
    <row r="7" spans="2:19" x14ac:dyDescent="0.3">
      <c r="B7" s="223"/>
      <c r="C7" s="262" t="s">
        <v>126</v>
      </c>
      <c r="D7" s="262">
        <v>1075</v>
      </c>
      <c r="E7" s="262">
        <v>1200</v>
      </c>
      <c r="F7" s="262">
        <v>1050</v>
      </c>
      <c r="G7" s="262">
        <v>2500</v>
      </c>
      <c r="H7" s="262">
        <v>600</v>
      </c>
      <c r="I7" s="262">
        <v>900</v>
      </c>
      <c r="J7" s="262">
        <v>1125</v>
      </c>
      <c r="K7" s="262">
        <v>1052</v>
      </c>
      <c r="L7" s="162"/>
      <c r="M7" s="262" t="s">
        <v>242</v>
      </c>
      <c r="N7" s="262">
        <v>1500</v>
      </c>
      <c r="O7" s="224"/>
      <c r="Q7" s="223"/>
      <c r="R7" s="1019"/>
      <c r="S7" s="224"/>
    </row>
    <row r="8" spans="2:19" x14ac:dyDescent="0.3">
      <c r="B8" s="223"/>
      <c r="C8" s="262" t="s">
        <v>56</v>
      </c>
      <c r="D8" s="262">
        <v>1075</v>
      </c>
      <c r="E8" s="262">
        <v>1200</v>
      </c>
      <c r="F8" s="262">
        <v>1050</v>
      </c>
      <c r="G8" s="262">
        <v>2500</v>
      </c>
      <c r="H8" s="262">
        <v>600</v>
      </c>
      <c r="I8" s="262">
        <v>900</v>
      </c>
      <c r="J8" s="262">
        <v>1125</v>
      </c>
      <c r="K8" s="262">
        <v>1052</v>
      </c>
      <c r="L8" s="162"/>
      <c r="M8" s="262" t="s">
        <v>125</v>
      </c>
      <c r="N8" s="262">
        <v>1500</v>
      </c>
      <c r="O8" s="224"/>
      <c r="Q8" s="223"/>
      <c r="R8" s="1019"/>
      <c r="S8" s="224"/>
    </row>
    <row r="9" spans="2:19" x14ac:dyDescent="0.3">
      <c r="B9" s="223"/>
      <c r="C9" s="262" t="s">
        <v>58</v>
      </c>
      <c r="D9" s="262">
        <v>1075</v>
      </c>
      <c r="E9" s="262">
        <v>1200</v>
      </c>
      <c r="F9" s="262">
        <v>1050</v>
      </c>
      <c r="G9" s="262">
        <v>2500</v>
      </c>
      <c r="H9" s="262">
        <v>600</v>
      </c>
      <c r="I9" s="262">
        <v>900</v>
      </c>
      <c r="J9" s="262">
        <v>1125</v>
      </c>
      <c r="K9" s="262">
        <v>1052</v>
      </c>
      <c r="L9" s="162"/>
      <c r="M9" s="262" t="s">
        <v>128</v>
      </c>
      <c r="N9" s="262">
        <v>1500</v>
      </c>
      <c r="O9" s="224"/>
      <c r="Q9" s="223"/>
      <c r="R9" s="1019"/>
      <c r="S9" s="224"/>
    </row>
    <row r="10" spans="2:19" x14ac:dyDescent="0.3">
      <c r="B10" s="223"/>
      <c r="C10" s="262" t="s">
        <v>407</v>
      </c>
      <c r="D10" s="262">
        <v>1075</v>
      </c>
      <c r="E10" s="262">
        <v>1450</v>
      </c>
      <c r="F10" s="262">
        <v>1050</v>
      </c>
      <c r="G10" s="262">
        <v>0</v>
      </c>
      <c r="H10" s="262">
        <v>600</v>
      </c>
      <c r="I10" s="262">
        <v>900</v>
      </c>
      <c r="J10" s="262">
        <v>1125</v>
      </c>
      <c r="K10" s="262">
        <v>1052</v>
      </c>
      <c r="L10" s="162"/>
      <c r="M10" s="262" t="s">
        <v>126</v>
      </c>
      <c r="N10" s="262">
        <v>1500</v>
      </c>
      <c r="O10" s="224"/>
      <c r="Q10" s="223"/>
      <c r="R10" s="1019"/>
      <c r="S10" s="224"/>
    </row>
    <row r="11" spans="2:19" x14ac:dyDescent="0.3">
      <c r="B11" s="223"/>
      <c r="C11" s="262" t="s">
        <v>63</v>
      </c>
      <c r="D11" s="262">
        <v>1075</v>
      </c>
      <c r="E11" s="262">
        <v>1450</v>
      </c>
      <c r="F11" s="262">
        <v>1050</v>
      </c>
      <c r="G11" s="369">
        <v>0</v>
      </c>
      <c r="H11" s="262">
        <v>600</v>
      </c>
      <c r="I11" s="262">
        <v>900</v>
      </c>
      <c r="J11" s="262">
        <v>1125</v>
      </c>
      <c r="K11" s="262">
        <v>1052</v>
      </c>
      <c r="L11" s="162"/>
      <c r="M11" s="262" t="s">
        <v>127</v>
      </c>
      <c r="N11" s="262">
        <v>1500</v>
      </c>
      <c r="O11" s="224"/>
      <c r="Q11" s="223"/>
      <c r="R11" s="1019"/>
      <c r="S11" s="224"/>
    </row>
    <row r="12" spans="2:19" x14ac:dyDescent="0.3">
      <c r="B12" s="223"/>
      <c r="C12" s="262" t="s">
        <v>69</v>
      </c>
      <c r="D12" s="262">
        <v>1075</v>
      </c>
      <c r="E12" s="262">
        <v>1200</v>
      </c>
      <c r="F12" s="262">
        <v>1050</v>
      </c>
      <c r="G12" s="262">
        <v>4900</v>
      </c>
      <c r="H12" s="262">
        <v>600</v>
      </c>
      <c r="I12" s="262">
        <v>900</v>
      </c>
      <c r="J12" s="262">
        <v>1125</v>
      </c>
      <c r="K12" s="262">
        <v>1052</v>
      </c>
      <c r="L12" s="162"/>
      <c r="M12" s="262" t="s">
        <v>129</v>
      </c>
      <c r="N12" s="262">
        <v>1500</v>
      </c>
      <c r="O12" s="224"/>
      <c r="Q12" s="223"/>
      <c r="R12" s="162"/>
      <c r="S12" s="224"/>
    </row>
    <row r="13" spans="2:19" x14ac:dyDescent="0.3">
      <c r="B13" s="223"/>
      <c r="C13" s="262" t="s">
        <v>388</v>
      </c>
      <c r="D13" s="262">
        <v>1075</v>
      </c>
      <c r="E13" s="262">
        <v>1200</v>
      </c>
      <c r="F13" s="262">
        <v>1050</v>
      </c>
      <c r="G13" s="262">
        <v>2500</v>
      </c>
      <c r="H13" s="262">
        <v>600</v>
      </c>
      <c r="I13" s="262">
        <v>900</v>
      </c>
      <c r="J13" s="262">
        <v>1125</v>
      </c>
      <c r="K13" s="262">
        <v>1052</v>
      </c>
      <c r="L13" s="162"/>
      <c r="M13" s="262" t="s">
        <v>130</v>
      </c>
      <c r="N13" s="262">
        <v>1500</v>
      </c>
      <c r="O13" s="224"/>
      <c r="Q13" s="223"/>
      <c r="R13" s="242" t="s">
        <v>236</v>
      </c>
      <c r="S13" s="224"/>
    </row>
    <row r="14" spans="2:19" x14ac:dyDescent="0.3">
      <c r="B14" s="223"/>
      <c r="C14" s="262" t="s">
        <v>57</v>
      </c>
      <c r="D14" s="262">
        <v>1075</v>
      </c>
      <c r="E14" s="262">
        <v>1050</v>
      </c>
      <c r="F14" s="262">
        <v>1050</v>
      </c>
      <c r="G14" s="262">
        <v>2500</v>
      </c>
      <c r="H14" s="262">
        <v>600</v>
      </c>
      <c r="I14" s="262">
        <v>900</v>
      </c>
      <c r="J14" s="262">
        <v>1125</v>
      </c>
      <c r="K14" s="262">
        <v>1052</v>
      </c>
      <c r="L14" s="162"/>
      <c r="M14" s="262" t="s">
        <v>57</v>
      </c>
      <c r="N14" s="262">
        <v>950</v>
      </c>
      <c r="O14" s="224"/>
      <c r="Q14" s="223"/>
      <c r="R14" s="1020"/>
      <c r="S14" s="224"/>
    </row>
    <row r="15" spans="2:19" x14ac:dyDescent="0.3">
      <c r="B15" s="223"/>
      <c r="C15" s="262" t="s">
        <v>73</v>
      </c>
      <c r="D15" s="262">
        <v>1075</v>
      </c>
      <c r="E15" s="262">
        <v>1200</v>
      </c>
      <c r="F15" s="262">
        <v>1050</v>
      </c>
      <c r="G15" s="262">
        <v>2500</v>
      </c>
      <c r="H15" s="262">
        <v>600</v>
      </c>
      <c r="I15" s="262">
        <v>900</v>
      </c>
      <c r="J15" s="262">
        <v>1125</v>
      </c>
      <c r="K15" s="262">
        <v>1052</v>
      </c>
      <c r="L15" s="162"/>
      <c r="M15" s="262" t="s">
        <v>385</v>
      </c>
      <c r="N15" s="262">
        <v>1750</v>
      </c>
      <c r="O15" s="224"/>
      <c r="Q15" s="223"/>
      <c r="R15" s="1020"/>
      <c r="S15" s="224"/>
    </row>
    <row r="16" spans="2:19" x14ac:dyDescent="0.3">
      <c r="B16" s="223"/>
      <c r="C16" s="262" t="s">
        <v>64</v>
      </c>
      <c r="D16" s="262">
        <v>1075</v>
      </c>
      <c r="E16" s="262">
        <v>1750</v>
      </c>
      <c r="F16" s="262">
        <v>1050</v>
      </c>
      <c r="G16" s="369">
        <v>0</v>
      </c>
      <c r="H16" s="262">
        <v>600</v>
      </c>
      <c r="I16" s="262">
        <v>900</v>
      </c>
      <c r="J16" s="262">
        <v>1125</v>
      </c>
      <c r="K16" s="262">
        <v>1052</v>
      </c>
      <c r="L16" s="162"/>
      <c r="M16" s="262" t="s">
        <v>386</v>
      </c>
      <c r="N16" s="262">
        <v>1750</v>
      </c>
      <c r="O16" s="224"/>
      <c r="Q16" s="223"/>
      <c r="R16" s="1020"/>
      <c r="S16" s="224"/>
    </row>
    <row r="17" spans="2:19" x14ac:dyDescent="0.3">
      <c r="B17" s="223"/>
      <c r="C17" s="262" t="s">
        <v>65</v>
      </c>
      <c r="D17" s="262">
        <v>1075</v>
      </c>
      <c r="E17" s="262">
        <v>1750</v>
      </c>
      <c r="F17" s="262">
        <v>1050</v>
      </c>
      <c r="G17" s="369">
        <v>0</v>
      </c>
      <c r="H17" s="262">
        <v>600</v>
      </c>
      <c r="I17" s="262">
        <v>900</v>
      </c>
      <c r="J17" s="262">
        <v>1125</v>
      </c>
      <c r="K17" s="262">
        <v>1052</v>
      </c>
      <c r="L17" s="162"/>
      <c r="M17" s="262" t="s">
        <v>387</v>
      </c>
      <c r="N17" s="262">
        <v>1750</v>
      </c>
      <c r="O17" s="224"/>
      <c r="Q17" s="223"/>
      <c r="R17" s="1020"/>
      <c r="S17" s="224"/>
    </row>
    <row r="18" spans="2:19" x14ac:dyDescent="0.3">
      <c r="B18" s="223"/>
      <c r="C18" s="262" t="s">
        <v>66</v>
      </c>
      <c r="D18" s="262">
        <v>1075</v>
      </c>
      <c r="E18" s="262">
        <v>1750</v>
      </c>
      <c r="F18" s="262">
        <v>1050</v>
      </c>
      <c r="G18" s="369">
        <v>0</v>
      </c>
      <c r="H18" s="262">
        <v>600</v>
      </c>
      <c r="I18" s="262">
        <v>900</v>
      </c>
      <c r="J18" s="262">
        <v>1125</v>
      </c>
      <c r="K18" s="262">
        <v>1052</v>
      </c>
      <c r="L18" s="162"/>
      <c r="M18" s="262" t="s">
        <v>243</v>
      </c>
      <c r="N18" s="262">
        <v>1500</v>
      </c>
      <c r="O18" s="224"/>
      <c r="Q18" s="223"/>
      <c r="R18" s="1020"/>
      <c r="S18" s="224"/>
    </row>
    <row r="19" spans="2:19" x14ac:dyDescent="0.3">
      <c r="B19" s="223"/>
      <c r="C19" s="262" t="s">
        <v>67</v>
      </c>
      <c r="D19" s="262">
        <v>1075</v>
      </c>
      <c r="E19" s="262">
        <v>1750</v>
      </c>
      <c r="F19" s="262">
        <v>1050</v>
      </c>
      <c r="G19" s="369">
        <v>0</v>
      </c>
      <c r="H19" s="262">
        <v>600</v>
      </c>
      <c r="I19" s="262">
        <v>900</v>
      </c>
      <c r="J19" s="262">
        <v>1125</v>
      </c>
      <c r="K19" s="262">
        <v>1052</v>
      </c>
      <c r="L19" s="162"/>
      <c r="M19" s="162"/>
      <c r="N19" s="162"/>
      <c r="O19" s="224"/>
      <c r="Q19" s="223"/>
      <c r="R19" s="1020"/>
      <c r="S19" s="224"/>
    </row>
    <row r="20" spans="2:19" x14ac:dyDescent="0.3">
      <c r="B20" s="223"/>
      <c r="C20" s="262" t="s">
        <v>68</v>
      </c>
      <c r="D20" s="262">
        <v>1075</v>
      </c>
      <c r="E20" s="262">
        <v>1750</v>
      </c>
      <c r="F20" s="262">
        <v>1050</v>
      </c>
      <c r="G20" s="369">
        <v>0</v>
      </c>
      <c r="H20" s="262">
        <v>600</v>
      </c>
      <c r="I20" s="262">
        <v>900</v>
      </c>
      <c r="J20" s="262">
        <v>1125</v>
      </c>
      <c r="K20" s="262">
        <v>1052</v>
      </c>
      <c r="L20" s="162"/>
      <c r="M20" s="162"/>
      <c r="N20" s="162"/>
      <c r="O20" s="224"/>
      <c r="Q20" s="223"/>
      <c r="R20" s="1020"/>
      <c r="S20" s="224"/>
    </row>
    <row r="21" spans="2:19" x14ac:dyDescent="0.3">
      <c r="B21" s="223"/>
      <c r="C21" s="262" t="s">
        <v>70</v>
      </c>
      <c r="D21" s="262">
        <v>1075</v>
      </c>
      <c r="E21" s="262">
        <v>1450</v>
      </c>
      <c r="F21" s="262">
        <v>1050</v>
      </c>
      <c r="G21" s="262">
        <v>4900</v>
      </c>
      <c r="H21" s="262">
        <v>600</v>
      </c>
      <c r="I21" s="262">
        <v>900</v>
      </c>
      <c r="J21" s="262">
        <v>1125</v>
      </c>
      <c r="K21" s="262">
        <v>1052</v>
      </c>
      <c r="L21" s="162"/>
      <c r="M21" s="162"/>
      <c r="N21" s="162"/>
      <c r="O21" s="224"/>
      <c r="Q21" s="223"/>
      <c r="R21" s="1020"/>
      <c r="S21" s="224"/>
    </row>
    <row r="22" spans="2:19" x14ac:dyDescent="0.3">
      <c r="B22" s="223"/>
      <c r="C22" s="262" t="s">
        <v>242</v>
      </c>
      <c r="D22" s="262">
        <v>1075</v>
      </c>
      <c r="E22" s="262">
        <v>1200</v>
      </c>
      <c r="F22" s="262">
        <v>1050</v>
      </c>
      <c r="G22" s="262">
        <v>4900</v>
      </c>
      <c r="H22" s="262">
        <v>600</v>
      </c>
      <c r="I22" s="262">
        <v>900</v>
      </c>
      <c r="J22" s="262">
        <v>1125</v>
      </c>
      <c r="K22" s="262">
        <v>1052</v>
      </c>
      <c r="L22" s="162"/>
      <c r="M22" s="162"/>
      <c r="N22" s="162"/>
      <c r="O22" s="224"/>
      <c r="Q22" s="223"/>
      <c r="R22" s="1020"/>
      <c r="S22" s="224"/>
    </row>
    <row r="23" spans="2:19" x14ac:dyDescent="0.3">
      <c r="B23" s="223"/>
      <c r="C23" s="262" t="s">
        <v>72</v>
      </c>
      <c r="D23" s="262">
        <v>1075</v>
      </c>
      <c r="E23" s="262">
        <v>1200</v>
      </c>
      <c r="F23" s="262">
        <v>1050</v>
      </c>
      <c r="G23" s="262">
        <v>4900</v>
      </c>
      <c r="H23" s="262">
        <v>600</v>
      </c>
      <c r="I23" s="262">
        <v>900</v>
      </c>
      <c r="J23" s="262">
        <v>1125</v>
      </c>
      <c r="K23" s="262">
        <v>1052</v>
      </c>
      <c r="L23" s="162"/>
      <c r="M23" s="162"/>
      <c r="N23" s="162"/>
      <c r="O23" s="224"/>
      <c r="Q23" s="223"/>
      <c r="R23" s="1020"/>
      <c r="S23" s="224"/>
    </row>
    <row r="24" spans="2:19" x14ac:dyDescent="0.3">
      <c r="B24" s="223"/>
      <c r="C24" s="262" t="s">
        <v>127</v>
      </c>
      <c r="D24" s="262">
        <v>1075</v>
      </c>
      <c r="E24" s="262">
        <v>1200</v>
      </c>
      <c r="F24" s="262">
        <v>1050</v>
      </c>
      <c r="G24" s="262">
        <v>2500</v>
      </c>
      <c r="H24" s="262">
        <v>600</v>
      </c>
      <c r="I24" s="262">
        <v>900</v>
      </c>
      <c r="J24" s="262">
        <v>1125</v>
      </c>
      <c r="K24" s="262">
        <v>1052</v>
      </c>
      <c r="L24" s="162"/>
      <c r="M24" s="162"/>
      <c r="N24" s="162"/>
      <c r="O24" s="224"/>
      <c r="Q24" s="223"/>
      <c r="R24" s="1020"/>
      <c r="S24" s="224"/>
    </row>
    <row r="25" spans="2:19" x14ac:dyDescent="0.3">
      <c r="B25" s="223"/>
      <c r="C25" s="262" t="s">
        <v>129</v>
      </c>
      <c r="D25" s="262">
        <v>1075</v>
      </c>
      <c r="E25" s="262">
        <v>1200</v>
      </c>
      <c r="F25" s="262">
        <v>1050</v>
      </c>
      <c r="G25" s="262">
        <v>2500</v>
      </c>
      <c r="H25" s="262">
        <v>600</v>
      </c>
      <c r="I25" s="262">
        <v>900</v>
      </c>
      <c r="J25" s="262">
        <v>1125</v>
      </c>
      <c r="K25" s="262">
        <v>1052</v>
      </c>
      <c r="L25" s="162"/>
      <c r="M25" s="162"/>
      <c r="N25" s="162"/>
      <c r="O25" s="224"/>
      <c r="Q25" s="223"/>
      <c r="R25" s="1020"/>
      <c r="S25" s="224"/>
    </row>
    <row r="26" spans="2:19" x14ac:dyDescent="0.3">
      <c r="B26" s="223"/>
      <c r="C26" s="262" t="s">
        <v>130</v>
      </c>
      <c r="D26" s="262">
        <v>1075</v>
      </c>
      <c r="E26" s="262">
        <v>1200</v>
      </c>
      <c r="F26" s="262">
        <v>1050</v>
      </c>
      <c r="G26" s="262">
        <v>2500</v>
      </c>
      <c r="H26" s="262">
        <v>600</v>
      </c>
      <c r="I26" s="262">
        <v>900</v>
      </c>
      <c r="J26" s="262">
        <v>1125</v>
      </c>
      <c r="K26" s="262">
        <v>1052</v>
      </c>
      <c r="L26" s="162"/>
      <c r="M26" s="162"/>
      <c r="N26" s="162"/>
      <c r="O26" s="224"/>
      <c r="Q26" s="223"/>
      <c r="R26" s="1020"/>
      <c r="S26" s="224"/>
    </row>
    <row r="27" spans="2:19" x14ac:dyDescent="0.3">
      <c r="B27" s="223"/>
      <c r="C27" s="262" t="s">
        <v>125</v>
      </c>
      <c r="D27" s="262">
        <v>1075</v>
      </c>
      <c r="E27" s="262">
        <v>1200</v>
      </c>
      <c r="F27" s="262">
        <v>1050</v>
      </c>
      <c r="G27" s="262">
        <v>2500</v>
      </c>
      <c r="H27" s="262">
        <v>600</v>
      </c>
      <c r="I27" s="262">
        <v>900</v>
      </c>
      <c r="J27" s="262">
        <v>1125</v>
      </c>
      <c r="K27" s="262">
        <v>1052</v>
      </c>
      <c r="L27" s="162"/>
      <c r="M27" s="162"/>
      <c r="N27" s="162"/>
      <c r="O27" s="224"/>
      <c r="Q27" s="223"/>
      <c r="R27" s="1020"/>
      <c r="S27" s="224"/>
    </row>
    <row r="28" spans="2:19" x14ac:dyDescent="0.3">
      <c r="B28" s="223"/>
      <c r="C28" s="262" t="s">
        <v>243</v>
      </c>
      <c r="D28" s="262">
        <v>1075</v>
      </c>
      <c r="E28" s="262">
        <v>1200</v>
      </c>
      <c r="F28" s="262">
        <v>1050</v>
      </c>
      <c r="G28" s="262">
        <v>4900</v>
      </c>
      <c r="H28" s="262">
        <v>600</v>
      </c>
      <c r="I28" s="262">
        <v>900</v>
      </c>
      <c r="J28" s="262">
        <v>1125</v>
      </c>
      <c r="K28" s="262">
        <v>1052</v>
      </c>
      <c r="L28" s="162"/>
      <c r="M28" s="162"/>
      <c r="N28" s="162"/>
      <c r="O28" s="224"/>
      <c r="Q28" s="223"/>
      <c r="R28" s="1020"/>
      <c r="S28" s="224"/>
    </row>
    <row r="29" spans="2:19" x14ac:dyDescent="0.3">
      <c r="B29" s="223"/>
      <c r="C29" s="262" t="s">
        <v>128</v>
      </c>
      <c r="D29" s="262">
        <v>1075</v>
      </c>
      <c r="E29" s="262">
        <v>1200</v>
      </c>
      <c r="F29" s="262">
        <v>1050</v>
      </c>
      <c r="G29" s="262">
        <v>2500</v>
      </c>
      <c r="H29" s="262">
        <v>600</v>
      </c>
      <c r="I29" s="262">
        <v>900</v>
      </c>
      <c r="J29" s="262">
        <v>1125</v>
      </c>
      <c r="K29" s="262">
        <v>1052</v>
      </c>
      <c r="L29" s="162"/>
      <c r="M29" s="162"/>
      <c r="N29" s="162"/>
      <c r="O29" s="224"/>
      <c r="Q29" s="223"/>
      <c r="R29" s="1020"/>
      <c r="S29" s="224"/>
    </row>
    <row r="30" spans="2:19" x14ac:dyDescent="0.3">
      <c r="B30" s="223"/>
      <c r="C30" s="262" t="s">
        <v>385</v>
      </c>
      <c r="D30" s="262">
        <v>1075</v>
      </c>
      <c r="E30" s="262">
        <v>1200</v>
      </c>
      <c r="F30" s="262">
        <v>1050</v>
      </c>
      <c r="G30" s="262">
        <v>2500</v>
      </c>
      <c r="H30" s="262">
        <v>600</v>
      </c>
      <c r="I30" s="262">
        <v>900</v>
      </c>
      <c r="J30" s="262">
        <v>1125</v>
      </c>
      <c r="K30" s="262">
        <v>1052</v>
      </c>
      <c r="L30" s="162"/>
      <c r="M30" s="162"/>
      <c r="N30" s="162"/>
      <c r="O30" s="224"/>
      <c r="Q30" s="223"/>
      <c r="R30" s="1020"/>
      <c r="S30" s="224"/>
    </row>
    <row r="31" spans="2:19" x14ac:dyDescent="0.3">
      <c r="B31" s="223"/>
      <c r="C31" s="262" t="s">
        <v>386</v>
      </c>
      <c r="D31" s="262">
        <v>1075</v>
      </c>
      <c r="E31" s="262">
        <v>1200</v>
      </c>
      <c r="F31" s="262">
        <v>1050</v>
      </c>
      <c r="G31" s="262">
        <v>2500</v>
      </c>
      <c r="H31" s="262">
        <v>600</v>
      </c>
      <c r="I31" s="262">
        <v>900</v>
      </c>
      <c r="J31" s="262">
        <v>1125</v>
      </c>
      <c r="K31" s="262">
        <v>1052</v>
      </c>
      <c r="L31" s="162"/>
      <c r="M31" s="162"/>
      <c r="N31" s="162"/>
      <c r="O31" s="224"/>
      <c r="Q31" s="223"/>
      <c r="R31" s="1020"/>
      <c r="S31" s="224"/>
    </row>
    <row r="32" spans="2:19" ht="15" thickBot="1" x14ac:dyDescent="0.35">
      <c r="B32" s="223"/>
      <c r="C32" s="262" t="s">
        <v>387</v>
      </c>
      <c r="D32" s="262">
        <v>1075</v>
      </c>
      <c r="E32" s="262">
        <v>1200</v>
      </c>
      <c r="F32" s="262">
        <v>1050</v>
      </c>
      <c r="G32" s="262">
        <v>2500</v>
      </c>
      <c r="H32" s="262">
        <v>600</v>
      </c>
      <c r="I32" s="262">
        <v>900</v>
      </c>
      <c r="J32" s="262">
        <v>1125</v>
      </c>
      <c r="K32" s="262">
        <v>1052</v>
      </c>
      <c r="L32" s="162"/>
      <c r="M32" s="162"/>
      <c r="N32" s="162"/>
      <c r="O32" s="224"/>
      <c r="Q32" s="226"/>
      <c r="R32" s="227"/>
      <c r="S32" s="228"/>
    </row>
    <row r="33" spans="2:15" x14ac:dyDescent="0.3">
      <c r="B33" s="223"/>
      <c r="C33" s="262" t="s">
        <v>393</v>
      </c>
      <c r="D33" s="262">
        <v>1075</v>
      </c>
      <c r="E33" s="262">
        <v>1750</v>
      </c>
      <c r="F33" s="262">
        <v>1050</v>
      </c>
      <c r="G33" s="369">
        <v>0</v>
      </c>
      <c r="H33" s="262">
        <v>600</v>
      </c>
      <c r="I33" s="262">
        <v>900</v>
      </c>
      <c r="J33" s="262">
        <v>1125</v>
      </c>
      <c r="K33" s="262">
        <v>1052</v>
      </c>
      <c r="L33" s="162"/>
      <c r="M33" s="162"/>
      <c r="N33" s="162"/>
      <c r="O33" s="224"/>
    </row>
    <row r="34" spans="2:15" x14ac:dyDescent="0.3">
      <c r="B34" s="223"/>
      <c r="C34" s="267" t="s">
        <v>439</v>
      </c>
      <c r="D34" s="262">
        <v>1075</v>
      </c>
      <c r="E34" s="262">
        <v>1450</v>
      </c>
      <c r="F34" s="262">
        <v>1050</v>
      </c>
      <c r="G34" s="262">
        <v>4900</v>
      </c>
      <c r="H34" s="262">
        <v>600</v>
      </c>
      <c r="I34" s="262">
        <v>900</v>
      </c>
      <c r="J34" s="262">
        <v>1125</v>
      </c>
      <c r="K34" s="262">
        <v>1052</v>
      </c>
      <c r="L34" s="162"/>
      <c r="M34" s="162"/>
      <c r="N34" s="162"/>
      <c r="O34" s="224"/>
    </row>
    <row r="35" spans="2:15" x14ac:dyDescent="0.3">
      <c r="B35" s="223"/>
      <c r="C35" s="267" t="s">
        <v>437</v>
      </c>
      <c r="D35" s="262">
        <v>1075</v>
      </c>
      <c r="E35" s="262">
        <v>1750</v>
      </c>
      <c r="F35" s="262">
        <v>1050</v>
      </c>
      <c r="G35" s="262">
        <v>4900</v>
      </c>
      <c r="H35" s="262">
        <v>600</v>
      </c>
      <c r="I35" s="262">
        <v>900</v>
      </c>
      <c r="J35" s="262">
        <v>1125</v>
      </c>
      <c r="K35" s="262">
        <v>1052</v>
      </c>
      <c r="L35" s="162"/>
      <c r="M35" s="162"/>
      <c r="N35" s="162"/>
      <c r="O35" s="224"/>
    </row>
    <row r="36" spans="2:15" x14ac:dyDescent="0.3">
      <c r="B36" s="223"/>
      <c r="C36" s="267" t="s">
        <v>438</v>
      </c>
      <c r="D36" s="262">
        <v>1075</v>
      </c>
      <c r="E36" s="262">
        <v>1750</v>
      </c>
      <c r="F36" s="262">
        <v>1050</v>
      </c>
      <c r="G36" s="262">
        <v>4900</v>
      </c>
      <c r="H36" s="262">
        <v>600</v>
      </c>
      <c r="I36" s="262">
        <v>900</v>
      </c>
      <c r="J36" s="262">
        <v>1125</v>
      </c>
      <c r="K36" s="262">
        <v>1052</v>
      </c>
      <c r="L36" s="162"/>
      <c r="M36" s="162"/>
      <c r="N36" s="162"/>
      <c r="O36" s="224"/>
    </row>
    <row r="37" spans="2:15" x14ac:dyDescent="0.3">
      <c r="B37" s="223"/>
      <c r="C37" s="267" t="s">
        <v>393</v>
      </c>
      <c r="D37" s="262">
        <v>1075</v>
      </c>
      <c r="E37" s="262">
        <v>1750</v>
      </c>
      <c r="F37" s="262">
        <v>1050</v>
      </c>
      <c r="G37" s="369">
        <v>0</v>
      </c>
      <c r="H37" s="262">
        <v>600</v>
      </c>
      <c r="I37" s="262">
        <v>900</v>
      </c>
      <c r="J37" s="262">
        <v>1125</v>
      </c>
      <c r="K37" s="262">
        <v>1052</v>
      </c>
      <c r="L37" s="162"/>
      <c r="M37" s="162"/>
      <c r="N37" s="162"/>
      <c r="O37" s="224"/>
    </row>
    <row r="38" spans="2:15" x14ac:dyDescent="0.3">
      <c r="B38" s="223"/>
      <c r="C38" s="267" t="s">
        <v>447</v>
      </c>
      <c r="D38" s="262">
        <v>1075</v>
      </c>
      <c r="E38" s="262">
        <v>1750</v>
      </c>
      <c r="F38" s="262">
        <v>1050</v>
      </c>
      <c r="G38" s="369">
        <v>0</v>
      </c>
      <c r="H38" s="262">
        <v>600</v>
      </c>
      <c r="I38" s="262">
        <v>900</v>
      </c>
      <c r="J38" s="262">
        <v>1125</v>
      </c>
      <c r="K38" s="262">
        <v>1052</v>
      </c>
      <c r="L38" s="162"/>
      <c r="M38" s="162"/>
      <c r="N38" s="162"/>
      <c r="O38" s="224"/>
    </row>
    <row r="39" spans="2:15" ht="15" thickBot="1" x14ac:dyDescent="0.35">
      <c r="B39" s="223"/>
      <c r="C39" s="162"/>
      <c r="D39" s="162"/>
      <c r="E39" s="162"/>
      <c r="F39" s="162"/>
      <c r="G39" s="162"/>
      <c r="H39" s="162"/>
      <c r="I39" s="162"/>
      <c r="J39" s="162"/>
      <c r="K39" s="162"/>
      <c r="L39" s="162"/>
      <c r="M39" s="162"/>
      <c r="N39" s="162"/>
      <c r="O39" s="224"/>
    </row>
    <row r="40" spans="2:15" x14ac:dyDescent="0.3">
      <c r="B40" s="223"/>
      <c r="C40" s="230" t="s">
        <v>234</v>
      </c>
      <c r="D40" s="231">
        <v>42873</v>
      </c>
      <c r="E40" s="232" t="s">
        <v>231</v>
      </c>
      <c r="F40" s="233" t="s">
        <v>233</v>
      </c>
      <c r="G40" s="162"/>
      <c r="H40" s="162"/>
      <c r="I40" s="162"/>
      <c r="J40" s="162"/>
      <c r="K40" s="162"/>
      <c r="L40" s="311">
        <v>2000</v>
      </c>
      <c r="M40" s="1021" t="s">
        <v>377</v>
      </c>
      <c r="N40" s="1021"/>
      <c r="O40" s="224"/>
    </row>
    <row r="41" spans="2:15" ht="15" thickBot="1" x14ac:dyDescent="0.35">
      <c r="B41" s="223"/>
      <c r="C41" s="234" t="s">
        <v>232</v>
      </c>
      <c r="D41" s="235"/>
      <c r="E41" s="235" t="s">
        <v>231</v>
      </c>
      <c r="F41" s="236"/>
      <c r="G41" s="162"/>
      <c r="H41" s="162"/>
      <c r="I41" s="162"/>
      <c r="J41" s="162"/>
      <c r="K41" s="162"/>
      <c r="L41" s="313">
        <v>2000</v>
      </c>
      <c r="M41" s="1021" t="s">
        <v>378</v>
      </c>
      <c r="N41" s="1021"/>
      <c r="O41" s="224"/>
    </row>
    <row r="42" spans="2:15" ht="15" thickBot="1" x14ac:dyDescent="0.35">
      <c r="B42" s="226"/>
      <c r="C42" s="227"/>
      <c r="D42" s="227"/>
      <c r="E42" s="227"/>
      <c r="F42" s="227"/>
      <c r="G42" s="227"/>
      <c r="H42" s="227"/>
      <c r="I42" s="227"/>
      <c r="J42" s="227"/>
      <c r="K42" s="227"/>
      <c r="L42" s="227"/>
      <c r="M42" s="227"/>
      <c r="N42" s="227"/>
      <c r="O42" s="228"/>
    </row>
  </sheetData>
  <mergeCells count="4">
    <mergeCell ref="R3:R11"/>
    <mergeCell ref="R14:R31"/>
    <mergeCell ref="M40:N40"/>
    <mergeCell ref="M41:N41"/>
  </mergeCells>
  <conditionalFormatting sqref="C6:K38">
    <cfRule type="expression" dxfId="119" priority="7">
      <formula>MOD(ROW(),2)=0</formula>
    </cfRule>
  </conditionalFormatting>
  <conditionalFormatting sqref="M6:N18">
    <cfRule type="expression" dxfId="118" priority="5">
      <formula>MOD(ROW(),2)=0</formula>
    </cfRule>
    <cfRule type="expression" priority="6">
      <formula>MOD(ROW(),2)=0</formula>
    </cfRule>
  </conditionalFormatting>
  <conditionalFormatting sqref="M15:M17">
    <cfRule type="expression" dxfId="117" priority="3">
      <formula>MOD(ROW(),2)=0</formula>
    </cfRule>
  </conditionalFormatting>
  <conditionalFormatting sqref="C34:C36">
    <cfRule type="expression" dxfId="116" priority="1">
      <formula>MOD(ROW(),2)=0</formula>
    </cfRule>
  </conditionalFormatting>
  <pageMargins left="0.7" right="0.7" top="0.78740157499999996" bottom="0.78740157499999996" header="0.3" footer="0.3"/>
  <legacyDrawing r:id="rId1"/>
  <tableParts count="2">
    <tablePart r:id="rId2"/>
    <tablePart r:id="rId3"/>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B1:CL74"/>
  <sheetViews>
    <sheetView topLeftCell="AF1" workbookViewId="0">
      <selection activeCell="AM20" sqref="AM20"/>
    </sheetView>
  </sheetViews>
  <sheetFormatPr baseColWidth="10" defaultRowHeight="14.4" x14ac:dyDescent="0.3"/>
  <cols>
    <col min="1" max="1" width="5.33203125" customWidth="1"/>
    <col min="2" max="2" width="3.109375" customWidth="1"/>
    <col min="3" max="3" width="19.109375" customWidth="1"/>
    <col min="5" max="5" width="12.6640625" customWidth="1"/>
    <col min="6" max="6" width="19.109375" customWidth="1"/>
    <col min="7" max="7" width="15.6640625" customWidth="1"/>
    <col min="8" max="8" width="12.33203125" customWidth="1"/>
    <col min="9" max="9" width="14.33203125" customWidth="1"/>
    <col min="10" max="10" width="17.33203125" customWidth="1"/>
    <col min="11" max="11" width="23.6640625" customWidth="1"/>
    <col min="12" max="14" width="4.109375" customWidth="1"/>
    <col min="15" max="15" width="24.33203125" customWidth="1"/>
    <col min="16" max="18" width="4.109375" customWidth="1"/>
    <col min="19" max="19" width="20.109375" customWidth="1"/>
    <col min="20" max="21" width="13.88671875" customWidth="1"/>
    <col min="22" max="22" width="18.33203125" customWidth="1"/>
    <col min="23" max="23" width="16" customWidth="1"/>
    <col min="24" max="24" width="12.5546875" customWidth="1"/>
    <col min="25" max="25" width="14.88671875" customWidth="1"/>
    <col min="26" max="26" width="17.33203125" customWidth="1"/>
    <col min="27" max="27" width="22.88671875" customWidth="1"/>
    <col min="28" max="30" width="4.88671875" customWidth="1"/>
    <col min="31" max="31" width="22.6640625" customWidth="1"/>
    <col min="32" max="32" width="4.88671875" customWidth="1"/>
    <col min="33" max="33" width="5.6640625" customWidth="1"/>
    <col min="34" max="34" width="3.33203125" customWidth="1"/>
    <col min="35" max="35" width="20.109375" customWidth="1"/>
    <col min="36" max="36" width="11.44140625" customWidth="1"/>
    <col min="37" max="37" width="13.6640625" customWidth="1"/>
    <col min="38" max="38" width="18" customWidth="1"/>
    <col min="39" max="39" width="15.6640625" customWidth="1"/>
    <col min="40" max="40" width="12.88671875" customWidth="1"/>
    <col min="41" max="41" width="17.33203125" customWidth="1"/>
    <col min="42" max="42" width="17" customWidth="1"/>
    <col min="43" max="43" width="23" customWidth="1"/>
    <col min="46" max="48" width="3.5546875" customWidth="1"/>
    <col min="49" max="49" width="25.5546875" customWidth="1"/>
    <col min="50" max="50" width="3.6640625" customWidth="1"/>
    <col min="51" max="52" width="4.109375" customWidth="1"/>
    <col min="53" max="53" width="19.6640625" customWidth="1"/>
    <col min="55" max="55" width="13.109375" customWidth="1"/>
    <col min="56" max="56" width="12.33203125" customWidth="1"/>
    <col min="57" max="57" width="15.6640625" customWidth="1"/>
    <col min="58" max="58" width="11.6640625" customWidth="1"/>
    <col min="59" max="59" width="13.88671875" customWidth="1"/>
    <col min="60" max="60" width="17" customWidth="1"/>
    <col min="61" max="61" width="23" customWidth="1"/>
    <col min="64" max="64" width="3.5546875" customWidth="1"/>
    <col min="65" max="65" width="9" customWidth="1"/>
    <col min="66" max="66" width="3.5546875" customWidth="1"/>
    <col min="67" max="67" width="20" customWidth="1"/>
    <col min="78" max="78" width="3.5546875" customWidth="1"/>
    <col min="80" max="80" width="3.33203125" customWidth="1"/>
    <col min="81" max="81" width="28.109375" customWidth="1"/>
    <col min="82" max="82" width="2.6640625" customWidth="1"/>
    <col min="84" max="84" width="15.109375" customWidth="1"/>
    <col min="88" max="88" width="11.88671875" customWidth="1"/>
    <col min="90" max="90" width="11.88671875" customWidth="1"/>
  </cols>
  <sheetData>
    <row r="1" spans="2:90" ht="15" thickBot="1" x14ac:dyDescent="0.35"/>
    <row r="2" spans="2:90" x14ac:dyDescent="0.3">
      <c r="B2" s="220"/>
      <c r="C2" s="221"/>
      <c r="D2" s="221"/>
      <c r="E2" s="221"/>
      <c r="F2" s="221"/>
      <c r="G2" s="221"/>
      <c r="H2" s="221"/>
      <c r="I2" s="221"/>
      <c r="J2" s="221"/>
      <c r="K2" s="221"/>
      <c r="L2" s="222"/>
      <c r="M2" s="162"/>
      <c r="N2" s="220"/>
      <c r="O2" s="221"/>
      <c r="P2" s="222"/>
      <c r="Q2" s="162"/>
      <c r="R2" s="220"/>
      <c r="S2" s="221"/>
      <c r="T2" s="221"/>
      <c r="U2" s="221"/>
      <c r="V2" s="221"/>
      <c r="W2" s="221"/>
      <c r="X2" s="221"/>
      <c r="Y2" s="221"/>
      <c r="Z2" s="221"/>
      <c r="AA2" s="221"/>
      <c r="AB2" s="222"/>
      <c r="AC2" s="162"/>
      <c r="AD2" s="220"/>
      <c r="AE2" s="221"/>
      <c r="AF2" s="222"/>
      <c r="AH2" s="220"/>
      <c r="AI2" s="221"/>
      <c r="AJ2" s="221"/>
      <c r="AK2" s="221"/>
      <c r="AL2" s="221"/>
      <c r="AM2" s="221"/>
      <c r="AN2" s="221"/>
      <c r="AO2" s="221"/>
      <c r="AP2" s="221"/>
      <c r="AQ2" s="221"/>
      <c r="AR2" s="221"/>
      <c r="AS2" s="221"/>
      <c r="AT2" s="222"/>
      <c r="AU2" s="162"/>
      <c r="AV2" s="220"/>
      <c r="AW2" s="221"/>
      <c r="AX2" s="222"/>
      <c r="AZ2" s="220"/>
      <c r="BA2" s="221"/>
      <c r="BB2" s="221"/>
      <c r="BC2" s="221"/>
      <c r="BD2" s="221"/>
      <c r="BE2" s="221"/>
      <c r="BF2" s="221"/>
      <c r="BG2" s="221"/>
      <c r="BH2" s="221"/>
      <c r="BI2" s="221"/>
      <c r="BJ2" s="221"/>
      <c r="BK2" s="221"/>
      <c r="BL2" s="222"/>
      <c r="BN2" s="220"/>
      <c r="BO2" s="221"/>
      <c r="BP2" s="221"/>
      <c r="BQ2" s="221"/>
      <c r="BR2" s="221"/>
      <c r="BS2" s="221"/>
      <c r="BT2" s="221"/>
      <c r="BU2" s="221"/>
      <c r="BV2" s="221"/>
      <c r="BW2" s="221"/>
      <c r="BX2" s="221"/>
      <c r="BY2" s="221"/>
      <c r="BZ2" s="222"/>
      <c r="CB2" s="220"/>
      <c r="CC2" s="221"/>
      <c r="CD2" s="222"/>
    </row>
    <row r="3" spans="2:90" ht="18.75" customHeight="1" x14ac:dyDescent="0.35">
      <c r="B3" s="223"/>
      <c r="C3" s="229" t="s">
        <v>106</v>
      </c>
      <c r="D3" s="162"/>
      <c r="E3" s="162"/>
      <c r="F3" s="162"/>
      <c r="G3" s="162"/>
      <c r="H3" s="162"/>
      <c r="I3" s="162"/>
      <c r="J3" s="162"/>
      <c r="K3" s="162"/>
      <c r="L3" s="224"/>
      <c r="M3" s="162"/>
      <c r="N3" s="223"/>
      <c r="O3" s="1019" t="s">
        <v>238</v>
      </c>
      <c r="P3" s="224"/>
      <c r="Q3" s="162"/>
      <c r="R3" s="223"/>
      <c r="S3" s="229" t="s">
        <v>246</v>
      </c>
      <c r="T3" s="162"/>
      <c r="U3" s="162"/>
      <c r="V3" s="162"/>
      <c r="W3" s="162"/>
      <c r="X3" s="162"/>
      <c r="Y3" s="162"/>
      <c r="Z3" s="162"/>
      <c r="AA3" s="162"/>
      <c r="AB3" s="224"/>
      <c r="AC3" s="162"/>
      <c r="AD3" s="223"/>
      <c r="AE3" s="1020" t="s">
        <v>379</v>
      </c>
      <c r="AF3" s="224"/>
      <c r="AH3" s="223"/>
      <c r="AI3" s="229" t="s">
        <v>108</v>
      </c>
      <c r="AJ3" s="162"/>
      <c r="AK3" s="162"/>
      <c r="AL3" s="162"/>
      <c r="AM3" s="162"/>
      <c r="AN3" s="162"/>
      <c r="AO3" s="162"/>
      <c r="AP3" s="162"/>
      <c r="AQ3" s="162"/>
      <c r="AR3" s="162"/>
      <c r="AS3" s="162"/>
      <c r="AT3" s="224"/>
      <c r="AU3" s="162"/>
      <c r="AV3" s="223"/>
      <c r="AW3" s="1019" t="s">
        <v>237</v>
      </c>
      <c r="AX3" s="224"/>
      <c r="AZ3" s="223"/>
      <c r="BA3" s="229" t="s">
        <v>109</v>
      </c>
      <c r="BB3" s="162"/>
      <c r="BC3" s="162"/>
      <c r="BD3" s="162"/>
      <c r="BE3" s="162"/>
      <c r="BF3" s="162"/>
      <c r="BG3" s="162"/>
      <c r="BH3" s="162"/>
      <c r="BI3" s="162"/>
      <c r="BJ3" s="162"/>
      <c r="BK3" s="162"/>
      <c r="BL3" s="224"/>
      <c r="BN3" s="223"/>
      <c r="BO3" s="229" t="s">
        <v>110</v>
      </c>
      <c r="BP3" s="162"/>
      <c r="BQ3" s="162"/>
      <c r="BR3" s="162"/>
      <c r="BS3" s="162"/>
      <c r="BT3" s="162"/>
      <c r="BU3" s="162"/>
      <c r="BV3" s="162"/>
      <c r="BW3" s="162"/>
      <c r="BX3" s="162"/>
      <c r="BY3" s="162"/>
      <c r="BZ3" s="224"/>
      <c r="CB3" s="223"/>
      <c r="CC3" s="1019" t="s">
        <v>383</v>
      </c>
      <c r="CD3" s="224"/>
      <c r="CF3" s="403" t="s">
        <v>450</v>
      </c>
    </row>
    <row r="4" spans="2:90" ht="9" customHeight="1" x14ac:dyDescent="0.3">
      <c r="B4" s="223"/>
      <c r="C4" s="162"/>
      <c r="D4" s="162"/>
      <c r="E4" s="162"/>
      <c r="F4" s="162"/>
      <c r="G4" s="162"/>
      <c r="H4" s="162"/>
      <c r="I4" s="162"/>
      <c r="J4" s="162"/>
      <c r="K4" s="162"/>
      <c r="L4" s="224"/>
      <c r="M4" s="162"/>
      <c r="N4" s="223"/>
      <c r="O4" s="1019"/>
      <c r="P4" s="224"/>
      <c r="Q4" s="162"/>
      <c r="R4" s="223"/>
      <c r="S4" s="162"/>
      <c r="T4" s="162"/>
      <c r="U4" s="162"/>
      <c r="V4" s="162"/>
      <c r="W4" s="162"/>
      <c r="X4" s="162"/>
      <c r="Y4" s="162"/>
      <c r="Z4" s="162"/>
      <c r="AA4" s="162"/>
      <c r="AB4" s="224"/>
      <c r="AC4" s="162"/>
      <c r="AD4" s="223"/>
      <c r="AE4" s="1020"/>
      <c r="AF4" s="224"/>
      <c r="AH4" s="223"/>
      <c r="AI4" s="162"/>
      <c r="AJ4" s="162"/>
      <c r="AK4" s="162"/>
      <c r="AL4" s="162"/>
      <c r="AM4" s="162"/>
      <c r="AN4" s="162"/>
      <c r="AO4" s="162"/>
      <c r="AP4" s="162"/>
      <c r="AQ4" s="162"/>
      <c r="AR4" s="162"/>
      <c r="AS4" s="162"/>
      <c r="AT4" s="224"/>
      <c r="AU4" s="162"/>
      <c r="AV4" s="223"/>
      <c r="AW4" s="1019"/>
      <c r="AX4" s="224"/>
      <c r="AZ4" s="223"/>
      <c r="BA4" s="162"/>
      <c r="BB4" s="162"/>
      <c r="BC4" s="162"/>
      <c r="BD4" s="162"/>
      <c r="BE4" s="162"/>
      <c r="BF4" s="162"/>
      <c r="BG4" s="162"/>
      <c r="BH4" s="162"/>
      <c r="BI4" s="162"/>
      <c r="BJ4" s="162"/>
      <c r="BK4" s="162"/>
      <c r="BL4" s="224"/>
      <c r="BN4" s="223"/>
      <c r="BO4" s="162"/>
      <c r="BP4" s="162"/>
      <c r="BQ4" s="162"/>
      <c r="BR4" s="162"/>
      <c r="BS4" s="162"/>
      <c r="BT4" s="162"/>
      <c r="BU4" s="162"/>
      <c r="BV4" s="162"/>
      <c r="BW4" s="162"/>
      <c r="BX4" s="162"/>
      <c r="BY4" s="162"/>
      <c r="BZ4" s="224"/>
      <c r="CB4" s="223"/>
      <c r="CC4" s="1019"/>
      <c r="CD4" s="224"/>
    </row>
    <row r="5" spans="2:90" ht="15" thickBot="1" x14ac:dyDescent="0.35">
      <c r="B5" s="223"/>
      <c r="C5" s="102" t="s">
        <v>131</v>
      </c>
      <c r="D5" s="103" t="s">
        <v>2</v>
      </c>
      <c r="E5" s="103" t="s">
        <v>0</v>
      </c>
      <c r="F5" s="103" t="s">
        <v>59</v>
      </c>
      <c r="G5" s="103" t="s">
        <v>60</v>
      </c>
      <c r="H5" s="103" t="s">
        <v>30</v>
      </c>
      <c r="I5" s="103" t="s">
        <v>31</v>
      </c>
      <c r="J5" s="103" t="s">
        <v>61</v>
      </c>
      <c r="K5" s="160" t="s">
        <v>33</v>
      </c>
      <c r="L5" s="224"/>
      <c r="M5" s="162"/>
      <c r="N5" s="223"/>
      <c r="O5" s="1019"/>
      <c r="P5" s="224"/>
      <c r="Q5" s="162"/>
      <c r="R5" s="223"/>
      <c r="S5" s="102" t="s">
        <v>131</v>
      </c>
      <c r="T5" s="103" t="s">
        <v>2</v>
      </c>
      <c r="U5" s="103" t="s">
        <v>0</v>
      </c>
      <c r="V5" s="103" t="s">
        <v>59</v>
      </c>
      <c r="W5" s="103" t="s">
        <v>60</v>
      </c>
      <c r="X5" s="103" t="s">
        <v>30</v>
      </c>
      <c r="Y5" s="103" t="s">
        <v>31</v>
      </c>
      <c r="Z5" s="103" t="s">
        <v>61</v>
      </c>
      <c r="AA5" s="160" t="s">
        <v>33</v>
      </c>
      <c r="AB5" s="224"/>
      <c r="AC5" s="162"/>
      <c r="AD5" s="223"/>
      <c r="AE5" s="1020"/>
      <c r="AF5" s="224"/>
      <c r="AH5" s="223"/>
      <c r="AI5" s="102" t="s">
        <v>74</v>
      </c>
      <c r="AJ5" s="103" t="s">
        <v>2</v>
      </c>
      <c r="AK5" s="103" t="s">
        <v>76</v>
      </c>
      <c r="AL5" s="103" t="s">
        <v>0</v>
      </c>
      <c r="AM5" s="103" t="s">
        <v>60</v>
      </c>
      <c r="AN5" s="103" t="s">
        <v>30</v>
      </c>
      <c r="AO5" s="103" t="s">
        <v>228</v>
      </c>
      <c r="AP5" s="103" t="s">
        <v>61</v>
      </c>
      <c r="AQ5" s="103" t="s">
        <v>33</v>
      </c>
      <c r="AR5" s="108" t="s">
        <v>77</v>
      </c>
      <c r="AS5" s="108" t="s">
        <v>78</v>
      </c>
      <c r="AT5" s="224"/>
      <c r="AU5" s="162"/>
      <c r="AV5" s="223"/>
      <c r="AW5" s="1019"/>
      <c r="AX5" s="224"/>
      <c r="AZ5" s="223"/>
      <c r="BA5" s="245" t="s">
        <v>79</v>
      </c>
      <c r="BB5" s="246" t="s">
        <v>2</v>
      </c>
      <c r="BC5" s="246" t="s">
        <v>76</v>
      </c>
      <c r="BD5" s="246" t="s">
        <v>0</v>
      </c>
      <c r="BE5" s="246" t="s">
        <v>60</v>
      </c>
      <c r="BF5" s="246" t="s">
        <v>30</v>
      </c>
      <c r="BG5" s="246" t="s">
        <v>31</v>
      </c>
      <c r="BH5" s="246" t="s">
        <v>61</v>
      </c>
      <c r="BI5" s="246" t="s">
        <v>33</v>
      </c>
      <c r="BJ5" s="246" t="s">
        <v>77</v>
      </c>
      <c r="BK5" s="246" t="s">
        <v>78</v>
      </c>
      <c r="BL5" s="224"/>
      <c r="BN5" s="223"/>
      <c r="BO5" s="102" t="s">
        <v>88</v>
      </c>
      <c r="BP5" s="103" t="s">
        <v>2</v>
      </c>
      <c r="BQ5" s="103" t="s">
        <v>76</v>
      </c>
      <c r="BR5" s="103" t="s">
        <v>0</v>
      </c>
      <c r="BS5" s="103" t="s">
        <v>60</v>
      </c>
      <c r="BT5" s="103" t="s">
        <v>30</v>
      </c>
      <c r="BU5" s="103" t="s">
        <v>31</v>
      </c>
      <c r="BV5" s="103" t="s">
        <v>61</v>
      </c>
      <c r="BW5" s="103" t="s">
        <v>33</v>
      </c>
      <c r="BX5" s="108" t="s">
        <v>77</v>
      </c>
      <c r="BY5" s="108" t="s">
        <v>78</v>
      </c>
      <c r="BZ5" s="224"/>
      <c r="CB5" s="223"/>
      <c r="CC5" s="1019"/>
      <c r="CD5" s="224"/>
      <c r="CF5" s="1023" t="s">
        <v>451</v>
      </c>
      <c r="CG5" s="1024" t="s">
        <v>2</v>
      </c>
      <c r="CH5" s="1024"/>
      <c r="CI5" s="1024" t="s">
        <v>0</v>
      </c>
      <c r="CJ5" s="1024"/>
      <c r="CK5" s="1024" t="s">
        <v>452</v>
      </c>
      <c r="CL5" s="1024"/>
    </row>
    <row r="6" spans="2:90" ht="15" thickTop="1" x14ac:dyDescent="0.3">
      <c r="B6" s="223"/>
      <c r="C6" s="257" t="s">
        <v>63</v>
      </c>
      <c r="D6" s="258">
        <v>200000</v>
      </c>
      <c r="E6" s="258">
        <v>75000</v>
      </c>
      <c r="F6" s="258">
        <v>30000</v>
      </c>
      <c r="G6" s="258">
        <v>40000</v>
      </c>
      <c r="H6" s="258">
        <v>45000</v>
      </c>
      <c r="I6" s="258">
        <v>60000</v>
      </c>
      <c r="J6" s="258">
        <v>40000</v>
      </c>
      <c r="K6" s="253">
        <v>190000</v>
      </c>
      <c r="L6" s="224"/>
      <c r="M6" s="162"/>
      <c r="N6" s="223"/>
      <c r="O6" s="1019"/>
      <c r="P6" s="224"/>
      <c r="Q6" s="162"/>
      <c r="R6" s="223"/>
      <c r="S6" s="257" t="s">
        <v>63</v>
      </c>
      <c r="T6" s="322">
        <v>18000</v>
      </c>
      <c r="U6" s="322">
        <v>12500</v>
      </c>
      <c r="V6" s="258">
        <v>0</v>
      </c>
      <c r="W6" s="322">
        <v>2500</v>
      </c>
      <c r="X6" s="322">
        <v>12000</v>
      </c>
      <c r="Y6" s="322">
        <v>25000</v>
      </c>
      <c r="Z6" s="322">
        <v>10000</v>
      </c>
      <c r="AA6" s="326">
        <v>25000</v>
      </c>
      <c r="AB6" s="224"/>
      <c r="AC6" s="162"/>
      <c r="AD6" s="223"/>
      <c r="AE6" s="1020"/>
      <c r="AF6" s="224"/>
      <c r="AH6" s="223"/>
      <c r="AI6" s="257" t="s">
        <v>63</v>
      </c>
      <c r="AJ6" s="258">
        <v>29.2</v>
      </c>
      <c r="AK6" s="322">
        <v>45</v>
      </c>
      <c r="AL6" s="258">
        <v>8.35</v>
      </c>
      <c r="AM6" s="322">
        <v>30</v>
      </c>
      <c r="AN6" s="322">
        <v>5</v>
      </c>
      <c r="AO6" s="258">
        <v>58</v>
      </c>
      <c r="AP6" s="322">
        <v>1</v>
      </c>
      <c r="AQ6" s="322">
        <v>20</v>
      </c>
      <c r="AR6" s="262">
        <v>65</v>
      </c>
      <c r="AS6" s="262">
        <v>14</v>
      </c>
      <c r="AT6" s="224"/>
      <c r="AU6" s="162"/>
      <c r="AV6" s="223"/>
      <c r="AW6" s="1019"/>
      <c r="AX6" s="224"/>
      <c r="AZ6" s="223"/>
      <c r="BA6" s="247" t="s">
        <v>63</v>
      </c>
      <c r="BB6" s="248" t="s">
        <v>80</v>
      </c>
      <c r="BC6" s="248" t="s">
        <v>81</v>
      </c>
      <c r="BD6" s="248" t="s">
        <v>80</v>
      </c>
      <c r="BE6" s="248" t="s">
        <v>80</v>
      </c>
      <c r="BF6" s="248" t="s">
        <v>81</v>
      </c>
      <c r="BG6" s="248" t="s">
        <v>81</v>
      </c>
      <c r="BH6" s="248" t="s">
        <v>80</v>
      </c>
      <c r="BI6" s="248" t="s">
        <v>81</v>
      </c>
      <c r="BJ6" s="248" t="s">
        <v>81</v>
      </c>
      <c r="BK6" s="249" t="s">
        <v>80</v>
      </c>
      <c r="BL6" s="224"/>
      <c r="BN6" s="223"/>
      <c r="BO6" s="257" t="s">
        <v>52</v>
      </c>
      <c r="BP6" s="258">
        <v>1</v>
      </c>
      <c r="BQ6" s="258">
        <v>2</v>
      </c>
      <c r="BR6" s="258">
        <v>1</v>
      </c>
      <c r="BS6" s="258">
        <v>0</v>
      </c>
      <c r="BT6" s="258">
        <v>2</v>
      </c>
      <c r="BU6" s="258">
        <v>3</v>
      </c>
      <c r="BV6" s="258">
        <v>0</v>
      </c>
      <c r="BW6" s="258">
        <v>1</v>
      </c>
      <c r="BX6" s="262">
        <v>1</v>
      </c>
      <c r="BY6" s="262">
        <v>1</v>
      </c>
      <c r="BZ6" s="224"/>
      <c r="CB6" s="223"/>
      <c r="CC6" s="1019"/>
      <c r="CD6" s="224"/>
      <c r="CF6" s="1023"/>
      <c r="CG6" s="415" t="s">
        <v>453</v>
      </c>
      <c r="CH6" s="416" t="s">
        <v>454</v>
      </c>
      <c r="CI6" s="417" t="s">
        <v>468</v>
      </c>
      <c r="CJ6" s="416" t="s">
        <v>469</v>
      </c>
      <c r="CK6" s="417" t="s">
        <v>470</v>
      </c>
      <c r="CL6" s="418" t="s">
        <v>471</v>
      </c>
    </row>
    <row r="7" spans="2:90" x14ac:dyDescent="0.3">
      <c r="B7" s="223"/>
      <c r="C7" s="254" t="s">
        <v>64</v>
      </c>
      <c r="D7" s="258">
        <v>200000</v>
      </c>
      <c r="E7" s="258">
        <v>75000</v>
      </c>
      <c r="F7" s="258">
        <v>30000</v>
      </c>
      <c r="G7" s="255">
        <v>40000</v>
      </c>
      <c r="H7" s="258">
        <v>45000</v>
      </c>
      <c r="I7" s="255">
        <v>60000</v>
      </c>
      <c r="J7" s="258">
        <v>40000</v>
      </c>
      <c r="K7" s="253">
        <v>190000</v>
      </c>
      <c r="L7" s="224"/>
      <c r="M7" s="162"/>
      <c r="N7" s="223"/>
      <c r="O7" s="1019"/>
      <c r="P7" s="224"/>
      <c r="Q7" s="162"/>
      <c r="R7" s="223"/>
      <c r="S7" s="254" t="s">
        <v>407</v>
      </c>
      <c r="T7" s="255">
        <v>18000</v>
      </c>
      <c r="U7" s="255">
        <v>12500</v>
      </c>
      <c r="V7" s="255">
        <v>0</v>
      </c>
      <c r="W7" s="323">
        <v>2500</v>
      </c>
      <c r="X7" s="255">
        <v>12000</v>
      </c>
      <c r="Y7" s="323">
        <v>25000</v>
      </c>
      <c r="Z7" s="255">
        <v>10000</v>
      </c>
      <c r="AA7" s="256">
        <v>25000</v>
      </c>
      <c r="AB7" s="224"/>
      <c r="AC7" s="162"/>
      <c r="AD7" s="223"/>
      <c r="AE7" s="1020"/>
      <c r="AF7" s="224"/>
      <c r="AH7" s="223"/>
      <c r="AI7" s="254" t="s">
        <v>64</v>
      </c>
      <c r="AJ7" s="255">
        <v>29.8</v>
      </c>
      <c r="AK7" s="322">
        <v>45</v>
      </c>
      <c r="AL7" s="255">
        <v>8.35</v>
      </c>
      <c r="AM7" s="322">
        <v>30</v>
      </c>
      <c r="AN7" s="322">
        <v>5</v>
      </c>
      <c r="AO7" s="255">
        <v>58</v>
      </c>
      <c r="AP7" s="322">
        <v>1</v>
      </c>
      <c r="AQ7" s="322">
        <v>20</v>
      </c>
      <c r="AR7" s="262">
        <v>59</v>
      </c>
      <c r="AS7" s="262">
        <v>12</v>
      </c>
      <c r="AT7" s="224"/>
      <c r="AU7" s="162"/>
      <c r="AV7" s="223"/>
      <c r="AW7" s="1019"/>
      <c r="AX7" s="224"/>
      <c r="AZ7" s="223"/>
      <c r="BA7" s="250" t="s">
        <v>64</v>
      </c>
      <c r="BB7" s="251" t="s">
        <v>80</v>
      </c>
      <c r="BC7" s="251" t="s">
        <v>81</v>
      </c>
      <c r="BD7" s="251" t="s">
        <v>80</v>
      </c>
      <c r="BE7" s="251" t="s">
        <v>80</v>
      </c>
      <c r="BF7" s="251" t="s">
        <v>81</v>
      </c>
      <c r="BG7" s="251" t="s">
        <v>81</v>
      </c>
      <c r="BH7" s="251" t="s">
        <v>80</v>
      </c>
      <c r="BI7" s="251" t="s">
        <v>81</v>
      </c>
      <c r="BJ7" s="251" t="s">
        <v>81</v>
      </c>
      <c r="BK7" s="251" t="s">
        <v>80</v>
      </c>
      <c r="BL7" s="224"/>
      <c r="BN7" s="223"/>
      <c r="BO7" s="254" t="s">
        <v>126</v>
      </c>
      <c r="BP7" s="255">
        <v>1</v>
      </c>
      <c r="BQ7" s="255">
        <v>2</v>
      </c>
      <c r="BR7" s="255">
        <v>1</v>
      </c>
      <c r="BS7" s="255">
        <v>0</v>
      </c>
      <c r="BT7" s="255">
        <v>2</v>
      </c>
      <c r="BU7" s="255">
        <v>3</v>
      </c>
      <c r="BV7" s="255">
        <v>0</v>
      </c>
      <c r="BW7" s="255">
        <v>1</v>
      </c>
      <c r="BX7" s="262">
        <v>1</v>
      </c>
      <c r="BY7" s="262">
        <v>1</v>
      </c>
      <c r="BZ7" s="224"/>
      <c r="CB7" s="223"/>
      <c r="CC7" s="1019"/>
      <c r="CD7" s="224"/>
      <c r="CF7" s="404" t="s">
        <v>455</v>
      </c>
      <c r="CG7" s="408">
        <v>0</v>
      </c>
      <c r="CH7" s="405">
        <v>0</v>
      </c>
      <c r="CI7" s="405">
        <v>0</v>
      </c>
      <c r="CJ7" s="405">
        <v>0</v>
      </c>
      <c r="CK7" s="405">
        <v>0</v>
      </c>
      <c r="CL7" s="410">
        <v>0</v>
      </c>
    </row>
    <row r="8" spans="2:90" x14ac:dyDescent="0.3">
      <c r="B8" s="223"/>
      <c r="C8" s="257" t="s">
        <v>65</v>
      </c>
      <c r="D8" s="258">
        <v>200000</v>
      </c>
      <c r="E8" s="258">
        <v>75000</v>
      </c>
      <c r="F8" s="258">
        <v>30000</v>
      </c>
      <c r="G8" s="258">
        <v>40000</v>
      </c>
      <c r="H8" s="258">
        <v>45000</v>
      </c>
      <c r="I8" s="258">
        <v>60000</v>
      </c>
      <c r="J8" s="258">
        <v>40000</v>
      </c>
      <c r="K8" s="253">
        <v>190000</v>
      </c>
      <c r="L8" s="224"/>
      <c r="M8" s="162"/>
      <c r="N8" s="223"/>
      <c r="O8" s="1019"/>
      <c r="P8" s="224"/>
      <c r="Q8" s="162"/>
      <c r="R8" s="223"/>
      <c r="S8" s="254" t="s">
        <v>64</v>
      </c>
      <c r="T8" s="322">
        <v>18000</v>
      </c>
      <c r="U8" s="322">
        <v>12500</v>
      </c>
      <c r="V8" s="255">
        <v>0</v>
      </c>
      <c r="W8" s="322">
        <v>2500</v>
      </c>
      <c r="X8" s="322">
        <v>12000</v>
      </c>
      <c r="Y8" s="322">
        <v>25000</v>
      </c>
      <c r="Z8" s="322">
        <v>10000</v>
      </c>
      <c r="AA8" s="326">
        <v>25000</v>
      </c>
      <c r="AB8" s="224"/>
      <c r="AC8" s="162"/>
      <c r="AD8" s="223"/>
      <c r="AE8" s="1020"/>
      <c r="AF8" s="224"/>
      <c r="AH8" s="223"/>
      <c r="AI8" s="257" t="s">
        <v>65</v>
      </c>
      <c r="AJ8" s="258">
        <v>29.8</v>
      </c>
      <c r="AK8" s="322">
        <v>45</v>
      </c>
      <c r="AL8" s="258">
        <v>8.35</v>
      </c>
      <c r="AM8" s="322">
        <v>30</v>
      </c>
      <c r="AN8" s="322">
        <v>5</v>
      </c>
      <c r="AO8" s="258">
        <v>65</v>
      </c>
      <c r="AP8" s="322">
        <v>1</v>
      </c>
      <c r="AQ8" s="322">
        <v>20</v>
      </c>
      <c r="AR8" s="320">
        <v>68</v>
      </c>
      <c r="AS8" s="320">
        <v>16</v>
      </c>
      <c r="AT8" s="224"/>
      <c r="AU8" s="162"/>
      <c r="AV8" s="223"/>
      <c r="AW8" s="1019"/>
      <c r="AX8" s="224"/>
      <c r="AZ8" s="223"/>
      <c r="BA8" s="252" t="s">
        <v>65</v>
      </c>
      <c r="BB8" s="249" t="s">
        <v>80</v>
      </c>
      <c r="BC8" s="249" t="s">
        <v>81</v>
      </c>
      <c r="BD8" s="249" t="s">
        <v>80</v>
      </c>
      <c r="BE8" s="249" t="s">
        <v>80</v>
      </c>
      <c r="BF8" s="249" t="s">
        <v>81</v>
      </c>
      <c r="BG8" s="249" t="s">
        <v>81</v>
      </c>
      <c r="BH8" s="249" t="s">
        <v>80</v>
      </c>
      <c r="BI8" s="249" t="s">
        <v>81</v>
      </c>
      <c r="BJ8" s="249" t="s">
        <v>81</v>
      </c>
      <c r="BK8" s="249" t="s">
        <v>80</v>
      </c>
      <c r="BL8" s="224"/>
      <c r="BN8" s="223"/>
      <c r="BO8" s="257" t="s">
        <v>56</v>
      </c>
      <c r="BP8" s="258">
        <v>1</v>
      </c>
      <c r="BQ8" s="258">
        <v>2</v>
      </c>
      <c r="BR8" s="258">
        <v>1</v>
      </c>
      <c r="BS8" s="322">
        <v>0</v>
      </c>
      <c r="BT8" s="258">
        <v>2</v>
      </c>
      <c r="BU8" s="258">
        <v>3</v>
      </c>
      <c r="BV8" s="258">
        <v>0</v>
      </c>
      <c r="BW8" s="258">
        <v>1</v>
      </c>
      <c r="BX8" s="262">
        <v>1</v>
      </c>
      <c r="BY8" s="262">
        <v>1</v>
      </c>
      <c r="BZ8" s="224"/>
      <c r="CB8" s="223"/>
      <c r="CC8" s="1019"/>
      <c r="CD8" s="224"/>
      <c r="CF8" s="406">
        <v>2</v>
      </c>
      <c r="CG8" s="409">
        <v>0</v>
      </c>
      <c r="CH8" s="407">
        <v>0.01</v>
      </c>
      <c r="CI8" s="407">
        <v>0</v>
      </c>
      <c r="CJ8" s="407">
        <v>0</v>
      </c>
      <c r="CK8" s="407">
        <v>0</v>
      </c>
      <c r="CL8" s="411">
        <v>0</v>
      </c>
    </row>
    <row r="9" spans="2:90" x14ac:dyDescent="0.3">
      <c r="B9" s="223"/>
      <c r="C9" s="254" t="s">
        <v>66</v>
      </c>
      <c r="D9" s="258">
        <v>200000</v>
      </c>
      <c r="E9" s="258">
        <v>75000</v>
      </c>
      <c r="F9" s="258">
        <v>30000</v>
      </c>
      <c r="G9" s="255">
        <v>40000</v>
      </c>
      <c r="H9" s="258">
        <v>45000</v>
      </c>
      <c r="I9" s="255">
        <v>60000</v>
      </c>
      <c r="J9" s="258">
        <v>40000</v>
      </c>
      <c r="K9" s="253">
        <v>190000</v>
      </c>
      <c r="L9" s="224"/>
      <c r="M9" s="162"/>
      <c r="N9" s="223"/>
      <c r="O9" s="1019"/>
      <c r="P9" s="224"/>
      <c r="Q9" s="162"/>
      <c r="R9" s="223"/>
      <c r="S9" s="254" t="s">
        <v>393</v>
      </c>
      <c r="T9" s="322">
        <v>18000</v>
      </c>
      <c r="U9" s="322">
        <v>12500</v>
      </c>
      <c r="V9" s="258">
        <v>0</v>
      </c>
      <c r="W9" s="322">
        <v>2500</v>
      </c>
      <c r="X9" s="322">
        <v>12000</v>
      </c>
      <c r="Y9" s="322">
        <v>25000</v>
      </c>
      <c r="Z9" s="322">
        <v>10000</v>
      </c>
      <c r="AA9" s="326">
        <v>25000</v>
      </c>
      <c r="AB9" s="224"/>
      <c r="AC9" s="162"/>
      <c r="AD9" s="223"/>
      <c r="AE9" s="1020"/>
      <c r="AF9" s="224"/>
      <c r="AH9" s="223"/>
      <c r="AI9" s="254" t="s">
        <v>66</v>
      </c>
      <c r="AJ9" s="258">
        <v>29.8</v>
      </c>
      <c r="AK9" s="322">
        <v>45</v>
      </c>
      <c r="AL9" s="255">
        <v>8.35</v>
      </c>
      <c r="AM9" s="322">
        <v>30</v>
      </c>
      <c r="AN9" s="322">
        <v>5</v>
      </c>
      <c r="AO9" s="255">
        <v>62</v>
      </c>
      <c r="AP9" s="322">
        <v>1</v>
      </c>
      <c r="AQ9" s="322">
        <v>20</v>
      </c>
      <c r="AR9" s="320">
        <v>70</v>
      </c>
      <c r="AS9" s="262">
        <v>21</v>
      </c>
      <c r="AT9" s="224"/>
      <c r="AU9" s="162"/>
      <c r="AV9" s="223"/>
      <c r="AW9" s="1019"/>
      <c r="AX9" s="224"/>
      <c r="AZ9" s="223"/>
      <c r="BA9" s="250" t="s">
        <v>66</v>
      </c>
      <c r="BB9" s="251" t="s">
        <v>80</v>
      </c>
      <c r="BC9" s="251" t="s">
        <v>81</v>
      </c>
      <c r="BD9" s="251" t="s">
        <v>80</v>
      </c>
      <c r="BE9" s="251" t="s">
        <v>80</v>
      </c>
      <c r="BF9" s="251" t="s">
        <v>81</v>
      </c>
      <c r="BG9" s="251" t="s">
        <v>81</v>
      </c>
      <c r="BH9" s="251" t="s">
        <v>80</v>
      </c>
      <c r="BI9" s="251" t="s">
        <v>81</v>
      </c>
      <c r="BJ9" s="251" t="s">
        <v>81</v>
      </c>
      <c r="BK9" s="251" t="s">
        <v>80</v>
      </c>
      <c r="BL9" s="224"/>
      <c r="BN9" s="223"/>
      <c r="BO9" s="254" t="s">
        <v>58</v>
      </c>
      <c r="BP9" s="323">
        <v>1</v>
      </c>
      <c r="BQ9" s="323">
        <v>2</v>
      </c>
      <c r="BR9" s="323">
        <v>1</v>
      </c>
      <c r="BS9" s="323">
        <v>0</v>
      </c>
      <c r="BT9" s="255">
        <v>2</v>
      </c>
      <c r="BU9" s="255">
        <v>3</v>
      </c>
      <c r="BV9" s="255">
        <v>0</v>
      </c>
      <c r="BW9" s="255">
        <v>1</v>
      </c>
      <c r="BX9" s="262">
        <v>1</v>
      </c>
      <c r="BY9" s="262">
        <v>1</v>
      </c>
      <c r="BZ9" s="224"/>
      <c r="CB9" s="223"/>
      <c r="CC9" s="1019"/>
      <c r="CD9" s="224"/>
      <c r="CF9" s="404" t="s">
        <v>456</v>
      </c>
      <c r="CG9" s="408">
        <v>0</v>
      </c>
      <c r="CH9" s="405">
        <v>0.01</v>
      </c>
      <c r="CI9" s="405">
        <v>0</v>
      </c>
      <c r="CJ9" s="405">
        <v>0</v>
      </c>
      <c r="CK9" s="405">
        <v>0</v>
      </c>
      <c r="CL9" s="410">
        <v>0</v>
      </c>
    </row>
    <row r="10" spans="2:90" x14ac:dyDescent="0.3">
      <c r="B10" s="223"/>
      <c r="C10" s="257" t="s">
        <v>67</v>
      </c>
      <c r="D10" s="258">
        <v>200000</v>
      </c>
      <c r="E10" s="258">
        <v>75000</v>
      </c>
      <c r="F10" s="258">
        <v>30000</v>
      </c>
      <c r="G10" s="258">
        <v>40000</v>
      </c>
      <c r="H10" s="258">
        <v>45000</v>
      </c>
      <c r="I10" s="258">
        <v>60000</v>
      </c>
      <c r="J10" s="258">
        <v>40000</v>
      </c>
      <c r="K10" s="253">
        <v>190000</v>
      </c>
      <c r="L10" s="224"/>
      <c r="M10" s="162"/>
      <c r="N10" s="223"/>
      <c r="O10" s="243"/>
      <c r="P10" s="224"/>
      <c r="Q10" s="162"/>
      <c r="R10" s="223"/>
      <c r="S10" s="254" t="s">
        <v>393</v>
      </c>
      <c r="T10" s="255">
        <v>18000</v>
      </c>
      <c r="U10" s="255">
        <v>12500</v>
      </c>
      <c r="V10" s="255">
        <v>0</v>
      </c>
      <c r="W10" s="323">
        <v>2500</v>
      </c>
      <c r="X10" s="255">
        <v>12000</v>
      </c>
      <c r="Y10" s="323">
        <v>25000</v>
      </c>
      <c r="Z10" s="255">
        <v>10000</v>
      </c>
      <c r="AA10" s="256">
        <v>25000</v>
      </c>
      <c r="AB10" s="224"/>
      <c r="AC10" s="162"/>
      <c r="AD10" s="223"/>
      <c r="AE10" s="162"/>
      <c r="AF10" s="224"/>
      <c r="AH10" s="223"/>
      <c r="AI10" s="257" t="s">
        <v>67</v>
      </c>
      <c r="AJ10" s="322">
        <v>30</v>
      </c>
      <c r="AK10" s="322">
        <v>45</v>
      </c>
      <c r="AL10" s="258">
        <v>8.35</v>
      </c>
      <c r="AM10" s="322">
        <v>30</v>
      </c>
      <c r="AN10" s="322">
        <v>5</v>
      </c>
      <c r="AO10" s="258">
        <v>65</v>
      </c>
      <c r="AP10" s="322">
        <v>1</v>
      </c>
      <c r="AQ10" s="322">
        <v>20</v>
      </c>
      <c r="AR10" s="320">
        <v>65</v>
      </c>
      <c r="AS10" s="320">
        <v>14</v>
      </c>
      <c r="AT10" s="224"/>
      <c r="AU10" s="162"/>
      <c r="AV10" s="223"/>
      <c r="AW10" s="1019"/>
      <c r="AX10" s="224"/>
      <c r="AZ10" s="223"/>
      <c r="BA10" s="252" t="s">
        <v>67</v>
      </c>
      <c r="BB10" s="249" t="s">
        <v>80</v>
      </c>
      <c r="BC10" s="249" t="s">
        <v>81</v>
      </c>
      <c r="BD10" s="249" t="s">
        <v>80</v>
      </c>
      <c r="BE10" s="249" t="s">
        <v>80</v>
      </c>
      <c r="BF10" s="249" t="s">
        <v>81</v>
      </c>
      <c r="BG10" s="249" t="s">
        <v>81</v>
      </c>
      <c r="BH10" s="249" t="s">
        <v>80</v>
      </c>
      <c r="BI10" s="249" t="s">
        <v>81</v>
      </c>
      <c r="BJ10" s="249" t="s">
        <v>81</v>
      </c>
      <c r="BK10" s="249" t="s">
        <v>80</v>
      </c>
      <c r="BL10" s="224"/>
      <c r="BN10" s="223"/>
      <c r="BO10" s="257" t="s">
        <v>407</v>
      </c>
      <c r="BP10" s="258">
        <v>2</v>
      </c>
      <c r="BQ10" s="258">
        <v>3</v>
      </c>
      <c r="BR10" s="258">
        <v>1</v>
      </c>
      <c r="BS10" s="258">
        <v>0</v>
      </c>
      <c r="BT10" s="258">
        <v>2</v>
      </c>
      <c r="BU10" s="258">
        <v>3</v>
      </c>
      <c r="BV10" s="258">
        <v>0</v>
      </c>
      <c r="BW10" s="258">
        <v>1</v>
      </c>
      <c r="BX10" s="262">
        <v>1</v>
      </c>
      <c r="BY10" s="258">
        <v>1</v>
      </c>
      <c r="BZ10" s="224"/>
      <c r="CB10" s="223"/>
      <c r="CC10" s="1019"/>
      <c r="CD10" s="224"/>
      <c r="CF10" s="404" t="s">
        <v>457</v>
      </c>
      <c r="CG10" s="409">
        <v>0.01</v>
      </c>
      <c r="CH10" s="407">
        <v>0.02</v>
      </c>
      <c r="CI10" s="407">
        <v>0</v>
      </c>
      <c r="CJ10" s="407">
        <v>0.01</v>
      </c>
      <c r="CK10" s="407">
        <v>0</v>
      </c>
      <c r="CL10" s="411">
        <v>0.01</v>
      </c>
    </row>
    <row r="11" spans="2:90" x14ac:dyDescent="0.3">
      <c r="B11" s="223"/>
      <c r="C11" s="254" t="s">
        <v>407</v>
      </c>
      <c r="D11" s="255">
        <v>200000</v>
      </c>
      <c r="E11" s="255">
        <v>75000</v>
      </c>
      <c r="F11" s="255">
        <v>30000</v>
      </c>
      <c r="G11" s="255">
        <v>40000</v>
      </c>
      <c r="H11" s="255">
        <v>45000</v>
      </c>
      <c r="I11" s="255">
        <v>60000</v>
      </c>
      <c r="J11" s="255">
        <v>40000</v>
      </c>
      <c r="K11" s="256">
        <v>190000</v>
      </c>
      <c r="L11" s="224"/>
      <c r="M11" s="162"/>
      <c r="N11" s="223"/>
      <c r="O11" s="243"/>
      <c r="P11" s="224"/>
      <c r="Q11" s="162"/>
      <c r="R11" s="223"/>
      <c r="S11" s="257" t="s">
        <v>65</v>
      </c>
      <c r="T11" s="322">
        <v>18000</v>
      </c>
      <c r="U11" s="322">
        <v>12500</v>
      </c>
      <c r="V11" s="258">
        <v>0</v>
      </c>
      <c r="W11" s="322">
        <v>2500</v>
      </c>
      <c r="X11" s="322">
        <v>12000</v>
      </c>
      <c r="Y11" s="322">
        <v>25000</v>
      </c>
      <c r="Z11" s="322">
        <v>10000</v>
      </c>
      <c r="AA11" s="326">
        <v>25000</v>
      </c>
      <c r="AB11" s="224"/>
      <c r="AC11" s="162"/>
      <c r="AD11" s="223"/>
      <c r="AE11" s="162"/>
      <c r="AF11" s="224"/>
      <c r="AH11" s="223"/>
      <c r="AI11" s="257" t="s">
        <v>407</v>
      </c>
      <c r="AJ11" s="258">
        <v>30</v>
      </c>
      <c r="AK11" s="258">
        <v>45</v>
      </c>
      <c r="AL11" s="258">
        <v>8.35</v>
      </c>
      <c r="AM11" s="258">
        <v>30</v>
      </c>
      <c r="AN11" s="322">
        <v>5</v>
      </c>
      <c r="AO11" s="258">
        <v>65</v>
      </c>
      <c r="AP11" s="322">
        <v>1</v>
      </c>
      <c r="AQ11" s="322">
        <v>20</v>
      </c>
      <c r="AR11" s="374">
        <v>65</v>
      </c>
      <c r="AS11" s="258">
        <v>14</v>
      </c>
      <c r="AT11" s="224"/>
      <c r="AU11" s="162"/>
      <c r="AV11" s="223"/>
      <c r="AW11" s="243"/>
      <c r="AX11" s="224"/>
      <c r="AZ11" s="223"/>
      <c r="BA11" s="252" t="s">
        <v>407</v>
      </c>
      <c r="BB11" s="249" t="s">
        <v>80</v>
      </c>
      <c r="BC11" s="249" t="s">
        <v>81</v>
      </c>
      <c r="BD11" s="249" t="s">
        <v>80</v>
      </c>
      <c r="BE11" s="249" t="s">
        <v>80</v>
      </c>
      <c r="BF11" s="249" t="s">
        <v>81</v>
      </c>
      <c r="BG11" s="249" t="s">
        <v>81</v>
      </c>
      <c r="BH11" s="249" t="s">
        <v>80</v>
      </c>
      <c r="BI11" s="249" t="s">
        <v>81</v>
      </c>
      <c r="BJ11" s="249" t="s">
        <v>81</v>
      </c>
      <c r="BK11" s="249" t="s">
        <v>80</v>
      </c>
      <c r="BL11" s="224"/>
      <c r="BN11" s="223"/>
      <c r="BO11" s="257" t="s">
        <v>63</v>
      </c>
      <c r="BP11" s="322">
        <v>2</v>
      </c>
      <c r="BQ11" s="322">
        <v>3</v>
      </c>
      <c r="BR11" s="322">
        <v>1</v>
      </c>
      <c r="BS11" s="322">
        <v>0</v>
      </c>
      <c r="BT11" s="258">
        <v>2</v>
      </c>
      <c r="BU11" s="258">
        <v>3</v>
      </c>
      <c r="BV11" s="258">
        <v>0</v>
      </c>
      <c r="BW11" s="258">
        <v>1</v>
      </c>
      <c r="BX11" s="262">
        <v>1</v>
      </c>
      <c r="BY11" s="262">
        <v>1</v>
      </c>
      <c r="BZ11" s="224"/>
      <c r="CB11" s="223"/>
      <c r="CC11" s="162"/>
      <c r="CD11" s="224"/>
      <c r="CF11" s="406">
        <v>5</v>
      </c>
      <c r="CG11" s="408">
        <v>0.01</v>
      </c>
      <c r="CH11" s="405">
        <v>0.02</v>
      </c>
      <c r="CI11" s="405">
        <v>0</v>
      </c>
      <c r="CJ11" s="405">
        <v>0.01</v>
      </c>
      <c r="CK11" s="405">
        <v>0</v>
      </c>
      <c r="CL11" s="410">
        <v>0.01</v>
      </c>
    </row>
    <row r="12" spans="2:90" x14ac:dyDescent="0.3">
      <c r="B12" s="223"/>
      <c r="C12" s="254" t="s">
        <v>68</v>
      </c>
      <c r="D12" s="258">
        <v>200000</v>
      </c>
      <c r="E12" s="258">
        <v>75000</v>
      </c>
      <c r="F12" s="258">
        <v>30000</v>
      </c>
      <c r="G12" s="255">
        <v>40000</v>
      </c>
      <c r="H12" s="258">
        <v>45000</v>
      </c>
      <c r="I12" s="255">
        <v>60000</v>
      </c>
      <c r="J12" s="258">
        <v>40000</v>
      </c>
      <c r="K12" s="253">
        <v>190000</v>
      </c>
      <c r="L12" s="224"/>
      <c r="M12" s="162"/>
      <c r="N12" s="223"/>
      <c r="O12" s="243"/>
      <c r="P12" s="224"/>
      <c r="Q12" s="162"/>
      <c r="R12" s="223"/>
      <c r="S12" s="254" t="s">
        <v>66</v>
      </c>
      <c r="T12" s="322">
        <v>18000</v>
      </c>
      <c r="U12" s="322">
        <v>12500</v>
      </c>
      <c r="V12" s="255">
        <v>0</v>
      </c>
      <c r="W12" s="322">
        <v>2500</v>
      </c>
      <c r="X12" s="322">
        <v>12000</v>
      </c>
      <c r="Y12" s="322">
        <v>25000</v>
      </c>
      <c r="Z12" s="322">
        <v>10000</v>
      </c>
      <c r="AA12" s="326">
        <v>25000</v>
      </c>
      <c r="AB12" s="224"/>
      <c r="AC12" s="162"/>
      <c r="AD12" s="223"/>
      <c r="AE12" s="162"/>
      <c r="AF12" s="224"/>
      <c r="AH12" s="223"/>
      <c r="AI12" s="254" t="s">
        <v>68</v>
      </c>
      <c r="AJ12" s="323">
        <v>30</v>
      </c>
      <c r="AK12" s="322">
        <v>45</v>
      </c>
      <c r="AL12" s="255">
        <v>8.35</v>
      </c>
      <c r="AM12" s="322">
        <v>30</v>
      </c>
      <c r="AN12" s="322">
        <v>5</v>
      </c>
      <c r="AO12" s="255">
        <v>65</v>
      </c>
      <c r="AP12" s="322">
        <v>1</v>
      </c>
      <c r="AQ12" s="322">
        <v>20</v>
      </c>
      <c r="AR12" s="320">
        <v>70</v>
      </c>
      <c r="AS12" s="320">
        <v>21</v>
      </c>
      <c r="AT12" s="224"/>
      <c r="AU12" s="162"/>
      <c r="AV12" s="223"/>
      <c r="AW12" s="243"/>
      <c r="AX12" s="224"/>
      <c r="AZ12" s="223"/>
      <c r="BA12" s="250" t="s">
        <v>68</v>
      </c>
      <c r="BB12" s="251" t="s">
        <v>80</v>
      </c>
      <c r="BC12" s="251" t="s">
        <v>81</v>
      </c>
      <c r="BD12" s="251" t="s">
        <v>80</v>
      </c>
      <c r="BE12" s="251" t="s">
        <v>80</v>
      </c>
      <c r="BF12" s="251" t="s">
        <v>81</v>
      </c>
      <c r="BG12" s="251" t="s">
        <v>81</v>
      </c>
      <c r="BH12" s="251" t="s">
        <v>80</v>
      </c>
      <c r="BI12" s="251" t="s">
        <v>81</v>
      </c>
      <c r="BJ12" s="251" t="s">
        <v>81</v>
      </c>
      <c r="BK12" s="251" t="s">
        <v>80</v>
      </c>
      <c r="BL12" s="224"/>
      <c r="BN12" s="223"/>
      <c r="BO12" s="254" t="s">
        <v>69</v>
      </c>
      <c r="BP12" s="323">
        <v>2</v>
      </c>
      <c r="BQ12" s="323">
        <v>3</v>
      </c>
      <c r="BR12" s="323">
        <v>1</v>
      </c>
      <c r="BS12" s="255">
        <v>0</v>
      </c>
      <c r="BT12" s="255">
        <v>2</v>
      </c>
      <c r="BU12" s="255">
        <v>3</v>
      </c>
      <c r="BV12" s="255">
        <v>0</v>
      </c>
      <c r="BW12" s="255">
        <v>1</v>
      </c>
      <c r="BX12" s="262">
        <v>1</v>
      </c>
      <c r="BY12" s="262">
        <v>1</v>
      </c>
      <c r="BZ12" s="224"/>
      <c r="CB12" s="223"/>
      <c r="CC12" s="242" t="s">
        <v>239</v>
      </c>
      <c r="CD12" s="224"/>
      <c r="CF12" s="404" t="s">
        <v>458</v>
      </c>
      <c r="CG12" s="409">
        <v>0.02</v>
      </c>
      <c r="CH12" s="407">
        <v>0.03</v>
      </c>
      <c r="CI12" s="407">
        <v>0</v>
      </c>
      <c r="CJ12" s="407">
        <v>0.01</v>
      </c>
      <c r="CK12" s="407">
        <v>0</v>
      </c>
      <c r="CL12" s="411">
        <v>0.01</v>
      </c>
    </row>
    <row r="13" spans="2:90" ht="15.75" customHeight="1" x14ac:dyDescent="0.3">
      <c r="B13" s="223"/>
      <c r="C13" s="257" t="s">
        <v>388</v>
      </c>
      <c r="D13" s="258">
        <v>160000</v>
      </c>
      <c r="E13" s="258">
        <v>45000</v>
      </c>
      <c r="F13" s="258">
        <v>25000</v>
      </c>
      <c r="G13" s="258">
        <v>35000</v>
      </c>
      <c r="H13" s="258">
        <v>35000</v>
      </c>
      <c r="I13" s="258">
        <v>60000</v>
      </c>
      <c r="J13" s="258">
        <v>40000</v>
      </c>
      <c r="K13" s="253">
        <v>120000</v>
      </c>
      <c r="L13" s="224"/>
      <c r="M13" s="162"/>
      <c r="N13" s="223"/>
      <c r="O13" s="244" t="s">
        <v>236</v>
      </c>
      <c r="P13" s="224"/>
      <c r="Q13" s="162"/>
      <c r="R13" s="223"/>
      <c r="S13" s="257" t="s">
        <v>67</v>
      </c>
      <c r="T13" s="427">
        <v>18000</v>
      </c>
      <c r="U13" s="427">
        <v>12500</v>
      </c>
      <c r="V13" s="263">
        <v>0</v>
      </c>
      <c r="W13" s="322">
        <v>2500</v>
      </c>
      <c r="X13" s="322">
        <v>12000</v>
      </c>
      <c r="Y13" s="322">
        <v>25000</v>
      </c>
      <c r="Z13" s="322">
        <v>10000</v>
      </c>
      <c r="AA13" s="326">
        <v>25000</v>
      </c>
      <c r="AB13" s="224"/>
      <c r="AC13" s="162"/>
      <c r="AD13" s="223"/>
      <c r="AE13" s="244" t="s">
        <v>236</v>
      </c>
      <c r="AF13" s="224"/>
      <c r="AH13" s="223"/>
      <c r="AI13" s="257" t="s">
        <v>388</v>
      </c>
      <c r="AJ13" s="258">
        <v>25</v>
      </c>
      <c r="AK13" s="258">
        <v>25</v>
      </c>
      <c r="AL13" s="258">
        <v>8.35</v>
      </c>
      <c r="AM13" s="322">
        <v>25</v>
      </c>
      <c r="AN13" s="322">
        <v>5</v>
      </c>
      <c r="AO13" s="258">
        <v>96</v>
      </c>
      <c r="AP13" s="349">
        <v>0.8</v>
      </c>
      <c r="AQ13" s="322">
        <v>12</v>
      </c>
      <c r="AR13" s="262">
        <v>52</v>
      </c>
      <c r="AS13" s="320">
        <v>12</v>
      </c>
      <c r="AT13" s="224"/>
      <c r="AU13" s="162"/>
      <c r="AV13" s="223"/>
      <c r="AW13" s="244" t="s">
        <v>236</v>
      </c>
      <c r="AX13" s="224"/>
      <c r="AZ13" s="223"/>
      <c r="BA13" s="252" t="s">
        <v>388</v>
      </c>
      <c r="BB13" s="249" t="s">
        <v>80</v>
      </c>
      <c r="BC13" s="249" t="s">
        <v>81</v>
      </c>
      <c r="BD13" s="249" t="s">
        <v>80</v>
      </c>
      <c r="BE13" s="249" t="s">
        <v>80</v>
      </c>
      <c r="BF13" s="249" t="s">
        <v>81</v>
      </c>
      <c r="BG13" s="249" t="s">
        <v>81</v>
      </c>
      <c r="BH13" s="249" t="s">
        <v>80</v>
      </c>
      <c r="BI13" s="249" t="s">
        <v>81</v>
      </c>
      <c r="BJ13" s="249" t="s">
        <v>81</v>
      </c>
      <c r="BK13" s="249" t="s">
        <v>80</v>
      </c>
      <c r="BL13" s="224"/>
      <c r="BN13" s="223"/>
      <c r="BO13" s="257" t="s">
        <v>388</v>
      </c>
      <c r="BP13" s="258">
        <v>1</v>
      </c>
      <c r="BQ13" s="258">
        <v>2</v>
      </c>
      <c r="BR13" s="258">
        <v>1</v>
      </c>
      <c r="BS13" s="322">
        <v>2</v>
      </c>
      <c r="BT13" s="258">
        <v>2</v>
      </c>
      <c r="BU13" s="258">
        <v>3</v>
      </c>
      <c r="BV13" s="258">
        <v>0</v>
      </c>
      <c r="BW13" s="258">
        <v>1</v>
      </c>
      <c r="BX13" s="262">
        <v>1</v>
      </c>
      <c r="BY13" s="262">
        <v>1</v>
      </c>
      <c r="BZ13" s="224"/>
      <c r="CB13" s="223"/>
      <c r="CC13" s="1020"/>
      <c r="CD13" s="224"/>
      <c r="CF13" s="404" t="s">
        <v>459</v>
      </c>
      <c r="CG13" s="408">
        <v>0.02</v>
      </c>
      <c r="CH13" s="405">
        <v>0.03</v>
      </c>
      <c r="CI13" s="405">
        <v>0.01</v>
      </c>
      <c r="CJ13" s="405">
        <v>0.01</v>
      </c>
      <c r="CK13" s="405">
        <v>0.01</v>
      </c>
      <c r="CL13" s="410">
        <v>0.01</v>
      </c>
    </row>
    <row r="14" spans="2:90" x14ac:dyDescent="0.3">
      <c r="B14" s="223"/>
      <c r="C14" s="257" t="s">
        <v>129</v>
      </c>
      <c r="D14" s="258">
        <v>85000</v>
      </c>
      <c r="E14" s="258">
        <v>30000</v>
      </c>
      <c r="F14" s="258">
        <v>15000</v>
      </c>
      <c r="G14" s="258">
        <v>15000</v>
      </c>
      <c r="H14" s="258">
        <v>25000</v>
      </c>
      <c r="I14" s="258">
        <v>15000</v>
      </c>
      <c r="J14" s="258">
        <v>30000</v>
      </c>
      <c r="K14" s="253">
        <v>20000</v>
      </c>
      <c r="L14" s="224"/>
      <c r="M14" s="162"/>
      <c r="N14" s="223"/>
      <c r="O14" s="1020"/>
      <c r="P14" s="224"/>
      <c r="Q14" s="162"/>
      <c r="R14" s="223"/>
      <c r="S14" s="254" t="s">
        <v>68</v>
      </c>
      <c r="T14" s="322">
        <v>18000</v>
      </c>
      <c r="U14" s="322">
        <v>12500</v>
      </c>
      <c r="V14" s="255">
        <v>0</v>
      </c>
      <c r="W14" s="322">
        <v>2500</v>
      </c>
      <c r="X14" s="322">
        <v>12000</v>
      </c>
      <c r="Y14" s="322">
        <v>25000</v>
      </c>
      <c r="Z14" s="322">
        <v>10000</v>
      </c>
      <c r="AA14" s="326">
        <v>25000</v>
      </c>
      <c r="AB14" s="224"/>
      <c r="AC14" s="162"/>
      <c r="AD14" s="223"/>
      <c r="AE14" s="1022" t="s">
        <v>384</v>
      </c>
      <c r="AF14" s="224"/>
      <c r="AH14" s="223"/>
      <c r="AI14" s="257" t="s">
        <v>129</v>
      </c>
      <c r="AJ14" s="258">
        <v>18</v>
      </c>
      <c r="AK14" s="258">
        <v>26</v>
      </c>
      <c r="AL14" s="258">
        <v>6.3</v>
      </c>
      <c r="AM14" s="322">
        <v>20</v>
      </c>
      <c r="AN14" s="322">
        <v>3</v>
      </c>
      <c r="AO14" s="258">
        <v>52.5</v>
      </c>
      <c r="AP14" s="349">
        <v>0.4</v>
      </c>
      <c r="AQ14" s="349">
        <v>9</v>
      </c>
      <c r="AR14" s="262">
        <v>31.7</v>
      </c>
      <c r="AS14" s="263">
        <v>5.5</v>
      </c>
      <c r="AT14" s="224"/>
      <c r="AU14" s="162"/>
      <c r="AV14" s="223"/>
      <c r="AW14" s="1020"/>
      <c r="AX14" s="224"/>
      <c r="AZ14" s="223"/>
      <c r="BA14" s="252" t="s">
        <v>129</v>
      </c>
      <c r="BB14" s="249" t="s">
        <v>80</v>
      </c>
      <c r="BC14" s="249" t="s">
        <v>81</v>
      </c>
      <c r="BD14" s="249" t="s">
        <v>80</v>
      </c>
      <c r="BE14" s="249" t="s">
        <v>80</v>
      </c>
      <c r="BF14" s="251" t="s">
        <v>81</v>
      </c>
      <c r="BG14" s="251" t="s">
        <v>81</v>
      </c>
      <c r="BH14" s="249" t="s">
        <v>80</v>
      </c>
      <c r="BI14" s="251" t="s">
        <v>81</v>
      </c>
      <c r="BJ14" s="251" t="s">
        <v>81</v>
      </c>
      <c r="BK14" s="249" t="s">
        <v>80</v>
      </c>
      <c r="BL14" s="224"/>
      <c r="BN14" s="223"/>
      <c r="BO14" s="254" t="s">
        <v>57</v>
      </c>
      <c r="BP14" s="255">
        <v>1</v>
      </c>
      <c r="BQ14" s="255">
        <v>1</v>
      </c>
      <c r="BR14" s="255">
        <v>1</v>
      </c>
      <c r="BS14" s="255">
        <v>0</v>
      </c>
      <c r="BT14" s="255">
        <v>2</v>
      </c>
      <c r="BU14" s="255">
        <v>3</v>
      </c>
      <c r="BV14" s="255">
        <v>0</v>
      </c>
      <c r="BW14" s="255">
        <v>1</v>
      </c>
      <c r="BX14" s="262">
        <v>1</v>
      </c>
      <c r="BY14" s="262">
        <v>1</v>
      </c>
      <c r="BZ14" s="224"/>
      <c r="CB14" s="223"/>
      <c r="CC14" s="1020"/>
      <c r="CD14" s="224"/>
      <c r="CF14" s="406">
        <v>8</v>
      </c>
      <c r="CG14" s="409">
        <v>0.02</v>
      </c>
      <c r="CH14" s="407">
        <v>0.04</v>
      </c>
      <c r="CI14" s="407">
        <v>0.01</v>
      </c>
      <c r="CJ14" s="407">
        <v>0.01</v>
      </c>
      <c r="CK14" s="407">
        <v>0.01</v>
      </c>
      <c r="CL14" s="411">
        <v>0.01</v>
      </c>
    </row>
    <row r="15" spans="2:90" x14ac:dyDescent="0.3">
      <c r="B15" s="223"/>
      <c r="C15" s="254" t="s">
        <v>130</v>
      </c>
      <c r="D15" s="255">
        <v>85000</v>
      </c>
      <c r="E15" s="255">
        <v>30000</v>
      </c>
      <c r="F15" s="255">
        <v>15000</v>
      </c>
      <c r="G15" s="255">
        <v>15000</v>
      </c>
      <c r="H15" s="255">
        <v>25000</v>
      </c>
      <c r="I15" s="255">
        <v>15000</v>
      </c>
      <c r="J15" s="255">
        <v>30000</v>
      </c>
      <c r="K15" s="256">
        <v>20000</v>
      </c>
      <c r="L15" s="224"/>
      <c r="M15" s="162"/>
      <c r="N15" s="223"/>
      <c r="O15" s="1020"/>
      <c r="P15" s="224"/>
      <c r="Q15" s="162"/>
      <c r="R15" s="223"/>
      <c r="S15" s="254" t="s">
        <v>447</v>
      </c>
      <c r="T15" s="255">
        <v>18000</v>
      </c>
      <c r="U15" s="255">
        <v>12500</v>
      </c>
      <c r="V15" s="255">
        <v>0</v>
      </c>
      <c r="W15" s="323">
        <v>2500</v>
      </c>
      <c r="X15" s="255">
        <v>12000</v>
      </c>
      <c r="Y15" s="323">
        <v>25000</v>
      </c>
      <c r="Z15" s="255">
        <v>10000</v>
      </c>
      <c r="AA15" s="256">
        <v>25000</v>
      </c>
      <c r="AB15" s="224"/>
      <c r="AC15" s="162"/>
      <c r="AD15" s="223"/>
      <c r="AE15" s="1022"/>
      <c r="AF15" s="224"/>
      <c r="AH15" s="223"/>
      <c r="AI15" s="254" t="s">
        <v>130</v>
      </c>
      <c r="AJ15" s="255">
        <v>18</v>
      </c>
      <c r="AK15" s="255">
        <v>26</v>
      </c>
      <c r="AL15" s="255">
        <v>6.3</v>
      </c>
      <c r="AM15" s="322">
        <v>20</v>
      </c>
      <c r="AN15" s="322">
        <v>3</v>
      </c>
      <c r="AO15" s="255">
        <v>65</v>
      </c>
      <c r="AP15" s="349">
        <v>0.4</v>
      </c>
      <c r="AQ15" s="349">
        <v>9</v>
      </c>
      <c r="AR15" s="262">
        <v>33.4</v>
      </c>
      <c r="AS15" s="262">
        <v>5.9</v>
      </c>
      <c r="AT15" s="224"/>
      <c r="AU15" s="162"/>
      <c r="AV15" s="223"/>
      <c r="AW15" s="1020"/>
      <c r="AX15" s="224"/>
      <c r="AZ15" s="223"/>
      <c r="BA15" s="250" t="s">
        <v>130</v>
      </c>
      <c r="BB15" s="251" t="s">
        <v>80</v>
      </c>
      <c r="BC15" s="251" t="s">
        <v>81</v>
      </c>
      <c r="BD15" s="251" t="s">
        <v>80</v>
      </c>
      <c r="BE15" s="251" t="s">
        <v>80</v>
      </c>
      <c r="BF15" s="249" t="s">
        <v>81</v>
      </c>
      <c r="BG15" s="249" t="s">
        <v>81</v>
      </c>
      <c r="BH15" s="251" t="s">
        <v>80</v>
      </c>
      <c r="BI15" s="249" t="s">
        <v>81</v>
      </c>
      <c r="BJ15" s="249" t="s">
        <v>81</v>
      </c>
      <c r="BK15" s="251" t="s">
        <v>80</v>
      </c>
      <c r="BL15" s="224"/>
      <c r="BN15" s="223"/>
      <c r="BO15" s="257" t="s">
        <v>73</v>
      </c>
      <c r="BP15" s="258">
        <v>1</v>
      </c>
      <c r="BQ15" s="258">
        <v>1</v>
      </c>
      <c r="BR15" s="258">
        <v>1</v>
      </c>
      <c r="BS15" s="258">
        <v>0</v>
      </c>
      <c r="BT15" s="258">
        <v>2</v>
      </c>
      <c r="BU15" s="258">
        <v>3</v>
      </c>
      <c r="BV15" s="258">
        <v>0</v>
      </c>
      <c r="BW15" s="258">
        <v>1</v>
      </c>
      <c r="BX15" s="262">
        <v>1</v>
      </c>
      <c r="BY15" s="262">
        <v>1</v>
      </c>
      <c r="BZ15" s="224"/>
      <c r="CB15" s="223"/>
      <c r="CC15" s="1020"/>
      <c r="CD15" s="224"/>
      <c r="CF15" s="404" t="s">
        <v>460</v>
      </c>
      <c r="CG15" s="408">
        <v>0.03</v>
      </c>
      <c r="CH15" s="405">
        <v>0.04</v>
      </c>
      <c r="CI15" s="405">
        <v>0.01</v>
      </c>
      <c r="CJ15" s="405">
        <v>0.01</v>
      </c>
      <c r="CK15" s="405">
        <v>0.01</v>
      </c>
      <c r="CL15" s="410">
        <v>0.01</v>
      </c>
    </row>
    <row r="16" spans="2:90" x14ac:dyDescent="0.3">
      <c r="B16" s="223"/>
      <c r="C16" s="254" t="s">
        <v>126</v>
      </c>
      <c r="D16" s="255">
        <v>85000</v>
      </c>
      <c r="E16" s="255">
        <v>30000</v>
      </c>
      <c r="F16" s="255">
        <v>15000</v>
      </c>
      <c r="G16" s="255">
        <v>15000</v>
      </c>
      <c r="H16" s="255">
        <v>25000</v>
      </c>
      <c r="I16" s="255">
        <v>15000</v>
      </c>
      <c r="J16" s="255">
        <v>30000</v>
      </c>
      <c r="K16" s="256">
        <v>20000</v>
      </c>
      <c r="L16" s="224"/>
      <c r="M16" s="162"/>
      <c r="N16" s="223"/>
      <c r="O16" s="1020"/>
      <c r="P16" s="224"/>
      <c r="Q16" s="162"/>
      <c r="R16" s="223"/>
      <c r="S16" s="257" t="s">
        <v>55</v>
      </c>
      <c r="T16" s="423">
        <v>18000</v>
      </c>
      <c r="U16" s="429">
        <v>11000</v>
      </c>
      <c r="V16" s="430">
        <v>0</v>
      </c>
      <c r="W16" s="322">
        <v>11000</v>
      </c>
      <c r="X16" s="322">
        <v>12000</v>
      </c>
      <c r="Y16" s="322">
        <v>25000</v>
      </c>
      <c r="Z16" s="309">
        <v>9000</v>
      </c>
      <c r="AA16" s="310">
        <v>20000</v>
      </c>
      <c r="AB16" s="224"/>
      <c r="AC16" s="162"/>
      <c r="AD16" s="223"/>
      <c r="AE16" s="1022"/>
      <c r="AF16" s="224"/>
      <c r="AH16" s="223"/>
      <c r="AI16" s="254" t="s">
        <v>126</v>
      </c>
      <c r="AJ16" s="255">
        <v>18</v>
      </c>
      <c r="AK16" s="255">
        <v>26</v>
      </c>
      <c r="AL16" s="255">
        <v>6.3</v>
      </c>
      <c r="AM16" s="322">
        <v>20</v>
      </c>
      <c r="AN16" s="322">
        <v>3</v>
      </c>
      <c r="AO16" s="255">
        <v>56</v>
      </c>
      <c r="AP16" s="349">
        <v>0.4</v>
      </c>
      <c r="AQ16" s="349">
        <v>9</v>
      </c>
      <c r="AR16" s="262">
        <v>31</v>
      </c>
      <c r="AS16" s="262">
        <v>5.5</v>
      </c>
      <c r="AT16" s="224"/>
      <c r="AU16" s="162"/>
      <c r="AV16" s="223"/>
      <c r="AW16" s="1020"/>
      <c r="AX16" s="224"/>
      <c r="AZ16" s="223"/>
      <c r="BA16" s="250" t="s">
        <v>126</v>
      </c>
      <c r="BB16" s="251" t="s">
        <v>80</v>
      </c>
      <c r="BC16" s="251" t="s">
        <v>81</v>
      </c>
      <c r="BD16" s="251" t="s">
        <v>80</v>
      </c>
      <c r="BE16" s="251" t="s">
        <v>80</v>
      </c>
      <c r="BF16" s="251" t="s">
        <v>81</v>
      </c>
      <c r="BG16" s="251" t="s">
        <v>81</v>
      </c>
      <c r="BH16" s="251" t="s">
        <v>80</v>
      </c>
      <c r="BI16" s="251" t="s">
        <v>81</v>
      </c>
      <c r="BJ16" s="251" t="s">
        <v>81</v>
      </c>
      <c r="BK16" s="251" t="s">
        <v>80</v>
      </c>
      <c r="BL16" s="224"/>
      <c r="BN16" s="223"/>
      <c r="BO16" s="254" t="s">
        <v>64</v>
      </c>
      <c r="BP16" s="323">
        <v>2</v>
      </c>
      <c r="BQ16" s="323">
        <v>3</v>
      </c>
      <c r="BR16" s="323">
        <v>1</v>
      </c>
      <c r="BS16" s="323">
        <v>0</v>
      </c>
      <c r="BT16" s="255">
        <v>2</v>
      </c>
      <c r="BU16" s="255">
        <v>3</v>
      </c>
      <c r="BV16" s="255">
        <v>0</v>
      </c>
      <c r="BW16" s="255">
        <v>1</v>
      </c>
      <c r="BX16" s="262">
        <v>1</v>
      </c>
      <c r="BY16" s="262">
        <v>1</v>
      </c>
      <c r="BZ16" s="224"/>
      <c r="CB16" s="223"/>
      <c r="CC16" s="1020"/>
      <c r="CD16" s="224"/>
      <c r="CF16" s="406" t="s">
        <v>461</v>
      </c>
      <c r="CG16" s="409">
        <v>0.03</v>
      </c>
      <c r="CH16" s="407">
        <v>0.05</v>
      </c>
      <c r="CI16" s="407">
        <v>0.01</v>
      </c>
      <c r="CJ16" s="407">
        <v>0.01</v>
      </c>
      <c r="CK16" s="407">
        <v>0.01</v>
      </c>
      <c r="CL16" s="411">
        <v>0.01</v>
      </c>
    </row>
    <row r="17" spans="2:90" x14ac:dyDescent="0.3">
      <c r="B17" s="223"/>
      <c r="C17" s="254" t="s">
        <v>127</v>
      </c>
      <c r="D17" s="255">
        <v>85000</v>
      </c>
      <c r="E17" s="255">
        <v>30000</v>
      </c>
      <c r="F17" s="255">
        <v>15000</v>
      </c>
      <c r="G17" s="255">
        <v>15000</v>
      </c>
      <c r="H17" s="255">
        <v>25000</v>
      </c>
      <c r="I17" s="255">
        <v>15000</v>
      </c>
      <c r="J17" s="255">
        <v>30000</v>
      </c>
      <c r="K17" s="256">
        <v>20000</v>
      </c>
      <c r="L17" s="224"/>
      <c r="M17" s="162"/>
      <c r="N17" s="223"/>
      <c r="O17" s="1020"/>
      <c r="P17" s="224"/>
      <c r="Q17" s="162"/>
      <c r="R17" s="223"/>
      <c r="S17" s="254" t="s">
        <v>387</v>
      </c>
      <c r="T17" s="423">
        <v>18000</v>
      </c>
      <c r="U17" s="429">
        <v>11000</v>
      </c>
      <c r="V17" s="430">
        <v>0</v>
      </c>
      <c r="W17" s="322">
        <v>11000</v>
      </c>
      <c r="X17" s="322">
        <v>12000</v>
      </c>
      <c r="Y17" s="322">
        <v>25000</v>
      </c>
      <c r="Z17" s="309">
        <v>9000</v>
      </c>
      <c r="AA17" s="310">
        <v>20000</v>
      </c>
      <c r="AB17" s="224"/>
      <c r="AC17" s="162"/>
      <c r="AD17" s="223"/>
      <c r="AE17" s="1022"/>
      <c r="AF17" s="224"/>
      <c r="AH17" s="223"/>
      <c r="AI17" s="254" t="s">
        <v>127</v>
      </c>
      <c r="AJ17" s="255">
        <v>18</v>
      </c>
      <c r="AK17" s="255">
        <v>26</v>
      </c>
      <c r="AL17" s="255">
        <v>6.3</v>
      </c>
      <c r="AM17" s="322">
        <v>20</v>
      </c>
      <c r="AN17" s="322">
        <v>3</v>
      </c>
      <c r="AO17" s="255">
        <v>56</v>
      </c>
      <c r="AP17" s="349">
        <v>0.4</v>
      </c>
      <c r="AQ17" s="349">
        <v>9</v>
      </c>
      <c r="AR17" s="262">
        <v>31.5</v>
      </c>
      <c r="AS17" s="262">
        <v>5.5</v>
      </c>
      <c r="AT17" s="224"/>
      <c r="AU17" s="162"/>
      <c r="AV17" s="223"/>
      <c r="AW17" s="1020"/>
      <c r="AX17" s="224"/>
      <c r="AZ17" s="223"/>
      <c r="BA17" s="250" t="s">
        <v>127</v>
      </c>
      <c r="BB17" s="251" t="s">
        <v>80</v>
      </c>
      <c r="BC17" s="251" t="s">
        <v>81</v>
      </c>
      <c r="BD17" s="251" t="s">
        <v>80</v>
      </c>
      <c r="BE17" s="251" t="s">
        <v>80</v>
      </c>
      <c r="BF17" s="249" t="s">
        <v>81</v>
      </c>
      <c r="BG17" s="249" t="s">
        <v>81</v>
      </c>
      <c r="BH17" s="251" t="s">
        <v>80</v>
      </c>
      <c r="BI17" s="249" t="s">
        <v>81</v>
      </c>
      <c r="BJ17" s="249" t="s">
        <v>81</v>
      </c>
      <c r="BK17" s="251" t="s">
        <v>80</v>
      </c>
      <c r="BL17" s="224"/>
      <c r="BN17" s="223"/>
      <c r="BO17" s="257" t="s">
        <v>65</v>
      </c>
      <c r="BP17" s="322">
        <v>2</v>
      </c>
      <c r="BQ17" s="322">
        <v>3</v>
      </c>
      <c r="BR17" s="322">
        <v>1</v>
      </c>
      <c r="BS17" s="322">
        <v>0</v>
      </c>
      <c r="BT17" s="258">
        <v>2</v>
      </c>
      <c r="BU17" s="258">
        <v>3</v>
      </c>
      <c r="BV17" s="258">
        <v>0</v>
      </c>
      <c r="BW17" s="258">
        <v>1</v>
      </c>
      <c r="BX17" s="262">
        <v>1</v>
      </c>
      <c r="BY17" s="262">
        <v>1</v>
      </c>
      <c r="BZ17" s="224"/>
      <c r="CB17" s="223"/>
      <c r="CC17" s="1020"/>
      <c r="CD17" s="224"/>
      <c r="CF17" s="404">
        <v>11</v>
      </c>
      <c r="CG17" s="408">
        <v>0.04</v>
      </c>
      <c r="CH17" s="405">
        <v>0.05</v>
      </c>
      <c r="CI17" s="405">
        <v>0.01</v>
      </c>
      <c r="CJ17" s="405">
        <v>0.02</v>
      </c>
      <c r="CK17" s="405">
        <v>0.01</v>
      </c>
      <c r="CL17" s="410">
        <v>0.02</v>
      </c>
    </row>
    <row r="18" spans="2:90" x14ac:dyDescent="0.3">
      <c r="B18" s="223"/>
      <c r="C18" s="254" t="s">
        <v>58</v>
      </c>
      <c r="D18" s="255">
        <v>135000</v>
      </c>
      <c r="E18" s="255">
        <v>45000</v>
      </c>
      <c r="F18" s="255">
        <v>25000</v>
      </c>
      <c r="G18" s="255">
        <v>20000</v>
      </c>
      <c r="H18" s="255">
        <v>25000</v>
      </c>
      <c r="I18" s="255">
        <v>30000</v>
      </c>
      <c r="J18" s="255">
        <v>40000</v>
      </c>
      <c r="K18" s="256">
        <v>40000</v>
      </c>
      <c r="L18" s="224"/>
      <c r="M18" s="162"/>
      <c r="N18" s="223"/>
      <c r="O18" s="1020"/>
      <c r="P18" s="224"/>
      <c r="Q18" s="162"/>
      <c r="R18" s="223"/>
      <c r="S18" s="254" t="s">
        <v>385</v>
      </c>
      <c r="T18" s="423">
        <v>18000</v>
      </c>
      <c r="U18" s="429">
        <v>11000</v>
      </c>
      <c r="V18" s="430">
        <v>0</v>
      </c>
      <c r="W18" s="322">
        <v>11000</v>
      </c>
      <c r="X18" s="322">
        <v>12000</v>
      </c>
      <c r="Y18" s="322">
        <v>25000</v>
      </c>
      <c r="Z18" s="309">
        <v>9000</v>
      </c>
      <c r="AA18" s="310">
        <v>20000</v>
      </c>
      <c r="AB18" s="224"/>
      <c r="AC18" s="162"/>
      <c r="AD18" s="223"/>
      <c r="AE18" s="1022"/>
      <c r="AF18" s="224"/>
      <c r="AH18" s="223"/>
      <c r="AI18" s="254" t="s">
        <v>58</v>
      </c>
      <c r="AJ18" s="255">
        <v>24</v>
      </c>
      <c r="AK18" s="255">
        <v>39.5</v>
      </c>
      <c r="AL18" s="255">
        <v>10</v>
      </c>
      <c r="AM18" s="323">
        <v>25</v>
      </c>
      <c r="AN18" s="323">
        <v>5</v>
      </c>
      <c r="AO18" s="255">
        <v>72.5</v>
      </c>
      <c r="AP18" s="323">
        <v>2</v>
      </c>
      <c r="AQ18" s="323">
        <v>15</v>
      </c>
      <c r="AR18" s="262">
        <v>43</v>
      </c>
      <c r="AS18" s="262">
        <v>8.5</v>
      </c>
      <c r="AT18" s="224"/>
      <c r="AU18" s="162"/>
      <c r="AV18" s="223"/>
      <c r="AW18" s="1020"/>
      <c r="AX18" s="224"/>
      <c r="AZ18" s="223"/>
      <c r="BA18" s="250" t="s">
        <v>58</v>
      </c>
      <c r="BB18" s="251" t="s">
        <v>80</v>
      </c>
      <c r="BC18" s="251" t="s">
        <v>81</v>
      </c>
      <c r="BD18" s="251" t="s">
        <v>80</v>
      </c>
      <c r="BE18" s="251" t="s">
        <v>80</v>
      </c>
      <c r="BF18" s="251" t="s">
        <v>81</v>
      </c>
      <c r="BG18" s="251" t="s">
        <v>81</v>
      </c>
      <c r="BH18" s="251" t="s">
        <v>80</v>
      </c>
      <c r="BI18" s="251" t="s">
        <v>81</v>
      </c>
      <c r="BJ18" s="251" t="s">
        <v>81</v>
      </c>
      <c r="BK18" s="251" t="s">
        <v>80</v>
      </c>
      <c r="BL18" s="224"/>
      <c r="BN18" s="223"/>
      <c r="BO18" s="254" t="s">
        <v>66</v>
      </c>
      <c r="BP18" s="323">
        <v>2</v>
      </c>
      <c r="BQ18" s="323">
        <v>3</v>
      </c>
      <c r="BR18" s="323">
        <v>1</v>
      </c>
      <c r="BS18" s="323">
        <v>0</v>
      </c>
      <c r="BT18" s="255">
        <v>2</v>
      </c>
      <c r="BU18" s="255">
        <v>3</v>
      </c>
      <c r="BV18" s="255">
        <v>0</v>
      </c>
      <c r="BW18" s="255">
        <v>1</v>
      </c>
      <c r="BX18" s="262">
        <v>1</v>
      </c>
      <c r="BY18" s="262">
        <v>1</v>
      </c>
      <c r="BZ18" s="224"/>
      <c r="CB18" s="223"/>
      <c r="CC18" s="1020"/>
      <c r="CD18" s="224"/>
      <c r="CF18" s="406" t="s">
        <v>462</v>
      </c>
      <c r="CG18" s="409">
        <v>0.04</v>
      </c>
      <c r="CH18" s="407">
        <v>0.06</v>
      </c>
      <c r="CI18" s="407">
        <v>0.02</v>
      </c>
      <c r="CJ18" s="407">
        <v>0.02</v>
      </c>
      <c r="CK18" s="407">
        <v>0.02</v>
      </c>
      <c r="CL18" s="411">
        <v>0.02</v>
      </c>
    </row>
    <row r="19" spans="2:90" x14ac:dyDescent="0.3">
      <c r="B19" s="223"/>
      <c r="C19" s="257" t="s">
        <v>52</v>
      </c>
      <c r="D19" s="258">
        <v>135000</v>
      </c>
      <c r="E19" s="258">
        <v>45000</v>
      </c>
      <c r="F19" s="258">
        <v>20000</v>
      </c>
      <c r="G19" s="258">
        <v>20000</v>
      </c>
      <c r="H19" s="258">
        <v>25000</v>
      </c>
      <c r="I19" s="258">
        <v>30000</v>
      </c>
      <c r="J19" s="258">
        <v>30000</v>
      </c>
      <c r="K19" s="253">
        <v>40000</v>
      </c>
      <c r="L19" s="224"/>
      <c r="M19" s="162"/>
      <c r="N19" s="223"/>
      <c r="O19" s="1020"/>
      <c r="P19" s="224"/>
      <c r="Q19" s="162"/>
      <c r="R19" s="223"/>
      <c r="S19" s="254" t="s">
        <v>386</v>
      </c>
      <c r="T19" s="423">
        <v>18000</v>
      </c>
      <c r="U19" s="429">
        <v>11000</v>
      </c>
      <c r="V19" s="274">
        <v>0</v>
      </c>
      <c r="W19" s="322">
        <v>11000</v>
      </c>
      <c r="X19" s="322">
        <v>12000</v>
      </c>
      <c r="Y19" s="322">
        <v>25000</v>
      </c>
      <c r="Z19" s="309">
        <v>9000</v>
      </c>
      <c r="AA19" s="310">
        <v>20000</v>
      </c>
      <c r="AB19" s="224"/>
      <c r="AC19" s="162"/>
      <c r="AD19" s="223"/>
      <c r="AE19" s="1022"/>
      <c r="AF19" s="224"/>
      <c r="AH19" s="223"/>
      <c r="AI19" s="257" t="s">
        <v>52</v>
      </c>
      <c r="AJ19" s="258">
        <v>24</v>
      </c>
      <c r="AK19" s="258">
        <v>37.5</v>
      </c>
      <c r="AL19" s="258">
        <v>7</v>
      </c>
      <c r="AM19" s="322">
        <v>22</v>
      </c>
      <c r="AN19" s="322">
        <v>4</v>
      </c>
      <c r="AO19" s="258">
        <v>69</v>
      </c>
      <c r="AP19" s="322">
        <v>2</v>
      </c>
      <c r="AQ19" s="323">
        <v>15</v>
      </c>
      <c r="AR19" s="262">
        <v>36.4</v>
      </c>
      <c r="AS19" s="262">
        <v>6.4</v>
      </c>
      <c r="AT19" s="224"/>
      <c r="AU19" s="162"/>
      <c r="AV19" s="223"/>
      <c r="AW19" s="1020"/>
      <c r="AX19" s="224"/>
      <c r="AZ19" s="223"/>
      <c r="BA19" s="252" t="s">
        <v>52</v>
      </c>
      <c r="BB19" s="249" t="s">
        <v>80</v>
      </c>
      <c r="BC19" s="249" t="s">
        <v>81</v>
      </c>
      <c r="BD19" s="249" t="s">
        <v>80</v>
      </c>
      <c r="BE19" s="249" t="s">
        <v>80</v>
      </c>
      <c r="BF19" s="249" t="s">
        <v>81</v>
      </c>
      <c r="BG19" s="249" t="s">
        <v>81</v>
      </c>
      <c r="BH19" s="249" t="s">
        <v>80</v>
      </c>
      <c r="BI19" s="249" t="s">
        <v>81</v>
      </c>
      <c r="BJ19" s="249" t="s">
        <v>81</v>
      </c>
      <c r="BK19" s="249" t="s">
        <v>80</v>
      </c>
      <c r="BL19" s="224"/>
      <c r="BN19" s="223"/>
      <c r="BO19" s="257" t="s">
        <v>67</v>
      </c>
      <c r="BP19" s="322">
        <v>2</v>
      </c>
      <c r="BQ19" s="322">
        <v>3</v>
      </c>
      <c r="BR19" s="322">
        <v>1</v>
      </c>
      <c r="BS19" s="322">
        <v>0</v>
      </c>
      <c r="BT19" s="258">
        <v>2</v>
      </c>
      <c r="BU19" s="258">
        <v>3</v>
      </c>
      <c r="BV19" s="258">
        <v>0</v>
      </c>
      <c r="BW19" s="258">
        <v>1</v>
      </c>
      <c r="BX19" s="262">
        <v>1</v>
      </c>
      <c r="BY19" s="262">
        <v>1</v>
      </c>
      <c r="BZ19" s="224"/>
      <c r="CB19" s="223"/>
      <c r="CC19" s="1020"/>
      <c r="CD19" s="224"/>
      <c r="CF19" s="404" t="s">
        <v>463</v>
      </c>
      <c r="CG19" s="408">
        <v>0.04</v>
      </c>
      <c r="CH19" s="405">
        <v>0.06</v>
      </c>
      <c r="CI19" s="405">
        <v>0.02</v>
      </c>
      <c r="CJ19" s="405">
        <v>0.02</v>
      </c>
      <c r="CK19" s="405">
        <v>0.02</v>
      </c>
      <c r="CL19" s="410">
        <v>0.02</v>
      </c>
    </row>
    <row r="20" spans="2:90" x14ac:dyDescent="0.3">
      <c r="B20" s="223"/>
      <c r="C20" s="257" t="s">
        <v>56</v>
      </c>
      <c r="D20" s="258">
        <v>135000</v>
      </c>
      <c r="E20" s="258">
        <v>45000</v>
      </c>
      <c r="F20" s="258">
        <v>20000</v>
      </c>
      <c r="G20" s="258">
        <v>20000</v>
      </c>
      <c r="H20" s="258">
        <v>25000</v>
      </c>
      <c r="I20" s="258">
        <v>30000</v>
      </c>
      <c r="J20" s="258">
        <v>30000</v>
      </c>
      <c r="K20" s="253">
        <v>40000</v>
      </c>
      <c r="L20" s="224"/>
      <c r="M20" s="162"/>
      <c r="N20" s="223"/>
      <c r="O20" s="1020"/>
      <c r="P20" s="224"/>
      <c r="Q20" s="162"/>
      <c r="R20" s="223"/>
      <c r="S20" s="257" t="s">
        <v>129</v>
      </c>
      <c r="T20" s="309">
        <v>11000</v>
      </c>
      <c r="U20" s="309">
        <v>5500</v>
      </c>
      <c r="V20" s="258">
        <v>0</v>
      </c>
      <c r="W20" s="322">
        <v>2500</v>
      </c>
      <c r="X20" s="322">
        <v>10000</v>
      </c>
      <c r="Y20" s="322">
        <v>25000</v>
      </c>
      <c r="Z20" s="322">
        <v>5000</v>
      </c>
      <c r="AA20" s="310">
        <v>16000</v>
      </c>
      <c r="AB20" s="224"/>
      <c r="AC20" s="162"/>
      <c r="AD20" s="223"/>
      <c r="AE20" s="1022"/>
      <c r="AF20" s="224"/>
      <c r="AH20" s="223"/>
      <c r="AI20" s="257" t="s">
        <v>56</v>
      </c>
      <c r="AJ20" s="258">
        <v>24</v>
      </c>
      <c r="AK20" s="258">
        <v>39.5</v>
      </c>
      <c r="AL20" s="258">
        <v>7</v>
      </c>
      <c r="AM20" s="322">
        <v>25</v>
      </c>
      <c r="AN20" s="322">
        <v>4</v>
      </c>
      <c r="AO20" s="258">
        <v>71</v>
      </c>
      <c r="AP20" s="322">
        <v>2</v>
      </c>
      <c r="AQ20" s="323">
        <v>15</v>
      </c>
      <c r="AR20" s="262">
        <v>41.3</v>
      </c>
      <c r="AS20" s="262">
        <v>8</v>
      </c>
      <c r="AT20" s="224"/>
      <c r="AU20" s="162"/>
      <c r="AV20" s="223"/>
      <c r="AW20" s="1020"/>
      <c r="AX20" s="224"/>
      <c r="AZ20" s="223"/>
      <c r="BA20" s="252" t="s">
        <v>56</v>
      </c>
      <c r="BB20" s="249" t="s">
        <v>80</v>
      </c>
      <c r="BC20" s="249" t="s">
        <v>81</v>
      </c>
      <c r="BD20" s="249" t="s">
        <v>80</v>
      </c>
      <c r="BE20" s="249" t="s">
        <v>80</v>
      </c>
      <c r="BF20" s="249" t="s">
        <v>81</v>
      </c>
      <c r="BG20" s="249" t="s">
        <v>81</v>
      </c>
      <c r="BH20" s="249" t="s">
        <v>80</v>
      </c>
      <c r="BI20" s="249" t="s">
        <v>81</v>
      </c>
      <c r="BJ20" s="251" t="s">
        <v>81</v>
      </c>
      <c r="BK20" s="249" t="s">
        <v>80</v>
      </c>
      <c r="BL20" s="224"/>
      <c r="BN20" s="223"/>
      <c r="BO20" s="254" t="s">
        <v>68</v>
      </c>
      <c r="BP20" s="323">
        <v>2</v>
      </c>
      <c r="BQ20" s="323">
        <v>3</v>
      </c>
      <c r="BR20" s="323">
        <v>1</v>
      </c>
      <c r="BS20" s="323">
        <v>0</v>
      </c>
      <c r="BT20" s="255">
        <v>2</v>
      </c>
      <c r="BU20" s="255">
        <v>3</v>
      </c>
      <c r="BV20" s="255">
        <v>0</v>
      </c>
      <c r="BW20" s="255">
        <v>1</v>
      </c>
      <c r="BX20" s="262">
        <v>1</v>
      </c>
      <c r="BY20" s="262">
        <v>1</v>
      </c>
      <c r="BZ20" s="224"/>
      <c r="CB20" s="223"/>
      <c r="CC20" s="1020"/>
      <c r="CD20" s="224"/>
      <c r="CF20" s="406">
        <v>14</v>
      </c>
      <c r="CG20" s="409">
        <v>0.04</v>
      </c>
      <c r="CH20" s="407">
        <v>7.0000000000000007E-2</v>
      </c>
      <c r="CI20" s="407">
        <v>0.02</v>
      </c>
      <c r="CJ20" s="407">
        <v>0.02</v>
      </c>
      <c r="CK20" s="407">
        <v>0.02</v>
      </c>
      <c r="CL20" s="411">
        <v>0.02</v>
      </c>
    </row>
    <row r="21" spans="2:90" x14ac:dyDescent="0.3">
      <c r="B21" s="223"/>
      <c r="C21" s="257" t="s">
        <v>72</v>
      </c>
      <c r="D21" s="258">
        <v>185000</v>
      </c>
      <c r="E21" s="258">
        <v>60000</v>
      </c>
      <c r="F21" s="258">
        <v>25000</v>
      </c>
      <c r="G21" s="258">
        <v>35000</v>
      </c>
      <c r="H21" s="258">
        <v>37500</v>
      </c>
      <c r="I21" s="258">
        <v>60000</v>
      </c>
      <c r="J21" s="258">
        <v>33000</v>
      </c>
      <c r="K21" s="253">
        <v>45000</v>
      </c>
      <c r="L21" s="224"/>
      <c r="M21" s="162"/>
      <c r="N21" s="223"/>
      <c r="O21" s="1020"/>
      <c r="P21" s="224"/>
      <c r="Q21" s="162"/>
      <c r="R21" s="223"/>
      <c r="S21" s="254" t="s">
        <v>130</v>
      </c>
      <c r="T21" s="425">
        <v>11000</v>
      </c>
      <c r="U21" s="309">
        <v>5500</v>
      </c>
      <c r="V21" s="255">
        <v>0</v>
      </c>
      <c r="W21" s="322">
        <v>2500</v>
      </c>
      <c r="X21" s="322">
        <v>10000</v>
      </c>
      <c r="Y21" s="322">
        <v>25000</v>
      </c>
      <c r="Z21" s="322">
        <v>5000</v>
      </c>
      <c r="AA21" s="425">
        <v>16000</v>
      </c>
      <c r="AB21" s="224"/>
      <c r="AC21" s="162"/>
      <c r="AD21" s="223"/>
      <c r="AE21" s="1022"/>
      <c r="AF21" s="224"/>
      <c r="AH21" s="223"/>
      <c r="AI21" s="257" t="s">
        <v>72</v>
      </c>
      <c r="AJ21" s="258">
        <v>19</v>
      </c>
      <c r="AK21" s="322">
        <v>28</v>
      </c>
      <c r="AL21" s="322">
        <v>10</v>
      </c>
      <c r="AM21" s="322">
        <v>25</v>
      </c>
      <c r="AN21" s="322">
        <v>5</v>
      </c>
      <c r="AO21" s="258">
        <v>91</v>
      </c>
      <c r="AP21" s="322">
        <v>2</v>
      </c>
      <c r="AQ21" s="323">
        <v>15</v>
      </c>
      <c r="AR21" s="262">
        <v>57</v>
      </c>
      <c r="AS21" s="320">
        <v>10</v>
      </c>
      <c r="AT21" s="224"/>
      <c r="AU21" s="162"/>
      <c r="AV21" s="223"/>
      <c r="AW21" s="1020"/>
      <c r="AX21" s="224"/>
      <c r="AZ21" s="223"/>
      <c r="BA21" s="252" t="s">
        <v>72</v>
      </c>
      <c r="BB21" s="329" t="s">
        <v>80</v>
      </c>
      <c r="BC21" s="249" t="s">
        <v>81</v>
      </c>
      <c r="BD21" s="249" t="s">
        <v>80</v>
      </c>
      <c r="BE21" s="249" t="s">
        <v>80</v>
      </c>
      <c r="BF21" s="249" t="s">
        <v>81</v>
      </c>
      <c r="BG21" s="249" t="s">
        <v>81</v>
      </c>
      <c r="BH21" s="249" t="s">
        <v>80</v>
      </c>
      <c r="BI21" s="249" t="s">
        <v>81</v>
      </c>
      <c r="BJ21" s="249" t="s">
        <v>81</v>
      </c>
      <c r="BK21" s="249" t="s">
        <v>80</v>
      </c>
      <c r="BL21" s="224"/>
      <c r="BN21" s="223"/>
      <c r="BO21" s="257" t="s">
        <v>70</v>
      </c>
      <c r="BP21" s="322">
        <v>2</v>
      </c>
      <c r="BQ21" s="322">
        <v>3</v>
      </c>
      <c r="BR21" s="322">
        <v>1</v>
      </c>
      <c r="BS21" s="258">
        <v>0</v>
      </c>
      <c r="BT21" s="258">
        <v>2</v>
      </c>
      <c r="BU21" s="258">
        <v>3</v>
      </c>
      <c r="BV21" s="258">
        <v>0</v>
      </c>
      <c r="BW21" s="258">
        <v>1</v>
      </c>
      <c r="BX21" s="262">
        <v>1</v>
      </c>
      <c r="BY21" s="262">
        <v>1</v>
      </c>
      <c r="BZ21" s="224"/>
      <c r="CB21" s="223"/>
      <c r="CC21" s="1020"/>
      <c r="CD21" s="224"/>
      <c r="CF21" s="404" t="s">
        <v>464</v>
      </c>
      <c r="CG21" s="408">
        <v>0.05</v>
      </c>
      <c r="CH21" s="405">
        <v>7.0000000000000007E-2</v>
      </c>
      <c r="CI21" s="405">
        <v>0.02</v>
      </c>
      <c r="CJ21" s="405">
        <v>0.02</v>
      </c>
      <c r="CK21" s="405">
        <v>0.02</v>
      </c>
      <c r="CL21" s="410">
        <v>0.02</v>
      </c>
    </row>
    <row r="22" spans="2:90" x14ac:dyDescent="0.3">
      <c r="B22" s="223"/>
      <c r="C22" s="254" t="s">
        <v>69</v>
      </c>
      <c r="D22" s="255">
        <v>185000</v>
      </c>
      <c r="E22" s="255">
        <v>60000</v>
      </c>
      <c r="F22" s="255">
        <v>25000</v>
      </c>
      <c r="G22" s="255">
        <v>35000</v>
      </c>
      <c r="H22" s="255">
        <v>37500</v>
      </c>
      <c r="I22" s="255">
        <v>60000</v>
      </c>
      <c r="J22" s="255">
        <v>33000</v>
      </c>
      <c r="K22" s="256">
        <v>45000</v>
      </c>
      <c r="L22" s="224"/>
      <c r="M22" s="162"/>
      <c r="N22" s="223"/>
      <c r="O22" s="1020"/>
      <c r="P22" s="224"/>
      <c r="Q22" s="162"/>
      <c r="R22" s="223"/>
      <c r="S22" s="254" t="s">
        <v>126</v>
      </c>
      <c r="T22" s="425">
        <v>11000</v>
      </c>
      <c r="U22" s="309">
        <v>5500</v>
      </c>
      <c r="V22" s="255">
        <v>0</v>
      </c>
      <c r="W22" s="322">
        <v>2500</v>
      </c>
      <c r="X22" s="322">
        <v>10000</v>
      </c>
      <c r="Y22" s="322">
        <v>25000</v>
      </c>
      <c r="Z22" s="322">
        <v>5000</v>
      </c>
      <c r="AA22" s="425">
        <v>16000</v>
      </c>
      <c r="AB22" s="224"/>
      <c r="AC22" s="162"/>
      <c r="AD22" s="223"/>
      <c r="AE22" s="1022"/>
      <c r="AF22" s="224"/>
      <c r="AH22" s="223"/>
      <c r="AI22" s="254" t="s">
        <v>69</v>
      </c>
      <c r="AJ22" s="255">
        <v>23</v>
      </c>
      <c r="AK22" s="323">
        <v>38</v>
      </c>
      <c r="AL22" s="255">
        <v>11.5</v>
      </c>
      <c r="AM22" s="323">
        <v>25</v>
      </c>
      <c r="AN22" s="323">
        <v>5</v>
      </c>
      <c r="AO22" s="255">
        <v>65</v>
      </c>
      <c r="AP22" s="323">
        <v>2</v>
      </c>
      <c r="AQ22" s="323">
        <v>15</v>
      </c>
      <c r="AR22" s="320">
        <v>65</v>
      </c>
      <c r="AS22" s="320">
        <v>15</v>
      </c>
      <c r="AT22" s="224"/>
      <c r="AU22" s="162"/>
      <c r="AV22" s="223"/>
      <c r="AW22" s="1020"/>
      <c r="AX22" s="224"/>
      <c r="AZ22" s="223"/>
      <c r="BA22" s="250" t="s">
        <v>69</v>
      </c>
      <c r="BB22" s="330" t="s">
        <v>80</v>
      </c>
      <c r="BC22" s="251" t="s">
        <v>81</v>
      </c>
      <c r="BD22" s="251" t="s">
        <v>80</v>
      </c>
      <c r="BE22" s="251" t="s">
        <v>80</v>
      </c>
      <c r="BF22" s="251" t="s">
        <v>81</v>
      </c>
      <c r="BG22" s="251" t="s">
        <v>81</v>
      </c>
      <c r="BH22" s="251" t="s">
        <v>80</v>
      </c>
      <c r="BI22" s="251" t="s">
        <v>81</v>
      </c>
      <c r="BJ22" s="251" t="s">
        <v>81</v>
      </c>
      <c r="BK22" s="251" t="s">
        <v>80</v>
      </c>
      <c r="BL22" s="224"/>
      <c r="BN22" s="223"/>
      <c r="BO22" s="254" t="s">
        <v>242</v>
      </c>
      <c r="BP22" s="255">
        <v>1</v>
      </c>
      <c r="BQ22" s="255">
        <v>1</v>
      </c>
      <c r="BR22" s="255">
        <v>1</v>
      </c>
      <c r="BS22" s="255">
        <v>0</v>
      </c>
      <c r="BT22" s="255">
        <v>2</v>
      </c>
      <c r="BU22" s="255">
        <v>3</v>
      </c>
      <c r="BV22" s="255">
        <v>0</v>
      </c>
      <c r="BW22" s="255">
        <v>1</v>
      </c>
      <c r="BX22" s="262">
        <v>1</v>
      </c>
      <c r="BY22" s="262">
        <v>1</v>
      </c>
      <c r="BZ22" s="224"/>
      <c r="CB22" s="223"/>
      <c r="CC22" s="1020"/>
      <c r="CD22" s="224"/>
      <c r="CF22" s="406" t="s">
        <v>465</v>
      </c>
      <c r="CG22" s="409">
        <v>0.05</v>
      </c>
      <c r="CH22" s="407">
        <v>0.08</v>
      </c>
      <c r="CI22" s="407">
        <v>0.02</v>
      </c>
      <c r="CJ22" s="407">
        <v>0.03</v>
      </c>
      <c r="CK22" s="407">
        <v>0.02</v>
      </c>
      <c r="CL22" s="411">
        <v>0.03</v>
      </c>
    </row>
    <row r="23" spans="2:90" x14ac:dyDescent="0.3">
      <c r="B23" s="223"/>
      <c r="C23" s="257" t="s">
        <v>70</v>
      </c>
      <c r="D23" s="258">
        <v>200000</v>
      </c>
      <c r="E23" s="258">
        <v>65000</v>
      </c>
      <c r="F23" s="258">
        <v>25000</v>
      </c>
      <c r="G23" s="258">
        <v>35000</v>
      </c>
      <c r="H23" s="258">
        <v>45000</v>
      </c>
      <c r="I23" s="258">
        <v>60000</v>
      </c>
      <c r="J23" s="258">
        <v>40000</v>
      </c>
      <c r="K23" s="253">
        <v>150000</v>
      </c>
      <c r="L23" s="224"/>
      <c r="M23" s="162"/>
      <c r="N23" s="223"/>
      <c r="O23" s="1020"/>
      <c r="P23" s="224"/>
      <c r="Q23" s="162"/>
      <c r="R23" s="223"/>
      <c r="S23" s="254" t="s">
        <v>127</v>
      </c>
      <c r="T23" s="425">
        <v>11000</v>
      </c>
      <c r="U23" s="309">
        <v>5500</v>
      </c>
      <c r="V23" s="255">
        <v>0</v>
      </c>
      <c r="W23" s="322">
        <v>2500</v>
      </c>
      <c r="X23" s="322">
        <v>10000</v>
      </c>
      <c r="Y23" s="322">
        <v>25000</v>
      </c>
      <c r="Z23" s="322">
        <v>5000</v>
      </c>
      <c r="AA23" s="425">
        <v>16000</v>
      </c>
      <c r="AB23" s="224"/>
      <c r="AC23" s="162"/>
      <c r="AD23" s="223"/>
      <c r="AE23" s="1022"/>
      <c r="AF23" s="224"/>
      <c r="AH23" s="223"/>
      <c r="AI23" s="264" t="s">
        <v>70</v>
      </c>
      <c r="AJ23" s="261">
        <v>23</v>
      </c>
      <c r="AK23" s="328">
        <v>38</v>
      </c>
      <c r="AL23" s="261">
        <v>11.5</v>
      </c>
      <c r="AM23" s="328">
        <v>25</v>
      </c>
      <c r="AN23" s="328">
        <v>5</v>
      </c>
      <c r="AO23" s="261">
        <v>65</v>
      </c>
      <c r="AP23" s="328">
        <v>2</v>
      </c>
      <c r="AQ23" s="323">
        <v>15</v>
      </c>
      <c r="AR23" s="320">
        <v>65</v>
      </c>
      <c r="AS23" s="320">
        <v>15</v>
      </c>
      <c r="AT23" s="224"/>
      <c r="AU23" s="162"/>
      <c r="AV23" s="223"/>
      <c r="AW23" s="1020"/>
      <c r="AX23" s="224"/>
      <c r="AZ23" s="223"/>
      <c r="BA23" s="252" t="s">
        <v>70</v>
      </c>
      <c r="BB23" s="329" t="s">
        <v>80</v>
      </c>
      <c r="BC23" s="249" t="s">
        <v>81</v>
      </c>
      <c r="BD23" s="249" t="s">
        <v>80</v>
      </c>
      <c r="BE23" s="249" t="s">
        <v>80</v>
      </c>
      <c r="BF23" s="249" t="s">
        <v>81</v>
      </c>
      <c r="BG23" s="249" t="s">
        <v>81</v>
      </c>
      <c r="BH23" s="249" t="s">
        <v>80</v>
      </c>
      <c r="BI23" s="249" t="s">
        <v>81</v>
      </c>
      <c r="BJ23" s="249" t="s">
        <v>81</v>
      </c>
      <c r="BK23" s="249" t="s">
        <v>80</v>
      </c>
      <c r="BL23" s="224"/>
      <c r="BN23" s="223"/>
      <c r="BO23" s="264" t="s">
        <v>72</v>
      </c>
      <c r="BP23" s="328">
        <v>2</v>
      </c>
      <c r="BQ23" s="328">
        <v>3</v>
      </c>
      <c r="BR23" s="328">
        <v>1</v>
      </c>
      <c r="BS23" s="261">
        <v>0</v>
      </c>
      <c r="BT23" s="261">
        <v>2</v>
      </c>
      <c r="BU23" s="261">
        <v>3</v>
      </c>
      <c r="BV23" s="261">
        <v>0</v>
      </c>
      <c r="BW23" s="261">
        <v>1</v>
      </c>
      <c r="BX23" s="262">
        <v>1</v>
      </c>
      <c r="BY23" s="262">
        <v>1</v>
      </c>
      <c r="BZ23" s="224"/>
      <c r="CB23" s="223"/>
      <c r="CC23" s="1020"/>
      <c r="CD23" s="224"/>
      <c r="CF23" s="404">
        <v>17</v>
      </c>
      <c r="CG23" s="408">
        <v>0.05</v>
      </c>
      <c r="CH23" s="405">
        <v>0.08</v>
      </c>
      <c r="CI23" s="405">
        <v>2.5000000000000001E-2</v>
      </c>
      <c r="CJ23" s="405">
        <v>0.03</v>
      </c>
      <c r="CK23" s="405">
        <v>2.5000000000000001E-2</v>
      </c>
      <c r="CL23" s="410">
        <v>0.03</v>
      </c>
    </row>
    <row r="24" spans="2:90" x14ac:dyDescent="0.3">
      <c r="B24" s="223"/>
      <c r="C24" s="254" t="s">
        <v>57</v>
      </c>
      <c r="D24" s="255">
        <v>64000</v>
      </c>
      <c r="E24" s="255">
        <v>25000</v>
      </c>
      <c r="F24" s="255">
        <v>15000</v>
      </c>
      <c r="G24" s="255">
        <v>15000</v>
      </c>
      <c r="H24" s="255">
        <v>0</v>
      </c>
      <c r="I24" s="255">
        <v>15000</v>
      </c>
      <c r="J24" s="255">
        <v>20000</v>
      </c>
      <c r="K24" s="256">
        <v>20000</v>
      </c>
      <c r="L24" s="224"/>
      <c r="M24" s="162"/>
      <c r="N24" s="223"/>
      <c r="O24" s="1020"/>
      <c r="P24" s="224"/>
      <c r="Q24" s="162"/>
      <c r="R24" s="223"/>
      <c r="S24" s="254" t="s">
        <v>58</v>
      </c>
      <c r="T24" s="309">
        <v>13000</v>
      </c>
      <c r="U24" s="314">
        <v>5500</v>
      </c>
      <c r="V24" s="255">
        <v>0</v>
      </c>
      <c r="W24" s="322">
        <v>2500</v>
      </c>
      <c r="X24" s="309">
        <v>12000</v>
      </c>
      <c r="Y24" s="322">
        <v>25000</v>
      </c>
      <c r="Z24" s="322">
        <v>5000</v>
      </c>
      <c r="AA24" s="310">
        <v>16000</v>
      </c>
      <c r="AB24" s="224"/>
      <c r="AC24" s="162"/>
      <c r="AD24" s="223"/>
      <c r="AE24" s="1022"/>
      <c r="AF24" s="224"/>
      <c r="AH24" s="223"/>
      <c r="AI24" s="254" t="s">
        <v>57</v>
      </c>
      <c r="AJ24" s="255">
        <v>13</v>
      </c>
      <c r="AK24" s="255">
        <v>22</v>
      </c>
      <c r="AL24" s="323">
        <v>5</v>
      </c>
      <c r="AM24" s="255">
        <v>15</v>
      </c>
      <c r="AN24" s="323">
        <v>2</v>
      </c>
      <c r="AO24" s="255">
        <v>51.4</v>
      </c>
      <c r="AP24" s="323">
        <v>0.3</v>
      </c>
      <c r="AQ24" s="323">
        <v>8</v>
      </c>
      <c r="AR24" s="262">
        <v>22</v>
      </c>
      <c r="AS24" s="262">
        <v>5</v>
      </c>
      <c r="AT24" s="224"/>
      <c r="AU24" s="162"/>
      <c r="AV24" s="223"/>
      <c r="AW24" s="1020"/>
      <c r="AX24" s="224"/>
      <c r="AZ24" s="223"/>
      <c r="BA24" s="250" t="s">
        <v>57</v>
      </c>
      <c r="BB24" s="251" t="s">
        <v>80</v>
      </c>
      <c r="BC24" s="251" t="s">
        <v>81</v>
      </c>
      <c r="BD24" s="251" t="s">
        <v>80</v>
      </c>
      <c r="BE24" s="251" t="s">
        <v>80</v>
      </c>
      <c r="BF24" s="251" t="s">
        <v>81</v>
      </c>
      <c r="BG24" s="251" t="s">
        <v>81</v>
      </c>
      <c r="BH24" s="251" t="s">
        <v>80</v>
      </c>
      <c r="BI24" s="251" t="s">
        <v>81</v>
      </c>
      <c r="BJ24" s="251" t="s">
        <v>81</v>
      </c>
      <c r="BK24" s="251" t="s">
        <v>80</v>
      </c>
      <c r="BL24" s="224"/>
      <c r="BN24" s="223"/>
      <c r="BO24" s="254" t="s">
        <v>127</v>
      </c>
      <c r="BP24" s="255">
        <v>1</v>
      </c>
      <c r="BQ24" s="255">
        <v>2</v>
      </c>
      <c r="BR24" s="255">
        <v>1</v>
      </c>
      <c r="BS24" s="255">
        <v>0</v>
      </c>
      <c r="BT24" s="255">
        <v>2</v>
      </c>
      <c r="BU24" s="255">
        <v>3</v>
      </c>
      <c r="BV24" s="255">
        <v>0</v>
      </c>
      <c r="BW24" s="255">
        <v>1</v>
      </c>
      <c r="BX24" s="262">
        <v>1</v>
      </c>
      <c r="BY24" s="262">
        <v>1</v>
      </c>
      <c r="BZ24" s="224"/>
      <c r="CB24" s="223"/>
      <c r="CC24" s="1020"/>
      <c r="CD24" s="224"/>
      <c r="CF24" s="406" t="s">
        <v>466</v>
      </c>
      <c r="CG24" s="409">
        <v>7.0000000000000007E-2</v>
      </c>
      <c r="CH24" s="407">
        <v>0.09</v>
      </c>
      <c r="CI24" s="407">
        <v>2.5000000000000001E-2</v>
      </c>
      <c r="CJ24" s="407">
        <v>0.03</v>
      </c>
      <c r="CK24" s="407">
        <v>2.5000000000000001E-2</v>
      </c>
      <c r="CL24" s="411">
        <v>0.03</v>
      </c>
    </row>
    <row r="25" spans="2:90" x14ac:dyDescent="0.3">
      <c r="B25" s="223"/>
      <c r="C25" s="257" t="s">
        <v>73</v>
      </c>
      <c r="D25" s="258">
        <v>160000</v>
      </c>
      <c r="E25" s="258">
        <v>60000</v>
      </c>
      <c r="F25" s="258">
        <v>20000</v>
      </c>
      <c r="G25" s="258">
        <v>35000</v>
      </c>
      <c r="H25" s="258">
        <v>37500</v>
      </c>
      <c r="I25" s="258">
        <v>30000</v>
      </c>
      <c r="J25" s="258">
        <v>33000</v>
      </c>
      <c r="K25" s="253">
        <v>45000</v>
      </c>
      <c r="L25" s="224"/>
      <c r="M25" s="162"/>
      <c r="N25" s="223"/>
      <c r="O25" s="1020"/>
      <c r="P25" s="224"/>
      <c r="Q25" s="162"/>
      <c r="R25" s="223"/>
      <c r="S25" s="257" t="s">
        <v>52</v>
      </c>
      <c r="T25" s="425">
        <v>13000</v>
      </c>
      <c r="U25" s="315">
        <v>5500</v>
      </c>
      <c r="V25" s="431">
        <v>0</v>
      </c>
      <c r="W25" s="322">
        <v>2500</v>
      </c>
      <c r="X25" s="309">
        <v>12000</v>
      </c>
      <c r="Y25" s="322">
        <v>25000</v>
      </c>
      <c r="Z25" s="322">
        <v>5000</v>
      </c>
      <c r="AA25" s="425">
        <v>16000</v>
      </c>
      <c r="AB25" s="224"/>
      <c r="AC25" s="162"/>
      <c r="AD25" s="223"/>
      <c r="AE25" s="1022"/>
      <c r="AF25" s="224"/>
      <c r="AH25" s="223"/>
      <c r="AI25" s="257" t="s">
        <v>73</v>
      </c>
      <c r="AJ25" s="258">
        <v>18</v>
      </c>
      <c r="AK25" s="322">
        <v>26</v>
      </c>
      <c r="AL25" s="258">
        <v>9</v>
      </c>
      <c r="AM25" s="322">
        <v>22</v>
      </c>
      <c r="AN25" s="322">
        <v>4</v>
      </c>
      <c r="AO25" s="258">
        <v>95</v>
      </c>
      <c r="AP25" s="322">
        <v>2</v>
      </c>
      <c r="AQ25" s="322">
        <v>15</v>
      </c>
      <c r="AR25" s="262">
        <v>48.3</v>
      </c>
      <c r="AS25" s="265">
        <v>8.6</v>
      </c>
      <c r="AT25" s="224"/>
      <c r="AU25" s="162"/>
      <c r="AV25" s="223"/>
      <c r="AW25" s="1020"/>
      <c r="AX25" s="224"/>
      <c r="AZ25" s="223"/>
      <c r="BA25" s="252" t="s">
        <v>73</v>
      </c>
      <c r="BB25" s="249" t="s">
        <v>80</v>
      </c>
      <c r="BC25" s="249" t="s">
        <v>81</v>
      </c>
      <c r="BD25" s="249" t="s">
        <v>80</v>
      </c>
      <c r="BE25" s="249" t="s">
        <v>80</v>
      </c>
      <c r="BF25" s="249" t="s">
        <v>81</v>
      </c>
      <c r="BG25" s="249" t="s">
        <v>81</v>
      </c>
      <c r="BH25" s="249" t="s">
        <v>80</v>
      </c>
      <c r="BI25" s="249" t="s">
        <v>81</v>
      </c>
      <c r="BJ25" s="249" t="s">
        <v>81</v>
      </c>
      <c r="BK25" s="249" t="s">
        <v>80</v>
      </c>
      <c r="BL25" s="224"/>
      <c r="BN25" s="223"/>
      <c r="BO25" s="264" t="s">
        <v>129</v>
      </c>
      <c r="BP25" s="261">
        <v>1</v>
      </c>
      <c r="BQ25" s="261">
        <v>2</v>
      </c>
      <c r="BR25" s="261">
        <v>1</v>
      </c>
      <c r="BS25" s="261">
        <v>0</v>
      </c>
      <c r="BT25" s="261">
        <v>2</v>
      </c>
      <c r="BU25" s="261">
        <v>3</v>
      </c>
      <c r="BV25" s="261">
        <v>0</v>
      </c>
      <c r="BW25" s="261">
        <v>1</v>
      </c>
      <c r="BX25" s="262">
        <v>1</v>
      </c>
      <c r="BY25" s="261">
        <v>1</v>
      </c>
      <c r="BZ25" s="224"/>
      <c r="CB25" s="223"/>
      <c r="CC25" s="1020"/>
      <c r="CD25" s="224"/>
      <c r="CF25" s="404" t="s">
        <v>467</v>
      </c>
      <c r="CG25" s="408">
        <v>7.0000000000000007E-2</v>
      </c>
      <c r="CH25" s="405">
        <v>0.09</v>
      </c>
      <c r="CI25" s="405">
        <v>2.5000000000000001E-2</v>
      </c>
      <c r="CJ25" s="405">
        <v>0.03</v>
      </c>
      <c r="CK25" s="405">
        <v>2.5000000000000001E-2</v>
      </c>
      <c r="CL25" s="410">
        <v>0.03</v>
      </c>
    </row>
    <row r="26" spans="2:90" x14ac:dyDescent="0.3">
      <c r="B26" s="223"/>
      <c r="C26" s="254" t="s">
        <v>242</v>
      </c>
      <c r="D26" s="255">
        <v>160000</v>
      </c>
      <c r="E26" s="255">
        <v>60000</v>
      </c>
      <c r="F26" s="255">
        <v>20000</v>
      </c>
      <c r="G26" s="255">
        <v>35000</v>
      </c>
      <c r="H26" s="255">
        <v>37500</v>
      </c>
      <c r="I26" s="255">
        <v>30000</v>
      </c>
      <c r="J26" s="255">
        <v>33000</v>
      </c>
      <c r="K26" s="256">
        <v>45000</v>
      </c>
      <c r="L26" s="224"/>
      <c r="M26" s="162"/>
      <c r="N26" s="223"/>
      <c r="O26" s="1020"/>
      <c r="P26" s="224"/>
      <c r="Q26" s="162"/>
      <c r="R26" s="223"/>
      <c r="S26" s="257" t="s">
        <v>56</v>
      </c>
      <c r="T26" s="425">
        <v>13000</v>
      </c>
      <c r="U26" s="315">
        <v>5500</v>
      </c>
      <c r="V26" s="258">
        <v>0</v>
      </c>
      <c r="W26" s="322">
        <v>2500</v>
      </c>
      <c r="X26" s="309">
        <v>12000</v>
      </c>
      <c r="Y26" s="322">
        <v>25000</v>
      </c>
      <c r="Z26" s="322">
        <v>5000</v>
      </c>
      <c r="AA26" s="425">
        <v>16000</v>
      </c>
      <c r="AB26" s="224"/>
      <c r="AC26" s="162"/>
      <c r="AD26" s="223"/>
      <c r="AE26" s="1022"/>
      <c r="AF26" s="224"/>
      <c r="AH26" s="223"/>
      <c r="AI26" s="254" t="s">
        <v>242</v>
      </c>
      <c r="AJ26" s="255">
        <v>19</v>
      </c>
      <c r="AK26" s="255">
        <v>43</v>
      </c>
      <c r="AL26" s="255">
        <v>9.4</v>
      </c>
      <c r="AM26" s="323">
        <v>25</v>
      </c>
      <c r="AN26" s="323">
        <v>4</v>
      </c>
      <c r="AO26" s="255">
        <v>95</v>
      </c>
      <c r="AP26" s="323">
        <v>2</v>
      </c>
      <c r="AQ26" s="322">
        <v>15</v>
      </c>
      <c r="AR26" s="262">
        <v>51</v>
      </c>
      <c r="AS26" s="262">
        <v>9.6</v>
      </c>
      <c r="AT26" s="224"/>
      <c r="AU26" s="162"/>
      <c r="AV26" s="223"/>
      <c r="AW26" s="1020"/>
      <c r="AX26" s="224"/>
      <c r="AZ26" s="223"/>
      <c r="BA26" s="250" t="s">
        <v>242</v>
      </c>
      <c r="BB26" s="251" t="s">
        <v>80</v>
      </c>
      <c r="BC26" s="251" t="s">
        <v>81</v>
      </c>
      <c r="BD26" s="251" t="s">
        <v>80</v>
      </c>
      <c r="BE26" s="251" t="s">
        <v>80</v>
      </c>
      <c r="BF26" s="251" t="s">
        <v>81</v>
      </c>
      <c r="BG26" s="251" t="s">
        <v>81</v>
      </c>
      <c r="BH26" s="251" t="s">
        <v>80</v>
      </c>
      <c r="BI26" s="251" t="s">
        <v>81</v>
      </c>
      <c r="BJ26" s="251" t="s">
        <v>81</v>
      </c>
      <c r="BK26" s="251" t="s">
        <v>80</v>
      </c>
      <c r="BL26" s="224"/>
      <c r="BN26" s="223"/>
      <c r="BO26" s="254" t="s">
        <v>130</v>
      </c>
      <c r="BP26" s="255">
        <v>1</v>
      </c>
      <c r="BQ26" s="255">
        <v>2</v>
      </c>
      <c r="BR26" s="255">
        <v>1</v>
      </c>
      <c r="BS26" s="255">
        <v>0</v>
      </c>
      <c r="BT26" s="255">
        <v>2</v>
      </c>
      <c r="BU26" s="255">
        <v>3</v>
      </c>
      <c r="BV26" s="255">
        <v>0</v>
      </c>
      <c r="BW26" s="255">
        <v>1</v>
      </c>
      <c r="BX26" s="262">
        <v>1</v>
      </c>
      <c r="BY26" s="262">
        <v>1</v>
      </c>
      <c r="BZ26" s="224"/>
      <c r="CB26" s="223"/>
      <c r="CC26" s="1020"/>
      <c r="CD26" s="224"/>
      <c r="CF26" s="406">
        <v>20</v>
      </c>
      <c r="CG26" s="412">
        <v>7.0000000000000007E-2</v>
      </c>
      <c r="CH26" s="413">
        <v>0.1</v>
      </c>
      <c r="CI26" s="413">
        <v>2.5000000000000001E-2</v>
      </c>
      <c r="CJ26" s="413">
        <v>0.04</v>
      </c>
      <c r="CK26" s="413">
        <v>2.5000000000000001E-2</v>
      </c>
      <c r="CL26" s="414">
        <v>0.04</v>
      </c>
    </row>
    <row r="27" spans="2:90" x14ac:dyDescent="0.3">
      <c r="B27" s="223"/>
      <c r="C27" s="254" t="s">
        <v>243</v>
      </c>
      <c r="D27" s="255">
        <v>160000</v>
      </c>
      <c r="E27" s="255">
        <v>60000</v>
      </c>
      <c r="F27" s="255">
        <v>20000</v>
      </c>
      <c r="G27" s="255">
        <v>35000</v>
      </c>
      <c r="H27" s="255">
        <v>37500</v>
      </c>
      <c r="I27" s="255">
        <v>30000</v>
      </c>
      <c r="J27" s="255">
        <v>33000</v>
      </c>
      <c r="K27" s="256">
        <v>45000</v>
      </c>
      <c r="L27" s="224"/>
      <c r="M27" s="162"/>
      <c r="N27" s="223"/>
      <c r="O27" s="1020"/>
      <c r="P27" s="224"/>
      <c r="Q27" s="162"/>
      <c r="R27" s="223"/>
      <c r="S27" s="257" t="s">
        <v>72</v>
      </c>
      <c r="T27" s="324">
        <v>15000</v>
      </c>
      <c r="U27" s="322">
        <v>10000</v>
      </c>
      <c r="V27" s="258">
        <v>0</v>
      </c>
      <c r="W27" s="322">
        <v>2500</v>
      </c>
      <c r="X27" s="322">
        <v>12000</v>
      </c>
      <c r="Y27" s="322">
        <v>25000</v>
      </c>
      <c r="Z27" s="322">
        <v>9000</v>
      </c>
      <c r="AA27" s="324">
        <v>20000</v>
      </c>
      <c r="AB27" s="224"/>
      <c r="AC27" s="162"/>
      <c r="AD27" s="223"/>
      <c r="AE27" s="1022"/>
      <c r="AF27" s="224"/>
      <c r="AH27" s="223"/>
      <c r="AI27" s="264" t="s">
        <v>243</v>
      </c>
      <c r="AJ27" s="261">
        <v>19</v>
      </c>
      <c r="AK27" s="261">
        <v>43</v>
      </c>
      <c r="AL27" s="261">
        <v>9.4</v>
      </c>
      <c r="AM27" s="328">
        <v>25</v>
      </c>
      <c r="AN27" s="328">
        <v>4</v>
      </c>
      <c r="AO27" s="261">
        <v>95</v>
      </c>
      <c r="AP27" s="328">
        <v>2</v>
      </c>
      <c r="AQ27" s="322">
        <v>15</v>
      </c>
      <c r="AR27" s="262">
        <v>51</v>
      </c>
      <c r="AS27" s="261">
        <v>9.6</v>
      </c>
      <c r="AT27" s="224"/>
      <c r="AU27" s="162"/>
      <c r="AV27" s="223"/>
      <c r="AW27" s="1020"/>
      <c r="AX27" s="224"/>
      <c r="AZ27" s="223"/>
      <c r="BA27" s="252" t="s">
        <v>243</v>
      </c>
      <c r="BB27" s="249" t="s">
        <v>80</v>
      </c>
      <c r="BC27" s="249" t="s">
        <v>81</v>
      </c>
      <c r="BD27" s="249" t="s">
        <v>80</v>
      </c>
      <c r="BE27" s="249" t="s">
        <v>80</v>
      </c>
      <c r="BF27" s="249" t="s">
        <v>81</v>
      </c>
      <c r="BG27" s="249" t="s">
        <v>81</v>
      </c>
      <c r="BH27" s="249" t="s">
        <v>80</v>
      </c>
      <c r="BI27" s="249" t="s">
        <v>81</v>
      </c>
      <c r="BJ27" s="249" t="s">
        <v>81</v>
      </c>
      <c r="BK27" s="249" t="s">
        <v>80</v>
      </c>
      <c r="BL27" s="224"/>
      <c r="BN27" s="223"/>
      <c r="BO27" s="264" t="s">
        <v>125</v>
      </c>
      <c r="BP27" s="261">
        <v>1</v>
      </c>
      <c r="BQ27" s="261">
        <v>2</v>
      </c>
      <c r="BR27" s="261">
        <v>1</v>
      </c>
      <c r="BS27" s="261">
        <v>0</v>
      </c>
      <c r="BT27" s="261">
        <v>2</v>
      </c>
      <c r="BU27" s="261">
        <v>3</v>
      </c>
      <c r="BV27" s="261">
        <v>0</v>
      </c>
      <c r="BW27" s="261">
        <v>1</v>
      </c>
      <c r="BX27" s="262">
        <v>1</v>
      </c>
      <c r="BY27" s="261">
        <v>1</v>
      </c>
      <c r="BZ27" s="224"/>
      <c r="CB27" s="223"/>
      <c r="CC27" s="1020"/>
      <c r="CD27" s="224"/>
      <c r="CG27" s="125">
        <f>SUM(CG7:CG26)</f>
        <v>0.66000000000000014</v>
      </c>
      <c r="CH27" s="125">
        <f t="shared" ref="CH27:CL27" si="0">SUM(CH7:CH26)</f>
        <v>0.99999999999999989</v>
      </c>
      <c r="CI27" s="125">
        <f t="shared" si="0"/>
        <v>0.24999999999999997</v>
      </c>
      <c r="CJ27" s="125">
        <f t="shared" si="0"/>
        <v>0.33</v>
      </c>
      <c r="CK27" s="125">
        <f t="shared" si="0"/>
        <v>0.24999999999999997</v>
      </c>
      <c r="CL27" s="125">
        <f t="shared" si="0"/>
        <v>0.33</v>
      </c>
    </row>
    <row r="28" spans="2:90" x14ac:dyDescent="0.3">
      <c r="B28" s="223"/>
      <c r="C28" s="257" t="s">
        <v>125</v>
      </c>
      <c r="D28" s="258">
        <v>85000</v>
      </c>
      <c r="E28" s="258">
        <v>30000</v>
      </c>
      <c r="F28" s="258">
        <v>15000</v>
      </c>
      <c r="G28" s="258">
        <v>15000</v>
      </c>
      <c r="H28" s="258">
        <v>25000</v>
      </c>
      <c r="I28" s="258">
        <v>15000</v>
      </c>
      <c r="J28" s="258">
        <v>30000</v>
      </c>
      <c r="K28" s="253">
        <v>20000</v>
      </c>
      <c r="L28" s="224"/>
      <c r="M28" s="162"/>
      <c r="N28" s="223"/>
      <c r="O28" s="1020"/>
      <c r="P28" s="224"/>
      <c r="Q28" s="162"/>
      <c r="R28" s="223"/>
      <c r="S28" s="254" t="s">
        <v>69</v>
      </c>
      <c r="T28" s="424">
        <v>15000</v>
      </c>
      <c r="U28" s="322">
        <v>10000</v>
      </c>
      <c r="V28" s="255">
        <v>0</v>
      </c>
      <c r="W28" s="322">
        <v>2500</v>
      </c>
      <c r="X28" s="322">
        <v>12000</v>
      </c>
      <c r="Y28" s="322">
        <v>25000</v>
      </c>
      <c r="Z28" s="322">
        <v>9000</v>
      </c>
      <c r="AA28" s="432">
        <v>20000</v>
      </c>
      <c r="AB28" s="224"/>
      <c r="AC28" s="162"/>
      <c r="AD28" s="223"/>
      <c r="AE28" s="1022"/>
      <c r="AF28" s="224"/>
      <c r="AH28" s="223"/>
      <c r="AI28" s="257" t="s">
        <v>125</v>
      </c>
      <c r="AJ28" s="258">
        <v>18</v>
      </c>
      <c r="AK28" s="258">
        <v>26</v>
      </c>
      <c r="AL28" s="258">
        <v>6.3</v>
      </c>
      <c r="AM28" s="322">
        <v>20</v>
      </c>
      <c r="AN28" s="322">
        <v>3</v>
      </c>
      <c r="AO28" s="258">
        <v>56</v>
      </c>
      <c r="AP28" s="349">
        <v>0.4</v>
      </c>
      <c r="AQ28" s="349">
        <v>9</v>
      </c>
      <c r="AR28" s="262">
        <v>32</v>
      </c>
      <c r="AS28" s="263">
        <v>5.9</v>
      </c>
      <c r="AT28" s="224"/>
      <c r="AU28" s="162"/>
      <c r="AV28" s="223"/>
      <c r="AW28" s="1020"/>
      <c r="AX28" s="224"/>
      <c r="AZ28" s="223"/>
      <c r="BA28" s="252" t="s">
        <v>125</v>
      </c>
      <c r="BB28" s="249" t="s">
        <v>80</v>
      </c>
      <c r="BC28" s="249" t="s">
        <v>81</v>
      </c>
      <c r="BD28" s="249" t="s">
        <v>80</v>
      </c>
      <c r="BE28" s="249" t="s">
        <v>80</v>
      </c>
      <c r="BF28" s="251" t="s">
        <v>81</v>
      </c>
      <c r="BG28" s="251" t="s">
        <v>81</v>
      </c>
      <c r="BH28" s="249" t="s">
        <v>80</v>
      </c>
      <c r="BI28" s="251" t="s">
        <v>81</v>
      </c>
      <c r="BJ28" s="251" t="s">
        <v>81</v>
      </c>
      <c r="BK28" s="249" t="s">
        <v>80</v>
      </c>
      <c r="BL28" s="224"/>
      <c r="BN28" s="223"/>
      <c r="BO28" s="254" t="s">
        <v>128</v>
      </c>
      <c r="BP28" s="255">
        <v>1</v>
      </c>
      <c r="BQ28" s="255">
        <v>2</v>
      </c>
      <c r="BR28" s="255">
        <v>1</v>
      </c>
      <c r="BS28" s="255">
        <v>0</v>
      </c>
      <c r="BT28" s="255">
        <v>2</v>
      </c>
      <c r="BU28" s="255">
        <v>3</v>
      </c>
      <c r="BV28" s="255">
        <v>0</v>
      </c>
      <c r="BW28" s="255">
        <v>1</v>
      </c>
      <c r="BX28" s="262">
        <v>1</v>
      </c>
      <c r="BY28" s="262">
        <v>1</v>
      </c>
      <c r="BZ28" s="224"/>
      <c r="CB28" s="223"/>
      <c r="CC28" s="1020"/>
      <c r="CD28" s="224"/>
    </row>
    <row r="29" spans="2:90" x14ac:dyDescent="0.3">
      <c r="B29" s="223"/>
      <c r="C29" s="259" t="s">
        <v>128</v>
      </c>
      <c r="D29" s="260">
        <v>85000</v>
      </c>
      <c r="E29" s="260">
        <v>30000</v>
      </c>
      <c r="F29" s="260">
        <v>15000</v>
      </c>
      <c r="G29" s="260">
        <v>15000</v>
      </c>
      <c r="H29" s="260">
        <v>25000</v>
      </c>
      <c r="I29" s="260">
        <v>15000</v>
      </c>
      <c r="J29" s="260">
        <v>30000</v>
      </c>
      <c r="K29" s="251">
        <v>20000</v>
      </c>
      <c r="L29" s="224"/>
      <c r="M29" s="162"/>
      <c r="N29" s="223"/>
      <c r="O29" s="1020"/>
      <c r="P29" s="224"/>
      <c r="Q29" s="162"/>
      <c r="R29" s="223"/>
      <c r="S29" s="264" t="s">
        <v>70</v>
      </c>
      <c r="T29" s="424">
        <v>15000</v>
      </c>
      <c r="U29" s="322">
        <v>10000</v>
      </c>
      <c r="V29" s="261">
        <v>0</v>
      </c>
      <c r="W29" s="322">
        <v>2500</v>
      </c>
      <c r="X29" s="322">
        <v>12000</v>
      </c>
      <c r="Y29" s="322">
        <v>25000</v>
      </c>
      <c r="Z29" s="322">
        <v>10000</v>
      </c>
      <c r="AA29" s="432">
        <v>25000</v>
      </c>
      <c r="AB29" s="224"/>
      <c r="AC29" s="162"/>
      <c r="AD29" s="223"/>
      <c r="AE29" s="1022"/>
      <c r="AF29" s="224"/>
      <c r="AH29" s="223"/>
      <c r="AI29" s="259" t="s">
        <v>128</v>
      </c>
      <c r="AJ29" s="260">
        <v>18</v>
      </c>
      <c r="AK29" s="260">
        <v>26</v>
      </c>
      <c r="AL29" s="260">
        <v>6.3</v>
      </c>
      <c r="AM29" s="325">
        <v>20</v>
      </c>
      <c r="AN29" s="325">
        <v>3</v>
      </c>
      <c r="AO29" s="260">
        <v>56</v>
      </c>
      <c r="AP29" s="349">
        <v>0.4</v>
      </c>
      <c r="AQ29" s="349">
        <v>9</v>
      </c>
      <c r="AR29" s="262">
        <v>32</v>
      </c>
      <c r="AS29" s="266">
        <v>5.9</v>
      </c>
      <c r="AT29" s="224"/>
      <c r="AU29" s="162"/>
      <c r="AV29" s="223"/>
      <c r="AW29" s="1020"/>
      <c r="AX29" s="224"/>
      <c r="AZ29" s="223"/>
      <c r="BA29" s="250" t="s">
        <v>128</v>
      </c>
      <c r="BB29" s="251" t="s">
        <v>80</v>
      </c>
      <c r="BC29" s="251" t="s">
        <v>81</v>
      </c>
      <c r="BD29" s="251" t="s">
        <v>80</v>
      </c>
      <c r="BE29" s="251" t="s">
        <v>80</v>
      </c>
      <c r="BF29" s="249" t="s">
        <v>81</v>
      </c>
      <c r="BG29" s="249" t="s">
        <v>81</v>
      </c>
      <c r="BH29" s="251" t="s">
        <v>80</v>
      </c>
      <c r="BI29" s="249" t="s">
        <v>81</v>
      </c>
      <c r="BJ29" s="249" t="s">
        <v>81</v>
      </c>
      <c r="BK29" s="251" t="s">
        <v>80</v>
      </c>
      <c r="BL29" s="224"/>
      <c r="BN29" s="223"/>
      <c r="BO29" s="264" t="s">
        <v>243</v>
      </c>
      <c r="BP29" s="261">
        <v>1</v>
      </c>
      <c r="BQ29" s="261">
        <v>1</v>
      </c>
      <c r="BR29" s="261">
        <v>1</v>
      </c>
      <c r="BS29" s="261">
        <v>0</v>
      </c>
      <c r="BT29" s="261">
        <v>2</v>
      </c>
      <c r="BU29" s="261">
        <v>3</v>
      </c>
      <c r="BV29" s="261">
        <v>0</v>
      </c>
      <c r="BW29" s="261">
        <v>1</v>
      </c>
      <c r="BX29" s="262">
        <v>1</v>
      </c>
      <c r="BY29" s="261">
        <v>1</v>
      </c>
      <c r="BZ29" s="224"/>
      <c r="CB29" s="223"/>
      <c r="CC29" s="1020"/>
      <c r="CD29" s="224"/>
    </row>
    <row r="30" spans="2:90" x14ac:dyDescent="0.3">
      <c r="B30" s="223"/>
      <c r="C30" s="254" t="s">
        <v>385</v>
      </c>
      <c r="D30" s="258">
        <v>160000</v>
      </c>
      <c r="E30" s="258">
        <v>45000</v>
      </c>
      <c r="F30" s="258">
        <v>20000</v>
      </c>
      <c r="G30" s="258">
        <v>35000</v>
      </c>
      <c r="H30" s="258">
        <v>35000</v>
      </c>
      <c r="I30" s="258">
        <v>60000</v>
      </c>
      <c r="J30" s="258">
        <v>40000</v>
      </c>
      <c r="K30" s="253">
        <v>120000</v>
      </c>
      <c r="L30" s="224"/>
      <c r="M30" s="162"/>
      <c r="N30" s="223"/>
      <c r="O30" s="1020"/>
      <c r="P30" s="224"/>
      <c r="Q30" s="162"/>
      <c r="R30" s="223"/>
      <c r="S30" s="254" t="s">
        <v>439</v>
      </c>
      <c r="T30" s="424">
        <v>15000</v>
      </c>
      <c r="U30" s="322">
        <v>10000</v>
      </c>
      <c r="V30" s="261">
        <v>0</v>
      </c>
      <c r="W30" s="322">
        <v>2500</v>
      </c>
      <c r="X30" s="322">
        <v>12000</v>
      </c>
      <c r="Y30" s="322">
        <v>25000</v>
      </c>
      <c r="Z30" s="322">
        <v>10000</v>
      </c>
      <c r="AA30" s="432">
        <v>25000</v>
      </c>
      <c r="AB30" s="224"/>
      <c r="AC30" s="162"/>
      <c r="AD30" s="223"/>
      <c r="AE30" s="1022"/>
      <c r="AF30" s="224"/>
      <c r="AH30" s="223"/>
      <c r="AI30" s="257" t="s">
        <v>385</v>
      </c>
      <c r="AJ30" s="258">
        <v>25</v>
      </c>
      <c r="AK30" s="258">
        <v>25</v>
      </c>
      <c r="AL30" s="258">
        <v>8.35</v>
      </c>
      <c r="AM30" s="322">
        <v>25</v>
      </c>
      <c r="AN30" s="322">
        <v>5</v>
      </c>
      <c r="AO30" s="258">
        <v>96</v>
      </c>
      <c r="AP30" s="349">
        <v>0.8</v>
      </c>
      <c r="AQ30" s="322">
        <v>12</v>
      </c>
      <c r="AR30" s="262">
        <v>48</v>
      </c>
      <c r="AS30" s="320">
        <v>7</v>
      </c>
      <c r="AT30" s="224"/>
      <c r="AU30" s="162"/>
      <c r="AV30" s="223"/>
      <c r="AW30" s="1020"/>
      <c r="AX30" s="224"/>
      <c r="AZ30" s="223"/>
      <c r="BA30" s="252" t="s">
        <v>385</v>
      </c>
      <c r="BB30" s="249" t="s">
        <v>80</v>
      </c>
      <c r="BC30" s="249" t="s">
        <v>81</v>
      </c>
      <c r="BD30" s="249" t="s">
        <v>80</v>
      </c>
      <c r="BE30" s="249" t="s">
        <v>80</v>
      </c>
      <c r="BF30" s="249" t="s">
        <v>81</v>
      </c>
      <c r="BG30" s="249" t="s">
        <v>81</v>
      </c>
      <c r="BH30" s="249" t="s">
        <v>80</v>
      </c>
      <c r="BI30" s="249" t="s">
        <v>81</v>
      </c>
      <c r="BJ30" s="249" t="s">
        <v>81</v>
      </c>
      <c r="BK30" s="249" t="s">
        <v>80</v>
      </c>
      <c r="BL30" s="224"/>
      <c r="BN30" s="223"/>
      <c r="BO30" s="257" t="s">
        <v>385</v>
      </c>
      <c r="BP30" s="258">
        <v>1</v>
      </c>
      <c r="BQ30" s="258">
        <v>2</v>
      </c>
      <c r="BR30" s="258">
        <v>1</v>
      </c>
      <c r="BS30" s="322">
        <v>2</v>
      </c>
      <c r="BT30" s="258">
        <v>2</v>
      </c>
      <c r="BU30" s="258">
        <v>3</v>
      </c>
      <c r="BV30" s="258">
        <v>0</v>
      </c>
      <c r="BW30" s="258">
        <v>1</v>
      </c>
      <c r="BX30" s="262">
        <v>1</v>
      </c>
      <c r="BY30" s="262">
        <v>1</v>
      </c>
      <c r="BZ30" s="224"/>
      <c r="CB30" s="223"/>
      <c r="CC30" s="1020"/>
      <c r="CD30" s="224"/>
    </row>
    <row r="31" spans="2:90" x14ac:dyDescent="0.3">
      <c r="B31" s="223"/>
      <c r="C31" s="254" t="s">
        <v>386</v>
      </c>
      <c r="D31" s="258">
        <v>160000</v>
      </c>
      <c r="E31" s="258">
        <v>45000</v>
      </c>
      <c r="F31" s="258">
        <v>20000</v>
      </c>
      <c r="G31" s="258">
        <v>35000</v>
      </c>
      <c r="H31" s="258">
        <v>35000</v>
      </c>
      <c r="I31" s="258">
        <v>60000</v>
      </c>
      <c r="J31" s="258">
        <v>40000</v>
      </c>
      <c r="K31" s="253">
        <v>120000</v>
      </c>
      <c r="L31" s="224"/>
      <c r="M31" s="162"/>
      <c r="N31" s="223"/>
      <c r="O31" s="1020"/>
      <c r="P31" s="224"/>
      <c r="Q31" s="162"/>
      <c r="R31" s="223"/>
      <c r="S31" s="254" t="s">
        <v>437</v>
      </c>
      <c r="T31" s="424">
        <v>15000</v>
      </c>
      <c r="U31" s="322">
        <v>10000</v>
      </c>
      <c r="V31" s="261">
        <v>0</v>
      </c>
      <c r="W31" s="322">
        <v>2500</v>
      </c>
      <c r="X31" s="322">
        <v>12000</v>
      </c>
      <c r="Y31" s="322">
        <v>25000</v>
      </c>
      <c r="Z31" s="322">
        <v>10000</v>
      </c>
      <c r="AA31" s="432">
        <v>25000</v>
      </c>
      <c r="AB31" s="224"/>
      <c r="AC31" s="162"/>
      <c r="AD31" s="223"/>
      <c r="AE31" s="1022"/>
      <c r="AF31" s="224"/>
      <c r="AH31" s="223"/>
      <c r="AI31" s="257" t="s">
        <v>386</v>
      </c>
      <c r="AJ31" s="258">
        <v>25</v>
      </c>
      <c r="AK31" s="258">
        <v>25</v>
      </c>
      <c r="AL31" s="258">
        <v>8.35</v>
      </c>
      <c r="AM31" s="322">
        <v>25</v>
      </c>
      <c r="AN31" s="322">
        <v>5</v>
      </c>
      <c r="AO31" s="258">
        <v>96</v>
      </c>
      <c r="AP31" s="349">
        <v>0.8</v>
      </c>
      <c r="AQ31" s="322">
        <v>12</v>
      </c>
      <c r="AR31" s="262">
        <v>50</v>
      </c>
      <c r="AS31" s="320">
        <v>8</v>
      </c>
      <c r="AT31" s="224"/>
      <c r="AU31" s="162"/>
      <c r="AV31" s="223"/>
      <c r="AW31" s="1020"/>
      <c r="AX31" s="224"/>
      <c r="AZ31" s="223"/>
      <c r="BA31" s="252" t="s">
        <v>386</v>
      </c>
      <c r="BB31" s="249" t="s">
        <v>80</v>
      </c>
      <c r="BC31" s="249" t="s">
        <v>81</v>
      </c>
      <c r="BD31" s="249" t="s">
        <v>80</v>
      </c>
      <c r="BE31" s="249" t="s">
        <v>80</v>
      </c>
      <c r="BF31" s="249" t="s">
        <v>81</v>
      </c>
      <c r="BG31" s="249" t="s">
        <v>81</v>
      </c>
      <c r="BH31" s="249" t="s">
        <v>80</v>
      </c>
      <c r="BI31" s="249" t="s">
        <v>81</v>
      </c>
      <c r="BJ31" s="249" t="s">
        <v>81</v>
      </c>
      <c r="BK31" s="249" t="s">
        <v>80</v>
      </c>
      <c r="BL31" s="224"/>
      <c r="BN31" s="223"/>
      <c r="BO31" s="257" t="s">
        <v>386</v>
      </c>
      <c r="BP31" s="258">
        <v>1</v>
      </c>
      <c r="BQ31" s="258">
        <v>2</v>
      </c>
      <c r="BR31" s="258">
        <v>1</v>
      </c>
      <c r="BS31" s="322">
        <v>2</v>
      </c>
      <c r="BT31" s="258">
        <v>2</v>
      </c>
      <c r="BU31" s="258">
        <v>3</v>
      </c>
      <c r="BV31" s="258">
        <v>0</v>
      </c>
      <c r="BW31" s="258">
        <v>1</v>
      </c>
      <c r="BX31" s="262">
        <v>1</v>
      </c>
      <c r="BY31" s="262">
        <v>1</v>
      </c>
      <c r="BZ31" s="224"/>
      <c r="CB31" s="223"/>
      <c r="CC31" s="1020"/>
      <c r="CD31" s="224"/>
    </row>
    <row r="32" spans="2:90" ht="15" thickBot="1" x14ac:dyDescent="0.35">
      <c r="B32" s="223"/>
      <c r="C32" s="259" t="s">
        <v>387</v>
      </c>
      <c r="D32" s="258">
        <v>160000</v>
      </c>
      <c r="E32" s="258">
        <v>45000</v>
      </c>
      <c r="F32" s="258">
        <v>25000</v>
      </c>
      <c r="G32" s="258">
        <v>35000</v>
      </c>
      <c r="H32" s="258">
        <v>35000</v>
      </c>
      <c r="I32" s="258">
        <v>60000</v>
      </c>
      <c r="J32" s="258">
        <v>40000</v>
      </c>
      <c r="K32" s="253">
        <v>120000</v>
      </c>
      <c r="L32" s="224"/>
      <c r="M32" s="162"/>
      <c r="N32" s="226"/>
      <c r="O32" s="227"/>
      <c r="P32" s="228"/>
      <c r="Q32" s="162"/>
      <c r="R32" s="223"/>
      <c r="S32" s="259" t="s">
        <v>438</v>
      </c>
      <c r="T32" s="424">
        <v>15000</v>
      </c>
      <c r="U32" s="322">
        <v>10000</v>
      </c>
      <c r="V32" s="261">
        <v>0</v>
      </c>
      <c r="W32" s="322">
        <v>2500</v>
      </c>
      <c r="X32" s="322">
        <v>12000</v>
      </c>
      <c r="Y32" s="322">
        <v>25000</v>
      </c>
      <c r="Z32" s="322">
        <v>10000</v>
      </c>
      <c r="AA32" s="432">
        <v>25000</v>
      </c>
      <c r="AB32" s="224"/>
      <c r="AC32" s="162"/>
      <c r="AD32" s="226"/>
      <c r="AE32" s="227"/>
      <c r="AF32" s="228"/>
      <c r="AH32" s="223"/>
      <c r="AI32" s="264" t="s">
        <v>387</v>
      </c>
      <c r="AJ32" s="258">
        <v>25</v>
      </c>
      <c r="AK32" s="258">
        <v>25</v>
      </c>
      <c r="AL32" s="258">
        <v>8.35</v>
      </c>
      <c r="AM32" s="322">
        <v>25</v>
      </c>
      <c r="AN32" s="322">
        <v>5</v>
      </c>
      <c r="AO32" s="258">
        <v>96</v>
      </c>
      <c r="AP32" s="349">
        <v>0.8</v>
      </c>
      <c r="AQ32" s="322">
        <v>12</v>
      </c>
      <c r="AR32" s="262">
        <v>52</v>
      </c>
      <c r="AS32" s="320">
        <v>9</v>
      </c>
      <c r="AT32" s="224"/>
      <c r="AU32" s="162"/>
      <c r="AV32" s="226"/>
      <c r="AW32" s="227"/>
      <c r="AX32" s="228"/>
      <c r="AZ32" s="223"/>
      <c r="BA32" s="252" t="s">
        <v>387</v>
      </c>
      <c r="BB32" s="249" t="s">
        <v>80</v>
      </c>
      <c r="BC32" s="249" t="s">
        <v>81</v>
      </c>
      <c r="BD32" s="249" t="s">
        <v>80</v>
      </c>
      <c r="BE32" s="249" t="s">
        <v>80</v>
      </c>
      <c r="BF32" s="249" t="s">
        <v>81</v>
      </c>
      <c r="BG32" s="249" t="s">
        <v>81</v>
      </c>
      <c r="BH32" s="249" t="s">
        <v>80</v>
      </c>
      <c r="BI32" s="249" t="s">
        <v>81</v>
      </c>
      <c r="BJ32" s="249" t="s">
        <v>81</v>
      </c>
      <c r="BK32" s="249" t="s">
        <v>80</v>
      </c>
      <c r="BL32" s="224"/>
      <c r="BN32" s="223"/>
      <c r="BO32" s="264" t="s">
        <v>387</v>
      </c>
      <c r="BP32" s="258">
        <v>1</v>
      </c>
      <c r="BQ32" s="258">
        <v>2</v>
      </c>
      <c r="BR32" s="258">
        <v>1</v>
      </c>
      <c r="BS32" s="322">
        <v>2</v>
      </c>
      <c r="BT32" s="258">
        <v>2</v>
      </c>
      <c r="BU32" s="258">
        <v>3</v>
      </c>
      <c r="BV32" s="258">
        <v>0</v>
      </c>
      <c r="BW32" s="258">
        <v>1</v>
      </c>
      <c r="BX32" s="262">
        <v>1</v>
      </c>
      <c r="BY32" s="262">
        <v>1</v>
      </c>
      <c r="BZ32" s="224"/>
      <c r="CB32" s="226"/>
      <c r="CC32" s="227"/>
      <c r="CD32" s="228"/>
    </row>
    <row r="33" spans="2:78" x14ac:dyDescent="0.3">
      <c r="B33" s="223"/>
      <c r="C33" s="259" t="s">
        <v>393</v>
      </c>
      <c r="D33" s="255">
        <v>200000</v>
      </c>
      <c r="E33" s="255">
        <v>75000</v>
      </c>
      <c r="F33" s="255">
        <v>30000</v>
      </c>
      <c r="G33" s="255">
        <v>40000</v>
      </c>
      <c r="H33" s="255">
        <v>45000</v>
      </c>
      <c r="I33" s="255">
        <v>60000</v>
      </c>
      <c r="J33" s="255">
        <v>40000</v>
      </c>
      <c r="K33" s="256">
        <v>190000</v>
      </c>
      <c r="L33" s="224"/>
      <c r="M33" s="162"/>
      <c r="N33" s="162"/>
      <c r="O33" s="162"/>
      <c r="P33" s="162"/>
      <c r="Q33" s="162"/>
      <c r="R33" s="223"/>
      <c r="S33" s="259" t="s">
        <v>57</v>
      </c>
      <c r="T33" s="309">
        <v>6500</v>
      </c>
      <c r="U33" s="323">
        <v>5500</v>
      </c>
      <c r="V33" s="255">
        <v>0</v>
      </c>
      <c r="W33" s="322">
        <v>2500</v>
      </c>
      <c r="X33" s="371">
        <v>0</v>
      </c>
      <c r="Y33" s="322">
        <v>25000</v>
      </c>
      <c r="Z33" s="323">
        <v>5000</v>
      </c>
      <c r="AA33" s="327">
        <v>14000</v>
      </c>
      <c r="AB33" s="224"/>
      <c r="AC33" s="162"/>
      <c r="AD33" s="162"/>
      <c r="AE33" s="162"/>
      <c r="AF33" s="162"/>
      <c r="AH33" s="223"/>
      <c r="AI33" s="264" t="s">
        <v>393</v>
      </c>
      <c r="AJ33" s="258">
        <v>29.8</v>
      </c>
      <c r="AK33" s="322">
        <v>45</v>
      </c>
      <c r="AL33" s="255">
        <v>8.35</v>
      </c>
      <c r="AM33" s="322">
        <v>30</v>
      </c>
      <c r="AN33" s="322">
        <v>5</v>
      </c>
      <c r="AO33" s="255">
        <v>62</v>
      </c>
      <c r="AP33" s="322">
        <v>1</v>
      </c>
      <c r="AQ33" s="322">
        <v>20</v>
      </c>
      <c r="AR33" s="320">
        <v>70</v>
      </c>
      <c r="AS33" s="320">
        <v>14</v>
      </c>
      <c r="AT33" s="224"/>
      <c r="AU33" s="162"/>
      <c r="AV33" s="162"/>
      <c r="AW33" s="162"/>
      <c r="AX33" s="162"/>
      <c r="AZ33" s="223"/>
      <c r="BA33" s="252" t="s">
        <v>393</v>
      </c>
      <c r="BB33" s="251" t="s">
        <v>80</v>
      </c>
      <c r="BC33" s="251" t="s">
        <v>81</v>
      </c>
      <c r="BD33" s="251" t="s">
        <v>80</v>
      </c>
      <c r="BE33" s="251" t="s">
        <v>80</v>
      </c>
      <c r="BF33" s="251" t="s">
        <v>81</v>
      </c>
      <c r="BG33" s="251" t="s">
        <v>81</v>
      </c>
      <c r="BH33" s="251" t="s">
        <v>80</v>
      </c>
      <c r="BI33" s="251" t="s">
        <v>81</v>
      </c>
      <c r="BJ33" s="251" t="s">
        <v>81</v>
      </c>
      <c r="BK33" s="251" t="s">
        <v>80</v>
      </c>
      <c r="BL33" s="224"/>
      <c r="BN33" s="223"/>
      <c r="BO33" s="264" t="s">
        <v>393</v>
      </c>
      <c r="BP33" s="322">
        <v>2</v>
      </c>
      <c r="BQ33" s="322">
        <v>3</v>
      </c>
      <c r="BR33" s="322">
        <v>1</v>
      </c>
      <c r="BS33" s="322">
        <v>0</v>
      </c>
      <c r="BT33" s="258">
        <v>2</v>
      </c>
      <c r="BU33" s="258">
        <v>3</v>
      </c>
      <c r="BV33" s="258">
        <v>0</v>
      </c>
      <c r="BW33" s="258">
        <v>1</v>
      </c>
      <c r="BX33" s="262">
        <v>1</v>
      </c>
      <c r="BY33" s="262">
        <v>1</v>
      </c>
      <c r="BZ33" s="224"/>
    </row>
    <row r="34" spans="2:78" ht="18.75" customHeight="1" x14ac:dyDescent="0.3">
      <c r="B34" s="223"/>
      <c r="C34" s="254" t="s">
        <v>439</v>
      </c>
      <c r="D34" s="258">
        <v>200000</v>
      </c>
      <c r="E34" s="258">
        <v>65000</v>
      </c>
      <c r="F34" s="258">
        <v>25000</v>
      </c>
      <c r="G34" s="258">
        <v>35000</v>
      </c>
      <c r="H34" s="258">
        <v>45000</v>
      </c>
      <c r="I34" s="258">
        <v>60000</v>
      </c>
      <c r="J34" s="258">
        <v>40000</v>
      </c>
      <c r="K34" s="253">
        <v>150000</v>
      </c>
      <c r="L34" s="224"/>
      <c r="R34" s="223"/>
      <c r="S34" s="257" t="s">
        <v>73</v>
      </c>
      <c r="T34" s="424">
        <v>15000</v>
      </c>
      <c r="U34" s="322">
        <v>10000</v>
      </c>
      <c r="V34" s="258">
        <v>0</v>
      </c>
      <c r="W34" s="322">
        <v>2500</v>
      </c>
      <c r="X34" s="322">
        <v>12000</v>
      </c>
      <c r="Y34" s="322">
        <v>25000</v>
      </c>
      <c r="Z34" s="322">
        <v>8000</v>
      </c>
      <c r="AA34" s="432">
        <v>20000</v>
      </c>
      <c r="AB34" s="224"/>
      <c r="AH34" s="223"/>
      <c r="AI34" s="257" t="s">
        <v>439</v>
      </c>
      <c r="AJ34" s="261">
        <v>23</v>
      </c>
      <c r="AK34" s="328">
        <v>38</v>
      </c>
      <c r="AL34" s="261">
        <v>11.5</v>
      </c>
      <c r="AM34" s="328">
        <v>25</v>
      </c>
      <c r="AN34" s="328">
        <v>5</v>
      </c>
      <c r="AO34" s="261">
        <v>65</v>
      </c>
      <c r="AP34" s="328">
        <v>2</v>
      </c>
      <c r="AQ34" s="323">
        <v>15</v>
      </c>
      <c r="AR34" s="320">
        <v>70</v>
      </c>
      <c r="AS34" s="320">
        <v>19</v>
      </c>
      <c r="AT34" s="224"/>
      <c r="AV34" s="162"/>
      <c r="AW34" s="162"/>
      <c r="AX34" s="162"/>
      <c r="AZ34" s="223"/>
      <c r="BA34" s="252" t="s">
        <v>439</v>
      </c>
      <c r="BB34" s="329" t="s">
        <v>80</v>
      </c>
      <c r="BC34" s="249" t="s">
        <v>81</v>
      </c>
      <c r="BD34" s="249" t="s">
        <v>80</v>
      </c>
      <c r="BE34" s="249" t="s">
        <v>80</v>
      </c>
      <c r="BF34" s="249" t="s">
        <v>81</v>
      </c>
      <c r="BG34" s="249" t="s">
        <v>81</v>
      </c>
      <c r="BH34" s="249" t="s">
        <v>80</v>
      </c>
      <c r="BI34" s="249" t="s">
        <v>81</v>
      </c>
      <c r="BJ34" s="249" t="s">
        <v>81</v>
      </c>
      <c r="BK34" s="249" t="s">
        <v>80</v>
      </c>
      <c r="BL34" s="224"/>
      <c r="BN34" s="223"/>
      <c r="BO34" s="257" t="s">
        <v>439</v>
      </c>
      <c r="BP34" s="322">
        <v>2</v>
      </c>
      <c r="BQ34" s="322">
        <v>3</v>
      </c>
      <c r="BR34" s="322">
        <v>1</v>
      </c>
      <c r="BS34" s="258">
        <v>0</v>
      </c>
      <c r="BT34" s="258">
        <v>2</v>
      </c>
      <c r="BU34" s="258">
        <v>3</v>
      </c>
      <c r="BV34" s="258">
        <v>0</v>
      </c>
      <c r="BW34" s="258">
        <v>1</v>
      </c>
      <c r="BX34" s="262">
        <v>1</v>
      </c>
      <c r="BY34" s="262">
        <v>1</v>
      </c>
      <c r="BZ34" s="224"/>
    </row>
    <row r="35" spans="2:78" x14ac:dyDescent="0.3">
      <c r="B35" s="223"/>
      <c r="C35" s="254" t="s">
        <v>437</v>
      </c>
      <c r="D35" s="258">
        <v>200000</v>
      </c>
      <c r="E35" s="258">
        <v>65000</v>
      </c>
      <c r="F35" s="258">
        <v>25000</v>
      </c>
      <c r="G35" s="258">
        <v>35000</v>
      </c>
      <c r="H35" s="258">
        <v>45000</v>
      </c>
      <c r="I35" s="258">
        <v>60000</v>
      </c>
      <c r="J35" s="258">
        <v>40000</v>
      </c>
      <c r="K35" s="253">
        <v>150000</v>
      </c>
      <c r="L35" s="224"/>
      <c r="R35" s="223"/>
      <c r="S35" s="254" t="s">
        <v>242</v>
      </c>
      <c r="T35" s="424">
        <v>15000</v>
      </c>
      <c r="U35" s="322">
        <v>10000</v>
      </c>
      <c r="V35" s="255">
        <v>0</v>
      </c>
      <c r="W35" s="322">
        <v>2500</v>
      </c>
      <c r="X35" s="322">
        <v>12000</v>
      </c>
      <c r="Y35" s="322">
        <v>25000</v>
      </c>
      <c r="Z35" s="322">
        <v>8000</v>
      </c>
      <c r="AA35" s="432">
        <v>20000</v>
      </c>
      <c r="AB35" s="224"/>
      <c r="AH35" s="223"/>
      <c r="AI35" s="257" t="s">
        <v>437</v>
      </c>
      <c r="AJ35" s="261">
        <v>23</v>
      </c>
      <c r="AK35" s="328">
        <v>38</v>
      </c>
      <c r="AL35" s="261">
        <v>11.5</v>
      </c>
      <c r="AM35" s="328">
        <v>25</v>
      </c>
      <c r="AN35" s="328">
        <v>5</v>
      </c>
      <c r="AO35" s="261">
        <v>65</v>
      </c>
      <c r="AP35" s="328">
        <v>2</v>
      </c>
      <c r="AQ35" s="323">
        <v>15</v>
      </c>
      <c r="AR35" s="320">
        <v>70</v>
      </c>
      <c r="AS35" s="320">
        <v>19</v>
      </c>
      <c r="AT35" s="224"/>
      <c r="AZ35" s="223"/>
      <c r="BA35" s="252" t="s">
        <v>437</v>
      </c>
      <c r="BB35" s="329" t="s">
        <v>80</v>
      </c>
      <c r="BC35" s="249" t="s">
        <v>81</v>
      </c>
      <c r="BD35" s="249" t="s">
        <v>80</v>
      </c>
      <c r="BE35" s="249" t="s">
        <v>80</v>
      </c>
      <c r="BF35" s="249" t="s">
        <v>81</v>
      </c>
      <c r="BG35" s="249" t="s">
        <v>81</v>
      </c>
      <c r="BH35" s="249" t="s">
        <v>80</v>
      </c>
      <c r="BI35" s="249" t="s">
        <v>81</v>
      </c>
      <c r="BJ35" s="249" t="s">
        <v>81</v>
      </c>
      <c r="BK35" s="249" t="s">
        <v>80</v>
      </c>
      <c r="BL35" s="224"/>
      <c r="BN35" s="223"/>
      <c r="BO35" s="257" t="s">
        <v>437</v>
      </c>
      <c r="BP35" s="322">
        <v>2</v>
      </c>
      <c r="BQ35" s="322">
        <v>3</v>
      </c>
      <c r="BR35" s="322">
        <v>1</v>
      </c>
      <c r="BS35" s="258">
        <v>0</v>
      </c>
      <c r="BT35" s="258">
        <v>2</v>
      </c>
      <c r="BU35" s="258">
        <v>3</v>
      </c>
      <c r="BV35" s="258">
        <v>0</v>
      </c>
      <c r="BW35" s="258">
        <v>1</v>
      </c>
      <c r="BX35" s="262">
        <v>1</v>
      </c>
      <c r="BY35" s="262">
        <v>1</v>
      </c>
      <c r="BZ35" s="224"/>
    </row>
    <row r="36" spans="2:78" ht="15" thickBot="1" x14ac:dyDescent="0.35">
      <c r="B36" s="223"/>
      <c r="C36" s="259" t="s">
        <v>438</v>
      </c>
      <c r="D36" s="258">
        <v>200000</v>
      </c>
      <c r="E36" s="258">
        <v>65000</v>
      </c>
      <c r="F36" s="258">
        <v>25000</v>
      </c>
      <c r="G36" s="258">
        <v>35000</v>
      </c>
      <c r="H36" s="258">
        <v>45000</v>
      </c>
      <c r="I36" s="258">
        <v>60000</v>
      </c>
      <c r="J36" s="258">
        <v>40000</v>
      </c>
      <c r="K36" s="253">
        <v>150000</v>
      </c>
      <c r="L36" s="224"/>
      <c r="R36" s="223"/>
      <c r="S36" s="259" t="s">
        <v>243</v>
      </c>
      <c r="T36" s="428">
        <v>15000</v>
      </c>
      <c r="U36" s="328">
        <v>10000</v>
      </c>
      <c r="V36" s="260">
        <v>0</v>
      </c>
      <c r="W36" s="328">
        <v>2500</v>
      </c>
      <c r="X36" s="328">
        <v>12000</v>
      </c>
      <c r="Y36" s="328">
        <v>25000</v>
      </c>
      <c r="Z36" s="328">
        <v>8000</v>
      </c>
      <c r="AA36" s="434">
        <v>20000</v>
      </c>
      <c r="AB36" s="224"/>
      <c r="AH36" s="223"/>
      <c r="AI36" s="264" t="s">
        <v>438</v>
      </c>
      <c r="AJ36" s="261">
        <v>23</v>
      </c>
      <c r="AK36" s="328">
        <v>38</v>
      </c>
      <c r="AL36" s="261">
        <v>11.5</v>
      </c>
      <c r="AM36" s="328">
        <v>25</v>
      </c>
      <c r="AN36" s="328">
        <v>5</v>
      </c>
      <c r="AO36" s="261">
        <v>65</v>
      </c>
      <c r="AP36" s="328">
        <v>2</v>
      </c>
      <c r="AQ36" s="323">
        <v>15</v>
      </c>
      <c r="AR36" s="320">
        <v>70</v>
      </c>
      <c r="AS36" s="320">
        <v>19</v>
      </c>
      <c r="AT36" s="224"/>
      <c r="AZ36" s="223"/>
      <c r="BA36" s="252" t="s">
        <v>438</v>
      </c>
      <c r="BB36" s="329" t="s">
        <v>80</v>
      </c>
      <c r="BC36" s="249" t="s">
        <v>81</v>
      </c>
      <c r="BD36" s="249" t="s">
        <v>80</v>
      </c>
      <c r="BE36" s="249" t="s">
        <v>80</v>
      </c>
      <c r="BF36" s="249" t="s">
        <v>81</v>
      </c>
      <c r="BG36" s="249" t="s">
        <v>81</v>
      </c>
      <c r="BH36" s="249" t="s">
        <v>80</v>
      </c>
      <c r="BI36" s="249" t="s">
        <v>81</v>
      </c>
      <c r="BJ36" s="249" t="s">
        <v>81</v>
      </c>
      <c r="BK36" s="249" t="s">
        <v>80</v>
      </c>
      <c r="BL36" s="224"/>
      <c r="BN36" s="223"/>
      <c r="BO36" s="264" t="s">
        <v>438</v>
      </c>
      <c r="BP36" s="322">
        <v>2</v>
      </c>
      <c r="BQ36" s="322">
        <v>3</v>
      </c>
      <c r="BR36" s="322">
        <v>1</v>
      </c>
      <c r="BS36" s="258">
        <v>0</v>
      </c>
      <c r="BT36" s="258">
        <v>2</v>
      </c>
      <c r="BU36" s="258">
        <v>3</v>
      </c>
      <c r="BV36" s="258">
        <v>0</v>
      </c>
      <c r="BW36" s="258">
        <v>1</v>
      </c>
      <c r="BX36" s="262">
        <v>1</v>
      </c>
      <c r="BY36" s="262">
        <v>1</v>
      </c>
      <c r="BZ36" s="224"/>
    </row>
    <row r="37" spans="2:78" ht="15.6" thickTop="1" thickBot="1" x14ac:dyDescent="0.35">
      <c r="B37" s="223"/>
      <c r="C37" s="259" t="s">
        <v>393</v>
      </c>
      <c r="D37" s="258">
        <v>200000</v>
      </c>
      <c r="E37" s="258">
        <v>75000</v>
      </c>
      <c r="F37" s="258">
        <v>30000</v>
      </c>
      <c r="G37" s="258">
        <v>40000</v>
      </c>
      <c r="H37" s="258">
        <v>45000</v>
      </c>
      <c r="I37" s="258">
        <v>60000</v>
      </c>
      <c r="J37" s="258">
        <v>40000</v>
      </c>
      <c r="K37" s="253">
        <v>190000</v>
      </c>
      <c r="L37" s="224"/>
      <c r="R37" s="223"/>
      <c r="S37" s="264" t="s">
        <v>125</v>
      </c>
      <c r="T37" s="426">
        <v>11000</v>
      </c>
      <c r="U37" s="426">
        <v>5500</v>
      </c>
      <c r="V37" s="261">
        <v>0</v>
      </c>
      <c r="W37" s="328">
        <v>2500</v>
      </c>
      <c r="X37" s="328">
        <v>10000</v>
      </c>
      <c r="Y37" s="328">
        <v>25000</v>
      </c>
      <c r="Z37" s="328">
        <v>5000</v>
      </c>
      <c r="AA37" s="433">
        <v>16000</v>
      </c>
      <c r="AB37" s="224"/>
      <c r="AH37" s="223"/>
      <c r="AI37" s="264" t="s">
        <v>393</v>
      </c>
      <c r="AJ37" s="255">
        <v>29.8</v>
      </c>
      <c r="AK37" s="322">
        <v>45</v>
      </c>
      <c r="AL37" s="255">
        <v>8.35</v>
      </c>
      <c r="AM37" s="322">
        <v>30</v>
      </c>
      <c r="AN37" s="322">
        <v>5</v>
      </c>
      <c r="AO37" s="255">
        <v>58</v>
      </c>
      <c r="AP37" s="322">
        <v>1</v>
      </c>
      <c r="AQ37" s="322">
        <v>20</v>
      </c>
      <c r="AR37" s="262">
        <v>59</v>
      </c>
      <c r="AS37" s="262">
        <v>14</v>
      </c>
      <c r="AT37" s="224"/>
      <c r="AZ37" s="223"/>
      <c r="BA37" s="252" t="s">
        <v>393</v>
      </c>
      <c r="BB37" s="248" t="s">
        <v>80</v>
      </c>
      <c r="BC37" s="248" t="s">
        <v>81</v>
      </c>
      <c r="BD37" s="248" t="s">
        <v>80</v>
      </c>
      <c r="BE37" s="248" t="s">
        <v>80</v>
      </c>
      <c r="BF37" s="248" t="s">
        <v>81</v>
      </c>
      <c r="BG37" s="248" t="s">
        <v>81</v>
      </c>
      <c r="BH37" s="248" t="s">
        <v>80</v>
      </c>
      <c r="BI37" s="248" t="s">
        <v>81</v>
      </c>
      <c r="BJ37" s="248" t="s">
        <v>81</v>
      </c>
      <c r="BK37" s="249" t="s">
        <v>80</v>
      </c>
      <c r="BL37" s="224"/>
      <c r="BN37" s="223"/>
      <c r="BO37" s="264" t="s">
        <v>393</v>
      </c>
      <c r="BP37" s="322">
        <v>2</v>
      </c>
      <c r="BQ37" s="322">
        <v>3</v>
      </c>
      <c r="BR37" s="322">
        <v>1</v>
      </c>
      <c r="BS37" s="322">
        <v>0</v>
      </c>
      <c r="BT37" s="258">
        <v>2</v>
      </c>
      <c r="BU37" s="258">
        <v>3</v>
      </c>
      <c r="BV37" s="258">
        <v>0</v>
      </c>
      <c r="BW37" s="258">
        <v>1</v>
      </c>
      <c r="BX37" s="262">
        <v>1</v>
      </c>
      <c r="BY37" s="262">
        <v>1</v>
      </c>
      <c r="BZ37" s="224"/>
    </row>
    <row r="38" spans="2:78" ht="15" thickTop="1" x14ac:dyDescent="0.3">
      <c r="B38" s="223"/>
      <c r="C38" s="259" t="s">
        <v>447</v>
      </c>
      <c r="D38" s="258">
        <v>200000</v>
      </c>
      <c r="E38" s="258">
        <v>75000</v>
      </c>
      <c r="F38" s="258">
        <v>30000</v>
      </c>
      <c r="G38" s="258">
        <v>40000</v>
      </c>
      <c r="H38" s="258">
        <v>45000</v>
      </c>
      <c r="I38" s="258">
        <v>60000</v>
      </c>
      <c r="J38" s="258">
        <v>40000</v>
      </c>
      <c r="K38" s="253">
        <v>190000</v>
      </c>
      <c r="L38" s="224"/>
      <c r="R38" s="223"/>
      <c r="S38" s="259" t="s">
        <v>128</v>
      </c>
      <c r="T38" s="426">
        <v>11000</v>
      </c>
      <c r="U38" s="426">
        <v>5500</v>
      </c>
      <c r="V38" s="260">
        <v>0</v>
      </c>
      <c r="W38" s="328">
        <v>2500</v>
      </c>
      <c r="X38" s="328">
        <v>10000</v>
      </c>
      <c r="Y38" s="328">
        <v>25000</v>
      </c>
      <c r="Z38" s="328">
        <v>5000</v>
      </c>
      <c r="AA38" s="433">
        <v>16000</v>
      </c>
      <c r="AB38" s="224"/>
      <c r="AH38" s="223"/>
      <c r="AI38" s="264" t="s">
        <v>447</v>
      </c>
      <c r="AJ38" s="255">
        <v>29.8</v>
      </c>
      <c r="AK38" s="322">
        <v>45</v>
      </c>
      <c r="AL38" s="255">
        <v>8.35</v>
      </c>
      <c r="AM38" s="322">
        <v>30</v>
      </c>
      <c r="AN38" s="322">
        <v>5</v>
      </c>
      <c r="AO38" s="255">
        <v>58</v>
      </c>
      <c r="AP38" s="322">
        <v>1</v>
      </c>
      <c r="AQ38" s="322">
        <v>20</v>
      </c>
      <c r="AR38" s="262">
        <v>59</v>
      </c>
      <c r="AS38" s="262">
        <v>14</v>
      </c>
      <c r="AT38" s="224"/>
      <c r="AZ38" s="223"/>
      <c r="BA38" s="252" t="s">
        <v>447</v>
      </c>
      <c r="BB38" s="248" t="s">
        <v>80</v>
      </c>
      <c r="BC38" s="248" t="s">
        <v>81</v>
      </c>
      <c r="BD38" s="248" t="s">
        <v>80</v>
      </c>
      <c r="BE38" s="248" t="s">
        <v>80</v>
      </c>
      <c r="BF38" s="248" t="s">
        <v>81</v>
      </c>
      <c r="BG38" s="248" t="s">
        <v>81</v>
      </c>
      <c r="BH38" s="248" t="s">
        <v>80</v>
      </c>
      <c r="BI38" s="248" t="s">
        <v>81</v>
      </c>
      <c r="BJ38" s="248" t="s">
        <v>81</v>
      </c>
      <c r="BK38" s="249" t="s">
        <v>80</v>
      </c>
      <c r="BL38" s="224"/>
      <c r="BN38" s="223"/>
      <c r="BO38" s="264" t="s">
        <v>447</v>
      </c>
      <c r="BP38" s="322">
        <v>2</v>
      </c>
      <c r="BQ38" s="322">
        <v>3</v>
      </c>
      <c r="BR38" s="322">
        <v>1</v>
      </c>
      <c r="BS38" s="322">
        <v>0</v>
      </c>
      <c r="BT38" s="258">
        <v>2</v>
      </c>
      <c r="BU38" s="258">
        <v>3</v>
      </c>
      <c r="BV38" s="258">
        <v>0</v>
      </c>
      <c r="BW38" s="258">
        <v>1</v>
      </c>
      <c r="BX38" s="262">
        <v>1</v>
      </c>
      <c r="BY38" s="262">
        <v>1</v>
      </c>
      <c r="BZ38" s="224"/>
    </row>
    <row r="39" spans="2:78" ht="15" thickBot="1" x14ac:dyDescent="0.35">
      <c r="B39" s="223"/>
      <c r="C39" s="162"/>
      <c r="D39" s="162"/>
      <c r="E39" s="162"/>
      <c r="F39" s="162"/>
      <c r="G39" s="162"/>
      <c r="H39" s="162"/>
      <c r="I39" s="162"/>
      <c r="J39" s="162"/>
      <c r="K39" s="162"/>
      <c r="L39" s="224"/>
      <c r="R39" s="223"/>
      <c r="S39" s="162"/>
      <c r="T39" s="162"/>
      <c r="U39" s="162"/>
      <c r="V39" s="162"/>
      <c r="W39" s="162"/>
      <c r="X39" s="162"/>
      <c r="Y39" s="162"/>
      <c r="Z39" s="162"/>
      <c r="AA39" s="162"/>
      <c r="AB39" s="224"/>
      <c r="AH39" s="223"/>
      <c r="AI39" s="162"/>
      <c r="AJ39" s="162"/>
      <c r="AK39" s="162"/>
      <c r="AL39" s="162"/>
      <c r="AM39" s="162"/>
      <c r="AN39" s="162"/>
      <c r="AO39" s="162"/>
      <c r="AP39" s="162"/>
      <c r="AQ39" s="162"/>
      <c r="AR39" s="162"/>
      <c r="AS39" s="162"/>
      <c r="AT39" s="224"/>
      <c r="AZ39" s="223"/>
      <c r="BA39" s="162"/>
      <c r="BB39" s="162"/>
      <c r="BC39" s="162"/>
      <c r="BD39" s="162"/>
      <c r="BE39" s="162"/>
      <c r="BF39" s="162"/>
      <c r="BG39" s="162"/>
      <c r="BH39" s="162"/>
      <c r="BI39" s="162"/>
      <c r="BJ39" s="162"/>
      <c r="BK39" s="162"/>
      <c r="BL39" s="224"/>
      <c r="BN39" s="223"/>
      <c r="BO39" s="162"/>
      <c r="BP39" s="162"/>
      <c r="BQ39" s="162"/>
      <c r="BR39" s="162"/>
      <c r="BS39" s="162"/>
      <c r="BT39" s="162"/>
      <c r="BU39" s="162"/>
      <c r="BV39" s="162"/>
      <c r="BW39" s="162"/>
      <c r="BX39" s="162"/>
      <c r="BY39" s="162"/>
      <c r="BZ39" s="224"/>
    </row>
    <row r="40" spans="2:78" x14ac:dyDescent="0.3">
      <c r="B40" s="223"/>
      <c r="C40" s="230" t="s">
        <v>234</v>
      </c>
      <c r="D40" s="231">
        <v>42800</v>
      </c>
      <c r="E40" s="232" t="s">
        <v>231</v>
      </c>
      <c r="F40" s="233" t="s">
        <v>233</v>
      </c>
      <c r="G40" s="162"/>
      <c r="H40" s="162"/>
      <c r="I40" s="162"/>
      <c r="J40" s="162"/>
      <c r="K40" s="162"/>
      <c r="L40" s="224"/>
      <c r="R40" s="223"/>
      <c r="S40" s="230" t="s">
        <v>234</v>
      </c>
      <c r="T40" s="231">
        <v>42873</v>
      </c>
      <c r="U40" s="232" t="s">
        <v>231</v>
      </c>
      <c r="V40" s="233" t="s">
        <v>233</v>
      </c>
      <c r="W40" s="162"/>
      <c r="X40" s="162"/>
      <c r="Y40" s="162"/>
      <c r="Z40" s="311">
        <v>2000</v>
      </c>
      <c r="AA40" s="312" t="s">
        <v>377</v>
      </c>
      <c r="AB40" s="224"/>
      <c r="AH40" s="223"/>
      <c r="AI40" s="230" t="s">
        <v>234</v>
      </c>
      <c r="AJ40" s="231">
        <v>42873</v>
      </c>
      <c r="AK40" s="232" t="s">
        <v>231</v>
      </c>
      <c r="AL40" s="233" t="s">
        <v>233</v>
      </c>
      <c r="AM40" s="162"/>
      <c r="AN40" s="162"/>
      <c r="AO40" s="162"/>
      <c r="AP40" s="162"/>
      <c r="AQ40" s="311">
        <v>2000</v>
      </c>
      <c r="AR40" s="1021" t="s">
        <v>377</v>
      </c>
      <c r="AS40" s="1021"/>
      <c r="AT40" s="224"/>
      <c r="AZ40" s="223"/>
      <c r="BA40" s="230" t="s">
        <v>234</v>
      </c>
      <c r="BB40" s="231">
        <v>42873</v>
      </c>
      <c r="BC40" s="232" t="s">
        <v>231</v>
      </c>
      <c r="BD40" s="233" t="s">
        <v>233</v>
      </c>
      <c r="BE40" s="162"/>
      <c r="BF40" s="162"/>
      <c r="BG40" s="162"/>
      <c r="BH40" s="162"/>
      <c r="BI40" s="311">
        <v>2000</v>
      </c>
      <c r="BJ40" s="1021" t="s">
        <v>377</v>
      </c>
      <c r="BK40" s="1021"/>
      <c r="BL40" s="224"/>
      <c r="BN40" s="223"/>
      <c r="BO40" s="230" t="s">
        <v>234</v>
      </c>
      <c r="BP40" s="231">
        <v>42873</v>
      </c>
      <c r="BQ40" s="232" t="s">
        <v>231</v>
      </c>
      <c r="BR40" s="233" t="s">
        <v>233</v>
      </c>
      <c r="BS40" s="162"/>
      <c r="BT40" s="162"/>
      <c r="BU40" s="162"/>
      <c r="BV40" s="162"/>
      <c r="BW40" s="311">
        <v>2000</v>
      </c>
      <c r="BX40" s="1021" t="s">
        <v>377</v>
      </c>
      <c r="BY40" s="1021"/>
      <c r="BZ40" s="224"/>
    </row>
    <row r="41" spans="2:78" ht="15" thickBot="1" x14ac:dyDescent="0.35">
      <c r="B41" s="223"/>
      <c r="C41" s="234" t="s">
        <v>232</v>
      </c>
      <c r="D41" s="235"/>
      <c r="E41" s="235" t="s">
        <v>231</v>
      </c>
      <c r="F41" s="236"/>
      <c r="G41" s="162"/>
      <c r="H41" s="162"/>
      <c r="I41" s="162"/>
      <c r="J41" s="162"/>
      <c r="K41" s="162"/>
      <c r="L41" s="224"/>
      <c r="R41" s="223"/>
      <c r="S41" s="234" t="s">
        <v>232</v>
      </c>
      <c r="T41" s="235"/>
      <c r="U41" s="235" t="s">
        <v>231</v>
      </c>
      <c r="V41" s="236"/>
      <c r="W41" s="162"/>
      <c r="X41" s="162"/>
      <c r="Y41" s="162"/>
      <c r="Z41" s="313">
        <v>2000</v>
      </c>
      <c r="AA41" s="312" t="s">
        <v>378</v>
      </c>
      <c r="AB41" s="224"/>
      <c r="AH41" s="223"/>
      <c r="AI41" s="234" t="s">
        <v>232</v>
      </c>
      <c r="AJ41" s="235"/>
      <c r="AK41" s="235" t="s">
        <v>231</v>
      </c>
      <c r="AL41" s="236"/>
      <c r="AM41" s="162"/>
      <c r="AN41" s="162"/>
      <c r="AO41" s="162"/>
      <c r="AP41" s="162"/>
      <c r="AQ41" s="313">
        <v>2000</v>
      </c>
      <c r="AR41" s="1021" t="s">
        <v>378</v>
      </c>
      <c r="AS41" s="1021"/>
      <c r="AT41" s="224"/>
      <c r="AZ41" s="223"/>
      <c r="BA41" s="234" t="s">
        <v>232</v>
      </c>
      <c r="BB41" s="235"/>
      <c r="BC41" s="235" t="s">
        <v>231</v>
      </c>
      <c r="BD41" s="236"/>
      <c r="BE41" s="162"/>
      <c r="BF41" s="162"/>
      <c r="BG41" s="162"/>
      <c r="BH41" s="162"/>
      <c r="BI41" s="313">
        <v>2000</v>
      </c>
      <c r="BJ41" s="1021" t="s">
        <v>378</v>
      </c>
      <c r="BK41" s="1021"/>
      <c r="BL41" s="224"/>
      <c r="BN41" s="223"/>
      <c r="BO41" s="234" t="s">
        <v>232</v>
      </c>
      <c r="BP41" s="235"/>
      <c r="BQ41" s="235" t="s">
        <v>231</v>
      </c>
      <c r="BR41" s="236"/>
      <c r="BS41" s="162"/>
      <c r="BT41" s="162"/>
      <c r="BU41" s="162"/>
      <c r="BV41" s="162"/>
      <c r="BW41" s="313">
        <v>2000</v>
      </c>
      <c r="BX41" s="1021" t="s">
        <v>378</v>
      </c>
      <c r="BY41" s="1021"/>
      <c r="BZ41" s="224"/>
    </row>
    <row r="42" spans="2:78" ht="15" thickBot="1" x14ac:dyDescent="0.35">
      <c r="B42" s="226"/>
      <c r="C42" s="227"/>
      <c r="D42" s="227"/>
      <c r="E42" s="227"/>
      <c r="F42" s="227"/>
      <c r="G42" s="227"/>
      <c r="H42" s="227"/>
      <c r="I42" s="227"/>
      <c r="J42" s="227"/>
      <c r="K42" s="227"/>
      <c r="L42" s="228"/>
      <c r="R42" s="226"/>
      <c r="S42" s="227"/>
      <c r="T42" s="227"/>
      <c r="U42" s="227"/>
      <c r="V42" s="227"/>
      <c r="W42" s="227"/>
      <c r="X42" s="227"/>
      <c r="Y42" s="227"/>
      <c r="Z42" s="227"/>
      <c r="AA42" s="227"/>
      <c r="AB42" s="228"/>
      <c r="AH42" s="226"/>
      <c r="AI42" s="227"/>
      <c r="AJ42" s="227"/>
      <c r="AK42" s="227"/>
      <c r="AL42" s="227"/>
      <c r="AM42" s="227"/>
      <c r="AN42" s="227"/>
      <c r="AO42" s="227"/>
      <c r="AP42" s="227"/>
      <c r="AQ42" s="227"/>
      <c r="AR42" s="227"/>
      <c r="AS42" s="227"/>
      <c r="AT42" s="228"/>
      <c r="AZ42" s="226"/>
      <c r="BA42" s="227"/>
      <c r="BB42" s="227"/>
      <c r="BC42" s="227"/>
      <c r="BD42" s="227"/>
      <c r="BE42" s="227"/>
      <c r="BF42" s="227"/>
      <c r="BG42" s="227"/>
      <c r="BH42" s="227"/>
      <c r="BI42" s="227"/>
      <c r="BJ42" s="227"/>
      <c r="BK42" s="227"/>
      <c r="BL42" s="228"/>
      <c r="BN42" s="226"/>
      <c r="BO42" s="227"/>
      <c r="BP42" s="227"/>
      <c r="BQ42" s="227"/>
      <c r="BR42" s="227"/>
      <c r="BS42" s="227"/>
      <c r="BT42" s="227"/>
      <c r="BU42" s="227"/>
      <c r="BV42" s="227"/>
      <c r="BW42" s="227"/>
      <c r="BX42" s="227"/>
      <c r="BY42" s="227"/>
      <c r="BZ42" s="228"/>
    </row>
    <row r="43" spans="2:78" x14ac:dyDescent="0.3">
      <c r="AH43" s="162"/>
      <c r="AI43" s="162"/>
      <c r="AJ43" s="162"/>
      <c r="AK43" s="162"/>
      <c r="AL43" s="162"/>
      <c r="AM43" s="162"/>
      <c r="AN43" s="162"/>
      <c r="AO43" s="162"/>
      <c r="AP43" s="162"/>
      <c r="AQ43" s="162"/>
      <c r="AR43" s="162"/>
      <c r="AS43" s="162"/>
      <c r="AT43" s="162"/>
      <c r="AZ43" s="162"/>
      <c r="BA43" s="162"/>
      <c r="BB43" s="162"/>
      <c r="BC43" s="162"/>
      <c r="BD43" s="162"/>
      <c r="BE43" s="162"/>
      <c r="BF43" s="162"/>
      <c r="BG43" s="162"/>
      <c r="BH43" s="162"/>
      <c r="BI43" s="162"/>
      <c r="BJ43" s="162"/>
      <c r="BK43" s="162"/>
      <c r="BL43" s="162"/>
      <c r="BN43" s="162"/>
      <c r="BO43" s="162"/>
      <c r="BP43" s="162"/>
      <c r="BQ43" s="162"/>
      <c r="BR43" s="162"/>
      <c r="BS43" s="162"/>
      <c r="BT43" s="162"/>
      <c r="BU43" s="162"/>
      <c r="BV43" s="162"/>
      <c r="BW43" s="162"/>
      <c r="BX43" s="162"/>
      <c r="BY43" s="162"/>
      <c r="BZ43" s="162"/>
    </row>
    <row r="44" spans="2:78" x14ac:dyDescent="0.3">
      <c r="AH44" s="162"/>
    </row>
    <row r="45" spans="2:78" x14ac:dyDescent="0.3">
      <c r="AH45" s="162"/>
    </row>
    <row r="46" spans="2:78" x14ac:dyDescent="0.3">
      <c r="AH46" s="162"/>
    </row>
    <row r="47" spans="2:78" x14ac:dyDescent="0.3">
      <c r="AH47" s="162"/>
    </row>
    <row r="48" spans="2:78" x14ac:dyDescent="0.3">
      <c r="AH48" s="162"/>
    </row>
    <row r="49" spans="34:34" x14ac:dyDescent="0.3">
      <c r="AH49" s="162"/>
    </row>
    <row r="50" spans="34:34" x14ac:dyDescent="0.3">
      <c r="AH50" s="162"/>
    </row>
    <row r="51" spans="34:34" x14ac:dyDescent="0.3">
      <c r="AH51" s="162"/>
    </row>
    <row r="52" spans="34:34" x14ac:dyDescent="0.3">
      <c r="AH52" s="162"/>
    </row>
    <row r="53" spans="34:34" x14ac:dyDescent="0.3">
      <c r="AH53" s="162"/>
    </row>
    <row r="54" spans="34:34" x14ac:dyDescent="0.3">
      <c r="AH54" s="162"/>
    </row>
    <row r="55" spans="34:34" x14ac:dyDescent="0.3">
      <c r="AH55" s="162"/>
    </row>
    <row r="56" spans="34:34" x14ac:dyDescent="0.3">
      <c r="AH56" s="162"/>
    </row>
    <row r="57" spans="34:34" x14ac:dyDescent="0.3">
      <c r="AH57" s="162"/>
    </row>
    <row r="58" spans="34:34" x14ac:dyDescent="0.3">
      <c r="AH58" s="162"/>
    </row>
    <row r="59" spans="34:34" x14ac:dyDescent="0.3">
      <c r="AH59" s="162"/>
    </row>
    <row r="60" spans="34:34" x14ac:dyDescent="0.3">
      <c r="AH60" s="162"/>
    </row>
    <row r="61" spans="34:34" x14ac:dyDescent="0.3">
      <c r="AH61" s="162"/>
    </row>
    <row r="62" spans="34:34" x14ac:dyDescent="0.3">
      <c r="AH62" s="162"/>
    </row>
    <row r="63" spans="34:34" x14ac:dyDescent="0.3">
      <c r="AH63" s="162"/>
    </row>
    <row r="64" spans="34:34" x14ac:dyDescent="0.3">
      <c r="AH64" s="162"/>
    </row>
    <row r="65" spans="34:34" x14ac:dyDescent="0.3">
      <c r="AH65" s="162"/>
    </row>
    <row r="66" spans="34:34" x14ac:dyDescent="0.3">
      <c r="AH66" s="162"/>
    </row>
    <row r="67" spans="34:34" x14ac:dyDescent="0.3">
      <c r="AH67" s="162"/>
    </row>
    <row r="68" spans="34:34" x14ac:dyDescent="0.3">
      <c r="AH68" s="162"/>
    </row>
    <row r="69" spans="34:34" x14ac:dyDescent="0.3">
      <c r="AH69" s="162"/>
    </row>
    <row r="70" spans="34:34" x14ac:dyDescent="0.3">
      <c r="AH70" s="162"/>
    </row>
    <row r="71" spans="34:34" x14ac:dyDescent="0.3">
      <c r="AH71" s="162"/>
    </row>
    <row r="72" spans="34:34" x14ac:dyDescent="0.3">
      <c r="AH72" s="162"/>
    </row>
    <row r="73" spans="34:34" x14ac:dyDescent="0.3">
      <c r="AH73" s="162"/>
    </row>
    <row r="74" spans="34:34" x14ac:dyDescent="0.3">
      <c r="AH74" s="162"/>
    </row>
  </sheetData>
  <mergeCells count="18">
    <mergeCell ref="CF5:CF6"/>
    <mergeCell ref="CG5:CH5"/>
    <mergeCell ref="CI5:CJ5"/>
    <mergeCell ref="CK5:CL5"/>
    <mergeCell ref="AR40:AS40"/>
    <mergeCell ref="CC3:CC10"/>
    <mergeCell ref="AR41:AS41"/>
    <mergeCell ref="BX40:BY40"/>
    <mergeCell ref="BX41:BY41"/>
    <mergeCell ref="BJ40:BK40"/>
    <mergeCell ref="BJ41:BK41"/>
    <mergeCell ref="O3:O9"/>
    <mergeCell ref="O14:O31"/>
    <mergeCell ref="AW14:AW31"/>
    <mergeCell ref="CC13:CC31"/>
    <mergeCell ref="AW3:AW10"/>
    <mergeCell ref="AE3:AE9"/>
    <mergeCell ref="AE14:AE31"/>
  </mergeCells>
  <conditionalFormatting sqref="BO33 BO37:BO38 C6:K38 S6:AA38 AI6:AS38 BA6:BK38">
    <cfRule type="expression" dxfId="102" priority="18">
      <formula>MOD(ROW(),2)=0</formula>
    </cfRule>
  </conditionalFormatting>
  <conditionalFormatting sqref="BO6:BY38">
    <cfRule type="expression" dxfId="101" priority="15">
      <formula>MOD(ROW(),2)=0</formula>
    </cfRule>
    <cfRule type="expression" priority="16">
      <formula>MOD(ROW(),2)=0</formula>
    </cfRule>
  </conditionalFormatting>
  <conditionalFormatting sqref="S30:S32">
    <cfRule type="expression" dxfId="100" priority="10">
      <formula>MOD(ROW(),2)=0</formula>
    </cfRule>
  </conditionalFormatting>
  <conditionalFormatting sqref="AI30:AI32">
    <cfRule type="expression" dxfId="99" priority="9">
      <formula>MOD(ROW(),2)=0</formula>
    </cfRule>
  </conditionalFormatting>
  <conditionalFormatting sqref="BA30:BA32">
    <cfRule type="expression" dxfId="98" priority="8">
      <formula>MOD(ROW(),2)=0</formula>
    </cfRule>
  </conditionalFormatting>
  <conditionalFormatting sqref="BO30:BO32">
    <cfRule type="expression" dxfId="97" priority="7">
      <formula>MOD(ROW(),2)=0</formula>
    </cfRule>
  </conditionalFormatting>
  <conditionalFormatting sqref="BO30:BO32">
    <cfRule type="expression" dxfId="96" priority="6">
      <formula>MOD(ROW(),2)=0</formula>
    </cfRule>
  </conditionalFormatting>
  <conditionalFormatting sqref="C34:C36">
    <cfRule type="expression" dxfId="95" priority="5">
      <formula>MOD(ROW(),2)=0</formula>
    </cfRule>
  </conditionalFormatting>
  <conditionalFormatting sqref="S34:S36">
    <cfRule type="expression" dxfId="94" priority="4">
      <formula>MOD(ROW(),2)=0</formula>
    </cfRule>
  </conditionalFormatting>
  <conditionalFormatting sqref="AI34:AI36">
    <cfRule type="expression" dxfId="93" priority="3">
      <formula>MOD(ROW(),2)=0</formula>
    </cfRule>
  </conditionalFormatting>
  <conditionalFormatting sqref="BA34:BA36">
    <cfRule type="expression" dxfId="92" priority="2">
      <formula>MOD(ROW(),2)=0</formula>
    </cfRule>
  </conditionalFormatting>
  <conditionalFormatting sqref="BO34:BO36">
    <cfRule type="expression" dxfId="91" priority="1">
      <formula>MOD(ROW(),2)=0</formula>
    </cfRule>
  </conditionalFormatting>
  <pageMargins left="0.7" right="0.7" top="0.78740157499999996" bottom="0.78740157499999996" header="0.3" footer="0.3"/>
  <pageSetup paperSize="9" orientation="landscape" r:id="rId1"/>
  <legacyDrawing r:id="rId2"/>
  <tableParts count="6">
    <tablePart r:id="rId3"/>
    <tablePart r:id="rId4"/>
    <tablePart r:id="rId5"/>
    <tablePart r:id="rId6"/>
    <tablePart r:id="rId7"/>
    <tablePart r:id="rId8"/>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B1:S26"/>
  <sheetViews>
    <sheetView workbookViewId="0">
      <selection activeCell="G16" sqref="G16"/>
    </sheetView>
  </sheetViews>
  <sheetFormatPr baseColWidth="10" defaultRowHeight="14.4" x14ac:dyDescent="0.3"/>
  <cols>
    <col min="2" max="2" width="5.44140625" customWidth="1"/>
    <col min="3" max="3" width="19.5546875" customWidth="1"/>
    <col min="15" max="15" width="3.88671875" customWidth="1"/>
    <col min="17" max="17" width="3" customWidth="1"/>
    <col min="18" max="18" width="27.5546875" customWidth="1"/>
    <col min="19" max="19" width="3" customWidth="1"/>
  </cols>
  <sheetData>
    <row r="1" spans="2:19" ht="15" thickBot="1" x14ac:dyDescent="0.35"/>
    <row r="2" spans="2:19" x14ac:dyDescent="0.3">
      <c r="B2" s="220"/>
      <c r="C2" s="221"/>
      <c r="D2" s="221"/>
      <c r="E2" s="221"/>
      <c r="F2" s="221"/>
      <c r="G2" s="221"/>
      <c r="H2" s="221"/>
      <c r="I2" s="221"/>
      <c r="J2" s="221"/>
      <c r="K2" s="221"/>
      <c r="L2" s="221"/>
      <c r="M2" s="221"/>
      <c r="N2" s="221"/>
      <c r="O2" s="222"/>
      <c r="Q2" s="220"/>
      <c r="R2" s="221"/>
      <c r="S2" s="222"/>
    </row>
    <row r="3" spans="2:19" x14ac:dyDescent="0.3">
      <c r="B3" s="223"/>
      <c r="C3" s="237" t="s">
        <v>82</v>
      </c>
      <c r="D3" s="162"/>
      <c r="E3" s="162"/>
      <c r="F3" s="162"/>
      <c r="G3" s="162"/>
      <c r="H3" s="162"/>
      <c r="I3" s="162"/>
      <c r="J3" s="162"/>
      <c r="K3" s="162"/>
      <c r="L3" s="162"/>
      <c r="M3" s="162"/>
      <c r="N3" s="162"/>
      <c r="O3" s="224"/>
      <c r="Q3" s="223"/>
      <c r="R3" s="1019" t="s">
        <v>235</v>
      </c>
      <c r="S3" s="224"/>
    </row>
    <row r="4" spans="2:19" x14ac:dyDescent="0.3">
      <c r="B4" s="223"/>
      <c r="C4" s="215" t="s">
        <v>93</v>
      </c>
      <c r="D4" s="216">
        <v>78</v>
      </c>
      <c r="E4" s="217">
        <v>90</v>
      </c>
      <c r="F4" s="217">
        <v>95</v>
      </c>
      <c r="G4" s="217">
        <v>100</v>
      </c>
      <c r="H4" s="217">
        <v>112</v>
      </c>
      <c r="I4" s="217">
        <v>122</v>
      </c>
      <c r="J4" s="217">
        <v>130</v>
      </c>
      <c r="K4" s="217">
        <v>137</v>
      </c>
      <c r="L4" s="217">
        <v>140</v>
      </c>
      <c r="M4" s="217">
        <v>147</v>
      </c>
      <c r="N4" s="162"/>
      <c r="O4" s="224"/>
      <c r="Q4" s="223"/>
      <c r="R4" s="1019"/>
      <c r="S4" s="224"/>
    </row>
    <row r="5" spans="2:19" x14ac:dyDescent="0.3">
      <c r="B5" s="223"/>
      <c r="C5" s="212">
        <v>7</v>
      </c>
      <c r="D5" s="213">
        <v>11600</v>
      </c>
      <c r="E5" s="213">
        <v>13100</v>
      </c>
      <c r="F5" s="213">
        <v>13100</v>
      </c>
      <c r="G5" s="213">
        <v>13100</v>
      </c>
      <c r="H5" s="213">
        <v>14600</v>
      </c>
      <c r="I5" s="213">
        <v>14600</v>
      </c>
      <c r="J5" s="213">
        <v>15900</v>
      </c>
      <c r="K5" s="213">
        <v>35000</v>
      </c>
      <c r="L5" s="213">
        <v>42000</v>
      </c>
      <c r="M5" s="213">
        <v>48000</v>
      </c>
      <c r="N5" s="162"/>
      <c r="O5" s="224"/>
      <c r="Q5" s="223"/>
      <c r="R5" s="1019"/>
      <c r="S5" s="224"/>
    </row>
    <row r="6" spans="2:19" x14ac:dyDescent="0.3">
      <c r="B6" s="223"/>
      <c r="C6" s="212">
        <v>17</v>
      </c>
      <c r="D6" s="218">
        <v>11600</v>
      </c>
      <c r="E6" s="218">
        <v>13900</v>
      </c>
      <c r="F6" s="218">
        <v>14600</v>
      </c>
      <c r="G6" s="218">
        <v>13900</v>
      </c>
      <c r="H6" s="218">
        <v>15900</v>
      </c>
      <c r="I6" s="218">
        <v>32000</v>
      </c>
      <c r="J6" s="218">
        <v>42000</v>
      </c>
      <c r="K6" s="218">
        <v>42000</v>
      </c>
      <c r="L6" s="218">
        <v>42000</v>
      </c>
      <c r="M6" s="218">
        <v>100000</v>
      </c>
      <c r="N6" s="162"/>
      <c r="O6" s="224"/>
      <c r="Q6" s="223"/>
      <c r="R6" s="1019"/>
      <c r="S6" s="224"/>
    </row>
    <row r="7" spans="2:19" x14ac:dyDescent="0.3">
      <c r="B7" s="223"/>
      <c r="C7" s="212">
        <v>30</v>
      </c>
      <c r="D7" s="213">
        <v>15900</v>
      </c>
      <c r="E7" s="213">
        <v>15900</v>
      </c>
      <c r="F7" s="213">
        <v>15900</v>
      </c>
      <c r="G7" s="213">
        <v>15900</v>
      </c>
      <c r="H7" s="213">
        <v>48000</v>
      </c>
      <c r="I7" s="213">
        <v>48000</v>
      </c>
      <c r="J7" s="213">
        <v>54000</v>
      </c>
      <c r="K7" s="213">
        <v>100000</v>
      </c>
      <c r="L7" s="213">
        <v>100000</v>
      </c>
      <c r="M7" s="213">
        <v>100000</v>
      </c>
      <c r="N7" s="162"/>
      <c r="O7" s="224"/>
      <c r="Q7" s="223"/>
      <c r="R7" s="1019"/>
      <c r="S7" s="224"/>
    </row>
    <row r="8" spans="2:19" x14ac:dyDescent="0.3">
      <c r="B8" s="223"/>
      <c r="C8" s="212">
        <v>34</v>
      </c>
      <c r="D8" s="218">
        <v>32000</v>
      </c>
      <c r="E8" s="218">
        <v>32000</v>
      </c>
      <c r="F8" s="218">
        <v>32000</v>
      </c>
      <c r="G8" s="218">
        <v>32000</v>
      </c>
      <c r="H8" s="218">
        <v>48000</v>
      </c>
      <c r="I8" s="218">
        <v>48000</v>
      </c>
      <c r="J8" s="218">
        <v>54000</v>
      </c>
      <c r="K8" s="218">
        <v>100000</v>
      </c>
      <c r="L8" s="218">
        <v>100000</v>
      </c>
      <c r="M8" s="218">
        <v>100000</v>
      </c>
      <c r="N8" s="162"/>
      <c r="O8" s="224"/>
      <c r="Q8" s="223"/>
      <c r="R8" s="1019"/>
      <c r="S8" s="224"/>
    </row>
    <row r="9" spans="2:19" x14ac:dyDescent="0.3">
      <c r="B9" s="223"/>
      <c r="C9" s="212">
        <v>50</v>
      </c>
      <c r="D9" s="213">
        <v>36000</v>
      </c>
      <c r="E9" s="213">
        <v>36000</v>
      </c>
      <c r="F9" s="213">
        <v>36000</v>
      </c>
      <c r="G9" s="213">
        <v>36000</v>
      </c>
      <c r="H9" s="213">
        <v>48000</v>
      </c>
      <c r="I9" s="213">
        <v>100000</v>
      </c>
      <c r="J9" s="213">
        <v>100000</v>
      </c>
      <c r="K9" s="213">
        <v>100000</v>
      </c>
      <c r="L9" s="213">
        <v>100000</v>
      </c>
      <c r="M9" s="213">
        <v>100000</v>
      </c>
      <c r="N9" s="162"/>
      <c r="O9" s="224"/>
      <c r="Q9" s="223"/>
      <c r="R9" s="1019"/>
      <c r="S9" s="224"/>
    </row>
    <row r="10" spans="2:19" x14ac:dyDescent="0.3">
      <c r="B10" s="223"/>
      <c r="C10" s="214">
        <v>65</v>
      </c>
      <c r="D10" s="219">
        <v>48000</v>
      </c>
      <c r="E10" s="219">
        <v>48000</v>
      </c>
      <c r="F10" s="219">
        <v>48000</v>
      </c>
      <c r="G10" s="219">
        <v>48000</v>
      </c>
      <c r="H10" s="219">
        <v>100000</v>
      </c>
      <c r="I10" s="219">
        <v>100000</v>
      </c>
      <c r="J10" s="219">
        <v>100000</v>
      </c>
      <c r="K10" s="219">
        <v>100000</v>
      </c>
      <c r="L10" s="219">
        <v>100000</v>
      </c>
      <c r="M10" s="219">
        <v>100000</v>
      </c>
      <c r="N10" s="162"/>
      <c r="O10" s="224"/>
      <c r="Q10" s="223"/>
      <c r="R10" s="1019"/>
      <c r="S10" s="224"/>
    </row>
    <row r="11" spans="2:19" x14ac:dyDescent="0.3">
      <c r="B11" s="223"/>
      <c r="C11" s="162"/>
      <c r="D11" s="162"/>
      <c r="E11" s="162"/>
      <c r="F11" s="162"/>
      <c r="G11" s="162"/>
      <c r="H11" s="162"/>
      <c r="I11" s="162"/>
      <c r="J11" s="162"/>
      <c r="K11" s="162"/>
      <c r="L11" s="162"/>
      <c r="M11" s="162"/>
      <c r="N11" s="162"/>
      <c r="O11" s="224"/>
      <c r="Q11" s="223"/>
      <c r="R11" s="1019"/>
      <c r="S11" s="224"/>
    </row>
    <row r="12" spans="2:19" x14ac:dyDescent="0.3">
      <c r="B12" s="223"/>
      <c r="C12" s="237" t="s">
        <v>83</v>
      </c>
      <c r="D12" s="162"/>
      <c r="E12" s="162"/>
      <c r="F12" s="162"/>
      <c r="G12" s="162"/>
      <c r="H12" s="162"/>
      <c r="I12" s="162"/>
      <c r="J12" s="162"/>
      <c r="K12" s="162"/>
      <c r="L12" s="162"/>
      <c r="M12" s="162"/>
      <c r="N12" s="162"/>
      <c r="O12" s="224"/>
      <c r="Q12" s="223"/>
      <c r="R12" s="1019"/>
      <c r="S12" s="224"/>
    </row>
    <row r="13" spans="2:19" x14ac:dyDescent="0.3">
      <c r="B13" s="223"/>
      <c r="C13" s="215" t="s">
        <v>93</v>
      </c>
      <c r="D13" s="217">
        <v>78</v>
      </c>
      <c r="E13" s="217">
        <v>90</v>
      </c>
      <c r="F13" s="217">
        <v>95</v>
      </c>
      <c r="G13" s="217">
        <v>100</v>
      </c>
      <c r="H13" s="217">
        <v>112</v>
      </c>
      <c r="I13" s="217">
        <v>122</v>
      </c>
      <c r="J13" s="217">
        <v>130</v>
      </c>
      <c r="K13" s="217">
        <v>137</v>
      </c>
      <c r="L13" s="217">
        <v>140</v>
      </c>
      <c r="M13" s="217">
        <v>147</v>
      </c>
      <c r="N13" s="162"/>
      <c r="O13" s="224"/>
      <c r="Q13" s="223"/>
      <c r="R13" s="1019"/>
      <c r="S13" s="224"/>
    </row>
    <row r="14" spans="2:19" x14ac:dyDescent="0.3">
      <c r="B14" s="223"/>
      <c r="C14" s="212">
        <v>7</v>
      </c>
      <c r="D14" s="213">
        <v>3800</v>
      </c>
      <c r="E14" s="213">
        <v>3800</v>
      </c>
      <c r="F14" s="213">
        <v>3800</v>
      </c>
      <c r="G14" s="213">
        <v>3800</v>
      </c>
      <c r="H14" s="213">
        <v>3800</v>
      </c>
      <c r="I14" s="213">
        <v>3400</v>
      </c>
      <c r="J14" s="213">
        <v>3800</v>
      </c>
      <c r="K14" s="213">
        <v>4900</v>
      </c>
      <c r="L14" s="213">
        <v>5500</v>
      </c>
      <c r="M14" s="213">
        <v>5500</v>
      </c>
      <c r="N14" s="162"/>
      <c r="O14" s="224"/>
      <c r="Q14" s="223"/>
      <c r="R14" s="1019"/>
      <c r="S14" s="224"/>
    </row>
    <row r="15" spans="2:19" x14ac:dyDescent="0.3">
      <c r="B15" s="223"/>
      <c r="C15" s="212">
        <v>17</v>
      </c>
      <c r="D15" s="218">
        <v>3800</v>
      </c>
      <c r="E15" s="218">
        <v>3800</v>
      </c>
      <c r="F15" s="218">
        <v>3400</v>
      </c>
      <c r="G15" s="218">
        <v>3800</v>
      </c>
      <c r="H15" s="218">
        <v>3800</v>
      </c>
      <c r="I15" s="218">
        <v>4900</v>
      </c>
      <c r="J15" s="218">
        <v>5500</v>
      </c>
      <c r="K15" s="218">
        <v>5500</v>
      </c>
      <c r="L15" s="218">
        <v>5500</v>
      </c>
      <c r="M15" s="218">
        <v>31000</v>
      </c>
      <c r="N15" s="162"/>
      <c r="O15" s="224"/>
      <c r="Q15" s="223"/>
      <c r="R15" s="162"/>
      <c r="S15" s="224"/>
    </row>
    <row r="16" spans="2:19" x14ac:dyDescent="0.3">
      <c r="B16" s="223"/>
      <c r="C16" s="212">
        <v>30</v>
      </c>
      <c r="D16" s="213">
        <v>3800</v>
      </c>
      <c r="E16" s="213">
        <v>3800</v>
      </c>
      <c r="F16" s="213">
        <v>3800</v>
      </c>
      <c r="G16" s="213">
        <v>3800</v>
      </c>
      <c r="H16" s="213">
        <v>5500</v>
      </c>
      <c r="I16" s="213">
        <v>5500</v>
      </c>
      <c r="J16" s="213">
        <v>6100</v>
      </c>
      <c r="K16" s="213">
        <v>31000</v>
      </c>
      <c r="L16" s="213">
        <v>31000</v>
      </c>
      <c r="M16" s="213">
        <v>31000</v>
      </c>
      <c r="N16" s="162"/>
      <c r="O16" s="224"/>
      <c r="Q16" s="223"/>
      <c r="R16" s="242" t="s">
        <v>236</v>
      </c>
      <c r="S16" s="224"/>
    </row>
    <row r="17" spans="2:19" x14ac:dyDescent="0.3">
      <c r="B17" s="223"/>
      <c r="C17" s="212">
        <v>34</v>
      </c>
      <c r="D17" s="218">
        <v>4900</v>
      </c>
      <c r="E17" s="218">
        <v>4900</v>
      </c>
      <c r="F17" s="218">
        <v>4900</v>
      </c>
      <c r="G17" s="218">
        <v>4900</v>
      </c>
      <c r="H17" s="218">
        <v>5500</v>
      </c>
      <c r="I17" s="218">
        <v>5500</v>
      </c>
      <c r="J17" s="218">
        <v>6100</v>
      </c>
      <c r="K17" s="218">
        <v>31000</v>
      </c>
      <c r="L17" s="218">
        <v>31000</v>
      </c>
      <c r="M17" s="218">
        <v>31000</v>
      </c>
      <c r="N17" s="162"/>
      <c r="O17" s="224"/>
      <c r="Q17" s="223"/>
      <c r="R17" s="1020"/>
      <c r="S17" s="224"/>
    </row>
    <row r="18" spans="2:19" x14ac:dyDescent="0.3">
      <c r="B18" s="223"/>
      <c r="C18" s="212">
        <v>50</v>
      </c>
      <c r="D18" s="213">
        <v>4900</v>
      </c>
      <c r="E18" s="213">
        <v>4900</v>
      </c>
      <c r="F18" s="213">
        <v>4900</v>
      </c>
      <c r="G18" s="213">
        <v>4900</v>
      </c>
      <c r="H18" s="213">
        <v>5500</v>
      </c>
      <c r="I18" s="213">
        <v>31000</v>
      </c>
      <c r="J18" s="213">
        <v>31000</v>
      </c>
      <c r="K18" s="213">
        <v>31000</v>
      </c>
      <c r="L18" s="213">
        <v>31000</v>
      </c>
      <c r="M18" s="213">
        <v>31000</v>
      </c>
      <c r="N18" s="162"/>
      <c r="O18" s="224"/>
      <c r="Q18" s="223"/>
      <c r="R18" s="1020"/>
      <c r="S18" s="224"/>
    </row>
    <row r="19" spans="2:19" x14ac:dyDescent="0.3">
      <c r="B19" s="223"/>
      <c r="C19" s="214">
        <v>65</v>
      </c>
      <c r="D19" s="219">
        <v>5500</v>
      </c>
      <c r="E19" s="219">
        <v>5500</v>
      </c>
      <c r="F19" s="219">
        <v>5500</v>
      </c>
      <c r="G19" s="219">
        <v>5500</v>
      </c>
      <c r="H19" s="219">
        <v>31000</v>
      </c>
      <c r="I19" s="219">
        <v>31000</v>
      </c>
      <c r="J19" s="219">
        <v>31000</v>
      </c>
      <c r="K19" s="219">
        <v>31000</v>
      </c>
      <c r="L19" s="219">
        <v>31000</v>
      </c>
      <c r="M19" s="219">
        <v>31000</v>
      </c>
      <c r="N19" s="162"/>
      <c r="O19" s="224"/>
      <c r="Q19" s="223"/>
      <c r="R19" s="1020"/>
      <c r="S19" s="224"/>
    </row>
    <row r="20" spans="2:19" x14ac:dyDescent="0.3">
      <c r="B20" s="223"/>
      <c r="C20" s="238"/>
      <c r="D20" s="162"/>
      <c r="E20" s="162"/>
      <c r="F20" s="162"/>
      <c r="G20" s="162"/>
      <c r="H20" s="162"/>
      <c r="I20" s="162"/>
      <c r="J20" s="162"/>
      <c r="K20" s="162"/>
      <c r="L20" s="162"/>
      <c r="M20" s="162"/>
      <c r="N20" s="162"/>
      <c r="O20" s="224"/>
      <c r="Q20" s="223"/>
      <c r="R20" s="1020"/>
      <c r="S20" s="224"/>
    </row>
    <row r="21" spans="2:19" x14ac:dyDescent="0.3">
      <c r="B21" s="223"/>
      <c r="C21" s="239" t="s">
        <v>84</v>
      </c>
      <c r="D21" s="162"/>
      <c r="E21" s="162"/>
      <c r="F21" s="162" t="s">
        <v>85</v>
      </c>
      <c r="G21" s="162"/>
      <c r="H21" s="162"/>
      <c r="I21" s="239" t="s">
        <v>86</v>
      </c>
      <c r="J21" s="162"/>
      <c r="K21" s="162"/>
      <c r="L21" s="162"/>
      <c r="M21" s="162" t="s">
        <v>101</v>
      </c>
      <c r="N21" s="162"/>
      <c r="O21" s="224"/>
      <c r="Q21" s="223"/>
      <c r="R21" s="1020"/>
      <c r="S21" s="224"/>
    </row>
    <row r="22" spans="2:19" x14ac:dyDescent="0.3">
      <c r="B22" s="223"/>
      <c r="C22" s="240">
        <v>0.05</v>
      </c>
      <c r="D22" s="162"/>
      <c r="E22" s="162"/>
      <c r="F22" s="112">
        <v>1850</v>
      </c>
      <c r="G22" s="162"/>
      <c r="H22" s="162"/>
      <c r="I22" s="239" t="s">
        <v>87</v>
      </c>
      <c r="J22" s="162"/>
      <c r="K22" s="162"/>
      <c r="L22" s="162"/>
      <c r="M22" s="241" t="s">
        <v>107</v>
      </c>
      <c r="N22" s="162"/>
      <c r="O22" s="224"/>
      <c r="Q22" s="223"/>
      <c r="R22" s="1020"/>
      <c r="S22" s="224"/>
    </row>
    <row r="23" spans="2:19" ht="15" thickBot="1" x14ac:dyDescent="0.35">
      <c r="B23" s="223"/>
      <c r="C23" s="239"/>
      <c r="D23" s="162"/>
      <c r="E23" s="162"/>
      <c r="F23" s="162"/>
      <c r="G23" s="162"/>
      <c r="H23" s="162"/>
      <c r="I23" s="162"/>
      <c r="J23" s="162"/>
      <c r="K23" s="162"/>
      <c r="L23" s="162"/>
      <c r="M23" s="241"/>
      <c r="N23" s="162"/>
      <c r="O23" s="224"/>
      <c r="Q23" s="223"/>
      <c r="R23" s="1020"/>
      <c r="S23" s="224"/>
    </row>
    <row r="24" spans="2:19" x14ac:dyDescent="0.3">
      <c r="B24" s="223"/>
      <c r="C24" s="230" t="s">
        <v>234</v>
      </c>
      <c r="D24" s="231">
        <v>42800</v>
      </c>
      <c r="E24" s="232" t="s">
        <v>231</v>
      </c>
      <c r="F24" s="233" t="s">
        <v>233</v>
      </c>
      <c r="G24" s="162"/>
      <c r="H24" s="162"/>
      <c r="I24" s="162"/>
      <c r="J24" s="162"/>
      <c r="K24" s="162"/>
      <c r="L24" s="162"/>
      <c r="M24" s="162"/>
      <c r="N24" s="162"/>
      <c r="O24" s="224"/>
      <c r="Q24" s="223"/>
      <c r="R24" s="1020"/>
      <c r="S24" s="224"/>
    </row>
    <row r="25" spans="2:19" ht="15" thickBot="1" x14ac:dyDescent="0.35">
      <c r="B25" s="223"/>
      <c r="C25" s="234" t="s">
        <v>232</v>
      </c>
      <c r="D25" s="235"/>
      <c r="E25" s="235" t="s">
        <v>231</v>
      </c>
      <c r="F25" s="236"/>
      <c r="G25" s="162"/>
      <c r="H25" s="162"/>
      <c r="I25" s="162"/>
      <c r="J25" s="162"/>
      <c r="K25" s="162"/>
      <c r="L25" s="162"/>
      <c r="M25" s="162"/>
      <c r="N25" s="162"/>
      <c r="O25" s="224"/>
      <c r="Q25" s="223"/>
      <c r="R25" s="1020"/>
      <c r="S25" s="224"/>
    </row>
    <row r="26" spans="2:19" ht="15" thickBot="1" x14ac:dyDescent="0.35">
      <c r="B26" s="226"/>
      <c r="C26" s="227"/>
      <c r="D26" s="227"/>
      <c r="E26" s="227"/>
      <c r="F26" s="227"/>
      <c r="G26" s="227"/>
      <c r="H26" s="227"/>
      <c r="I26" s="227"/>
      <c r="J26" s="227"/>
      <c r="K26" s="227"/>
      <c r="L26" s="227"/>
      <c r="M26" s="227"/>
      <c r="N26" s="227"/>
      <c r="O26" s="228"/>
      <c r="Q26" s="226"/>
      <c r="R26" s="227"/>
      <c r="S26" s="228"/>
    </row>
  </sheetData>
  <mergeCells count="2">
    <mergeCell ref="R3:R14"/>
    <mergeCell ref="R17:R25"/>
  </mergeCells>
  <pageMargins left="0.7" right="0.7" top="0.78740157499999996" bottom="0.78740157499999996" header="0.3" footer="0.3"/>
  <pageSetup paperSize="9"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15"/>
  <dimension ref="B2:G35"/>
  <sheetViews>
    <sheetView workbookViewId="0">
      <selection activeCell="K14" sqref="K14"/>
    </sheetView>
  </sheetViews>
  <sheetFormatPr baseColWidth="10" defaultRowHeight="14.4" x14ac:dyDescent="0.3"/>
  <sheetData>
    <row r="2" spans="2:7" ht="18" x14ac:dyDescent="0.35">
      <c r="B2" s="1025" t="s">
        <v>440</v>
      </c>
      <c r="C2" s="1025"/>
      <c r="D2" s="1025"/>
      <c r="E2" s="397"/>
      <c r="F2" s="398" t="s">
        <v>446</v>
      </c>
    </row>
    <row r="4" spans="2:7" ht="15" thickBot="1" x14ac:dyDescent="0.35">
      <c r="B4" s="102" t="s">
        <v>131</v>
      </c>
      <c r="C4" s="103" t="s">
        <v>441</v>
      </c>
      <c r="D4" s="103" t="s">
        <v>442</v>
      </c>
      <c r="E4" s="103" t="s">
        <v>443</v>
      </c>
      <c r="F4" s="103" t="s">
        <v>444</v>
      </c>
      <c r="G4" s="160" t="s">
        <v>445</v>
      </c>
    </row>
    <row r="5" spans="2:7" ht="15" thickTop="1" x14ac:dyDescent="0.3">
      <c r="B5" s="257" t="s">
        <v>63</v>
      </c>
      <c r="C5" s="258"/>
      <c r="D5" s="258"/>
      <c r="E5" s="258"/>
      <c r="F5" s="258"/>
      <c r="G5" s="253"/>
    </row>
    <row r="6" spans="2:7" x14ac:dyDescent="0.3">
      <c r="B6" s="254" t="s">
        <v>64</v>
      </c>
      <c r="C6" s="258"/>
      <c r="D6" s="258"/>
      <c r="E6" s="258"/>
      <c r="F6" s="255"/>
      <c r="G6" s="253"/>
    </row>
    <row r="7" spans="2:7" x14ac:dyDescent="0.3">
      <c r="B7" s="257" t="s">
        <v>65</v>
      </c>
      <c r="C7" s="258"/>
      <c r="D7" s="258"/>
      <c r="E7" s="258"/>
      <c r="F7" s="258"/>
      <c r="G7" s="253"/>
    </row>
    <row r="8" spans="2:7" x14ac:dyDescent="0.3">
      <c r="B8" s="254" t="s">
        <v>66</v>
      </c>
      <c r="C8" s="258"/>
      <c r="D8" s="258"/>
      <c r="E8" s="258"/>
      <c r="F8" s="255"/>
      <c r="G8" s="253"/>
    </row>
    <row r="9" spans="2:7" x14ac:dyDescent="0.3">
      <c r="B9" s="257" t="s">
        <v>67</v>
      </c>
      <c r="C9" s="258"/>
      <c r="D9" s="258"/>
      <c r="E9" s="258"/>
      <c r="F9" s="258"/>
      <c r="G9" s="253"/>
    </row>
    <row r="10" spans="2:7" x14ac:dyDescent="0.3">
      <c r="B10" s="254" t="s">
        <v>407</v>
      </c>
      <c r="C10" s="255"/>
      <c r="D10" s="255"/>
      <c r="E10" s="255"/>
      <c r="F10" s="255"/>
      <c r="G10" s="256"/>
    </row>
    <row r="11" spans="2:7" x14ac:dyDescent="0.3">
      <c r="B11" s="254" t="s">
        <v>68</v>
      </c>
      <c r="C11" s="258"/>
      <c r="D11" s="258"/>
      <c r="E11" s="258"/>
      <c r="F11" s="255"/>
      <c r="G11" s="253"/>
    </row>
    <row r="12" spans="2:7" x14ac:dyDescent="0.3">
      <c r="B12" s="257" t="s">
        <v>388</v>
      </c>
      <c r="C12" s="258"/>
      <c r="D12" s="258"/>
      <c r="E12" s="258"/>
      <c r="F12" s="258"/>
      <c r="G12" s="253"/>
    </row>
    <row r="13" spans="2:7" x14ac:dyDescent="0.3">
      <c r="B13" s="257" t="s">
        <v>129</v>
      </c>
      <c r="C13" s="258"/>
      <c r="D13" s="258"/>
      <c r="E13" s="258"/>
      <c r="F13" s="258"/>
      <c r="G13" s="253"/>
    </row>
    <row r="14" spans="2:7" x14ac:dyDescent="0.3">
      <c r="B14" s="254" t="s">
        <v>130</v>
      </c>
      <c r="C14" s="255"/>
      <c r="D14" s="255"/>
      <c r="E14" s="255"/>
      <c r="F14" s="255"/>
      <c r="G14" s="256"/>
    </row>
    <row r="15" spans="2:7" x14ac:dyDescent="0.3">
      <c r="B15" s="254" t="s">
        <v>126</v>
      </c>
      <c r="C15" s="255">
        <v>43600</v>
      </c>
      <c r="D15" s="255"/>
      <c r="E15" s="255"/>
      <c r="F15" s="255"/>
      <c r="G15" s="256"/>
    </row>
    <row r="16" spans="2:7" x14ac:dyDescent="0.3">
      <c r="B16" s="254" t="s">
        <v>127</v>
      </c>
      <c r="C16" s="255">
        <v>43600</v>
      </c>
      <c r="D16" s="255"/>
      <c r="E16" s="255"/>
      <c r="F16" s="255"/>
      <c r="G16" s="256"/>
    </row>
    <row r="17" spans="2:7" x14ac:dyDescent="0.3">
      <c r="B17" s="254" t="s">
        <v>58</v>
      </c>
      <c r="C17" s="255"/>
      <c r="D17" s="255"/>
      <c r="E17" s="255"/>
      <c r="F17" s="255"/>
      <c r="G17" s="256"/>
    </row>
    <row r="18" spans="2:7" x14ac:dyDescent="0.3">
      <c r="B18" s="257" t="s">
        <v>52</v>
      </c>
      <c r="C18" s="258">
        <v>47500</v>
      </c>
      <c r="D18" s="258">
        <v>47000</v>
      </c>
      <c r="E18" s="258"/>
      <c r="F18" s="258"/>
      <c r="G18" s="253"/>
    </row>
    <row r="19" spans="2:7" x14ac:dyDescent="0.3">
      <c r="B19" s="257" t="s">
        <v>56</v>
      </c>
      <c r="C19" s="258">
        <v>47500</v>
      </c>
      <c r="D19" s="258">
        <v>47000</v>
      </c>
      <c r="E19" s="258"/>
      <c r="F19" s="258"/>
      <c r="G19" s="253"/>
    </row>
    <row r="20" spans="2:7" x14ac:dyDescent="0.3">
      <c r="B20" s="257" t="s">
        <v>72</v>
      </c>
      <c r="C20" s="258"/>
      <c r="D20" s="258"/>
      <c r="E20" s="258"/>
      <c r="F20" s="258"/>
      <c r="G20" s="253"/>
    </row>
    <row r="21" spans="2:7" x14ac:dyDescent="0.3">
      <c r="B21" s="254" t="s">
        <v>69</v>
      </c>
      <c r="C21" s="255"/>
      <c r="D21" s="255"/>
      <c r="E21" s="255"/>
      <c r="F21" s="255"/>
      <c r="G21" s="256"/>
    </row>
    <row r="22" spans="2:7" x14ac:dyDescent="0.3">
      <c r="B22" s="257" t="s">
        <v>70</v>
      </c>
      <c r="C22" s="258"/>
      <c r="D22" s="258"/>
      <c r="E22" s="258"/>
      <c r="F22" s="258"/>
      <c r="G22" s="253"/>
    </row>
    <row r="23" spans="2:7" x14ac:dyDescent="0.3">
      <c r="B23" s="254" t="s">
        <v>57</v>
      </c>
      <c r="C23" s="255"/>
      <c r="D23" s="255"/>
      <c r="E23" s="255"/>
      <c r="F23" s="255"/>
      <c r="G23" s="256"/>
    </row>
    <row r="24" spans="2:7" x14ac:dyDescent="0.3">
      <c r="B24" s="257" t="s">
        <v>73</v>
      </c>
      <c r="C24" s="258"/>
      <c r="D24" s="258"/>
      <c r="E24" s="258"/>
      <c r="F24" s="258"/>
      <c r="G24" s="253"/>
    </row>
    <row r="25" spans="2:7" x14ac:dyDescent="0.3">
      <c r="B25" s="254" t="s">
        <v>242</v>
      </c>
      <c r="C25" s="255"/>
      <c r="D25" s="255"/>
      <c r="E25" s="255"/>
      <c r="F25" s="255"/>
      <c r="G25" s="256"/>
    </row>
    <row r="26" spans="2:7" x14ac:dyDescent="0.3">
      <c r="B26" s="254" t="s">
        <v>243</v>
      </c>
      <c r="C26" s="255"/>
      <c r="D26" s="255"/>
      <c r="E26" s="255"/>
      <c r="F26" s="255"/>
      <c r="G26" s="256"/>
    </row>
    <row r="27" spans="2:7" x14ac:dyDescent="0.3">
      <c r="B27" s="257" t="s">
        <v>125</v>
      </c>
      <c r="C27" s="258"/>
      <c r="D27" s="258"/>
      <c r="E27" s="258"/>
      <c r="F27" s="258"/>
      <c r="G27" s="253"/>
    </row>
    <row r="28" spans="2:7" x14ac:dyDescent="0.3">
      <c r="B28" s="259" t="s">
        <v>128</v>
      </c>
      <c r="C28" s="260"/>
      <c r="D28" s="260"/>
      <c r="E28" s="260"/>
      <c r="F28" s="260"/>
      <c r="G28" s="251"/>
    </row>
    <row r="29" spans="2:7" x14ac:dyDescent="0.3">
      <c r="B29" s="254" t="s">
        <v>385</v>
      </c>
      <c r="C29" s="258"/>
      <c r="D29" s="258"/>
      <c r="E29" s="258"/>
      <c r="F29" s="258"/>
      <c r="G29" s="253"/>
    </row>
    <row r="30" spans="2:7" x14ac:dyDescent="0.3">
      <c r="B30" s="254" t="s">
        <v>386</v>
      </c>
      <c r="C30" s="258"/>
      <c r="D30" s="258"/>
      <c r="E30" s="258"/>
      <c r="F30" s="258"/>
      <c r="G30" s="253"/>
    </row>
    <row r="31" spans="2:7" x14ac:dyDescent="0.3">
      <c r="B31" s="259" t="s">
        <v>387</v>
      </c>
      <c r="C31" s="258"/>
      <c r="D31" s="258"/>
      <c r="E31" s="258"/>
      <c r="F31" s="258"/>
      <c r="G31" s="253"/>
    </row>
    <row r="32" spans="2:7" x14ac:dyDescent="0.3">
      <c r="B32" s="259" t="s">
        <v>393</v>
      </c>
      <c r="C32" s="255"/>
      <c r="D32" s="255"/>
      <c r="E32" s="255"/>
      <c r="F32" s="255"/>
      <c r="G32" s="256"/>
    </row>
    <row r="33" spans="2:7" x14ac:dyDescent="0.3">
      <c r="B33" s="254" t="s">
        <v>439</v>
      </c>
      <c r="C33" s="255"/>
      <c r="D33" s="255"/>
      <c r="E33" s="255"/>
      <c r="F33" s="255"/>
      <c r="G33" s="256"/>
    </row>
    <row r="34" spans="2:7" x14ac:dyDescent="0.3">
      <c r="B34" s="254" t="s">
        <v>437</v>
      </c>
      <c r="C34" s="255"/>
      <c r="D34" s="255"/>
      <c r="E34" s="255"/>
      <c r="F34" s="255"/>
      <c r="G34" s="256"/>
    </row>
    <row r="35" spans="2:7" x14ac:dyDescent="0.3">
      <c r="B35" s="259" t="s">
        <v>438</v>
      </c>
      <c r="C35" s="260"/>
      <c r="D35" s="260"/>
      <c r="E35" s="260"/>
      <c r="F35" s="260"/>
      <c r="G35" s="251"/>
    </row>
  </sheetData>
  <mergeCells count="1">
    <mergeCell ref="B2:D2"/>
  </mergeCells>
  <conditionalFormatting sqref="B5:G35">
    <cfRule type="expression" dxfId="11" priority="2">
      <formula>MOD(ROW(),2)=0</formula>
    </cfRule>
  </conditionalFormatting>
  <conditionalFormatting sqref="B33:B35">
    <cfRule type="expression" dxfId="10" priority="1">
      <formula>MOD(ROW(),2)=0</formula>
    </cfRule>
  </conditionalFormatting>
  <pageMargins left="0.7" right="0.7" top="0.78740157499999996" bottom="0.78740157499999996"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17</vt:i4>
      </vt:variant>
      <vt:variant>
        <vt:lpstr>Benannte Bereiche</vt:lpstr>
      </vt:variant>
      <vt:variant>
        <vt:i4>13</vt:i4>
      </vt:variant>
    </vt:vector>
  </HeadingPairs>
  <TitlesOfParts>
    <vt:vector size="30" baseType="lpstr">
      <vt:lpstr>Basisdaten</vt:lpstr>
      <vt:lpstr>VWoGK</vt:lpstr>
      <vt:lpstr>VWmGKmR</vt:lpstr>
      <vt:lpstr>VWmGKmRmSB</vt:lpstr>
      <vt:lpstr>VWmGKoR</vt:lpstr>
      <vt:lpstr>Premium</vt:lpstr>
      <vt:lpstr>Premium uptower</vt:lpstr>
      <vt:lpstr>Premium+ fest</vt:lpstr>
      <vt:lpstr>Premium+ variabel</vt:lpstr>
      <vt:lpstr>Premium+ fest mS</vt:lpstr>
      <vt:lpstr>Referenzen</vt:lpstr>
      <vt:lpstr>Anlageninfo</vt:lpstr>
      <vt:lpstr>Wartung</vt:lpstr>
      <vt:lpstr>Externe Leistungen</vt:lpstr>
      <vt:lpstr>Großkomponenten</vt:lpstr>
      <vt:lpstr>Kranpreise</vt:lpstr>
      <vt:lpstr>Matchpoint</vt:lpstr>
      <vt:lpstr>BFA</vt:lpstr>
      <vt:lpstr>Basisdaten!Druckbereich</vt:lpstr>
      <vt:lpstr>Premium!Druckbereich</vt:lpstr>
      <vt:lpstr>'Premium uptower'!Druckbereich</vt:lpstr>
      <vt:lpstr>'Premium+ fest'!Druckbereich</vt:lpstr>
      <vt:lpstr>'Premium+ fest mS'!Druckbereich</vt:lpstr>
      <vt:lpstr>'Premium+ variabel'!Druckbereich</vt:lpstr>
      <vt:lpstr>VWmGKmR!Druckbereich</vt:lpstr>
      <vt:lpstr>Hersteller</vt:lpstr>
      <vt:lpstr>Premium!Turm</vt:lpstr>
      <vt:lpstr>'Premium uptower'!Turm</vt:lpstr>
      <vt:lpstr>'Premium+ fest mS'!Turm</vt:lpstr>
      <vt:lpstr>Turm</vt:lpstr>
    </vt:vector>
  </TitlesOfParts>
  <Company>Maintenance Partners 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Pascal Collin</dc:creator>
  <cp:lastModifiedBy>Sabrina Nicklaus</cp:lastModifiedBy>
  <cp:lastPrinted>2018-04-09T07:24:04Z</cp:lastPrinted>
  <dcterms:created xsi:type="dcterms:W3CDTF">2012-11-19T15:47:51Z</dcterms:created>
  <dcterms:modified xsi:type="dcterms:W3CDTF">2018-04-12T11:41:42Z</dcterms:modified>
</cp:coreProperties>
</file>